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顾涛\工程实施\2026年工程实施项目\PALL\文件资料\"/>
    </mc:Choice>
  </mc:AlternateContent>
  <xr:revisionPtr revIDLastSave="0" documentId="13_ncr:1_{7D268895-F744-44CF-8B18-EEC9ADB97010}" xr6:coauthVersionLast="47" xr6:coauthVersionMax="47" xr10:uidLastSave="{00000000-0000-0000-0000-000000000000}"/>
  <bookViews>
    <workbookView xWindow="28690" yWindow="-110" windowWidth="38620" windowHeight="21100" tabRatio="769" firstSheet="1" activeTab="1" xr2:uid="{00000000-000D-0000-FFFF-FFFF00000000}"/>
  </bookViews>
  <sheets>
    <sheet name="汇总" sheetId="8" state="hidden" r:id="rId1"/>
    <sheet name="成本汇总表" sheetId="63" r:id="rId2"/>
    <sheet name="WX26060-1" sheetId="54" r:id="rId3"/>
    <sheet name="WX26060-2" sheetId="64" r:id="rId4"/>
    <sheet name="钢管壁厚等级表" sheetId="41" state="hidden" r:id="rId5"/>
    <sheet name="法兰理论重量表" sheetId="10" state="hidden" r:id="rId6"/>
    <sheet name="常用重量计算" sheetId="1" state="hidden" r:id="rId7"/>
    <sheet name="常用人孔数据" sheetId="42" state="hidden" r:id="rId8"/>
    <sheet name="螺栓螺母重量" sheetId="43" state="hidden" r:id="rId9"/>
    <sheet name="法兰参数查询" sheetId="3" state="hidden" r:id="rId10"/>
    <sheet name="支腿数据" sheetId="11" state="hidden" r:id="rId11"/>
    <sheet name="法兰参数" sheetId="4" state="veryHidden" r:id="rId12"/>
    <sheet name="鞍座参数" sheetId="5" state="veryHidden" r:id="rId13"/>
    <sheet name="补强圈参数" sheetId="6" state="veryHidden" r:id="rId14"/>
    <sheet name="法兰重量" sheetId="7" state="veryHidden" r:id="rId15"/>
  </sheets>
  <functionGroups builtInGroupCount="19"/>
  <definedNames>
    <definedName name="_xlnm._FilterDatabase" localSheetId="2" hidden="1">'WX26060-1'!$A$1:$T$81</definedName>
    <definedName name="_xlnm._FilterDatabase" localSheetId="3" hidden="1">'WX26060-2'!$A$1:$T$81</definedName>
    <definedName name="_LSK1">法兰理论重量表!$C$238:$C$313</definedName>
    <definedName name="BLDN">法兰理论重量表!$B$68:$B$232</definedName>
    <definedName name="BLDN1">法兰理论重量表!$B$238:$B$313</definedName>
    <definedName name="BLPN">法兰理论重量表!$A$67:$A$232</definedName>
    <definedName name="BLPN1">法兰理论重量表!$A$238:$A$313</definedName>
    <definedName name="BLWT1">法兰理论重量表!$E$68:$E$232</definedName>
    <definedName name="BLWT2">法兰理论重量表!$F$238:$F$313</definedName>
    <definedName name="LSCD">法兰理论重量表!$L$68:$L$179</definedName>
    <definedName name="LSCD1">法兰理论重量表!$H$238:$H$313</definedName>
    <definedName name="LSDN1">法兰理论重量表!$H$68:$H$179</definedName>
    <definedName name="LSGG">法兰理论重量表!$J$68:$J$179</definedName>
    <definedName name="LSGG1">法兰理论重量表!$D$238:$D$313</definedName>
    <definedName name="LSPN1">法兰理论重量表!$G$68:$G$179</definedName>
    <definedName name="LSSL1">法兰理论重量表!$I$68:$I$179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63" l="1"/>
  <c r="S11" i="63"/>
  <c r="M11" i="63"/>
  <c r="I11" i="63"/>
  <c r="I10" i="63"/>
  <c r="H11" i="63"/>
  <c r="G11" i="63"/>
  <c r="G10" i="63"/>
  <c r="B11" i="63"/>
  <c r="M10" i="63"/>
  <c r="H10" i="63"/>
  <c r="D6" i="63"/>
  <c r="B10" i="63"/>
  <c r="H6" i="63"/>
  <c r="K10" i="63"/>
  <c r="Q10" i="63" s="1"/>
  <c r="N10" i="63"/>
  <c r="K11" i="63"/>
  <c r="Q11" i="63" s="1"/>
  <c r="N11" i="63"/>
  <c r="K12" i="63"/>
  <c r="N12" i="63"/>
  <c r="Q12" i="63"/>
  <c r="S12" i="63" s="1"/>
  <c r="K13" i="63"/>
  <c r="N13" i="63"/>
  <c r="S13" i="63" s="1"/>
  <c r="Q13" i="63"/>
  <c r="K14" i="63"/>
  <c r="N14" i="63"/>
  <c r="Q14" i="63"/>
  <c r="S14" i="63"/>
  <c r="K15" i="63"/>
  <c r="Q15" i="63" s="1"/>
  <c r="N15" i="63"/>
  <c r="S15" i="63" s="1"/>
  <c r="K16" i="63"/>
  <c r="Q16" i="63" s="1"/>
  <c r="N16" i="63"/>
  <c r="S16" i="63" s="1"/>
  <c r="K17" i="63"/>
  <c r="N17" i="63"/>
  <c r="Q17" i="63"/>
  <c r="S17" i="63" s="1"/>
  <c r="K18" i="63"/>
  <c r="N18" i="63"/>
  <c r="Q18" i="63"/>
  <c r="S18" i="63"/>
  <c r="K19" i="63"/>
  <c r="N19" i="63"/>
  <c r="Q19" i="63"/>
  <c r="S19" i="63" s="1"/>
  <c r="K20" i="63"/>
  <c r="Q20" i="63" s="1"/>
  <c r="N20" i="63"/>
  <c r="S20" i="63" s="1"/>
  <c r="N21" i="63"/>
  <c r="S21" i="63"/>
  <c r="K22" i="63"/>
  <c r="N22" i="63"/>
  <c r="S22" i="63"/>
  <c r="K23" i="63"/>
  <c r="N23" i="63"/>
  <c r="S23" i="63"/>
  <c r="K24" i="63"/>
  <c r="N24" i="63"/>
  <c r="S24" i="63"/>
  <c r="K25" i="63"/>
  <c r="N25" i="63"/>
  <c r="S25" i="63"/>
  <c r="F26" i="63"/>
  <c r="D160" i="64"/>
  <c r="D158" i="64"/>
  <c r="D155" i="64" s="1"/>
  <c r="L86" i="64" s="1"/>
  <c r="K157" i="64" a="1"/>
  <c r="K157" i="64" s="1"/>
  <c r="J157" i="64" a="1"/>
  <c r="J157" i="64" s="1"/>
  <c r="D156" i="64"/>
  <c r="D154" i="64" s="1"/>
  <c r="K154" i="64" a="1"/>
  <c r="K154" i="64" s="1"/>
  <c r="K152" i="64" a="1"/>
  <c r="K152" i="64" s="1"/>
  <c r="J152" i="64" a="1"/>
  <c r="J152" i="64" s="1"/>
  <c r="I152" i="64"/>
  <c r="J159" i="64" s="1" a="1"/>
  <c r="J159" i="64" s="1"/>
  <c r="H152" i="64"/>
  <c r="E152" i="64" a="1"/>
  <c r="E152" i="64" s="1"/>
  <c r="D152" i="64" a="1"/>
  <c r="D152" i="64" s="1"/>
  <c r="C152" i="64"/>
  <c r="F152" i="64" s="1" a="1"/>
  <c r="F152" i="64" s="1"/>
  <c r="B152" i="64"/>
  <c r="I151" i="64"/>
  <c r="K158" i="64" s="1" a="1"/>
  <c r="K158" i="64" s="1"/>
  <c r="H151" i="64"/>
  <c r="F151" i="64" a="1"/>
  <c r="F151" i="64" s="1"/>
  <c r="C151" i="64"/>
  <c r="E151" i="64" s="1" a="1"/>
  <c r="E151" i="64" s="1"/>
  <c r="B151" i="64"/>
  <c r="L150" i="64" a="1"/>
  <c r="L150" i="64" s="1"/>
  <c r="I150" i="64"/>
  <c r="H150" i="64"/>
  <c r="C150" i="64"/>
  <c r="F150" i="64" s="1" a="1"/>
  <c r="F150" i="64" s="1"/>
  <c r="B150" i="64"/>
  <c r="I149" i="64"/>
  <c r="K156" i="64" s="1" a="1"/>
  <c r="K156" i="64" s="1"/>
  <c r="H149" i="64"/>
  <c r="E149" i="64" a="1"/>
  <c r="E149" i="64" s="1"/>
  <c r="D149" i="64" a="1"/>
  <c r="D149" i="64" s="1"/>
  <c r="C149" i="64"/>
  <c r="F149" i="64" s="1" a="1"/>
  <c r="F149" i="64" s="1"/>
  <c r="B149" i="64"/>
  <c r="I148" i="64"/>
  <c r="K155" i="64" s="1" a="1"/>
  <c r="K155" i="64" s="1"/>
  <c r="H148" i="64"/>
  <c r="C148" i="64"/>
  <c r="F148" i="64" s="1" a="1"/>
  <c r="F148" i="64" s="1"/>
  <c r="B148" i="64"/>
  <c r="I147" i="64"/>
  <c r="L147" i="64" s="1" a="1"/>
  <c r="L147" i="64" s="1"/>
  <c r="H147" i="64"/>
  <c r="F147" i="64" a="1"/>
  <c r="F147" i="64" s="1"/>
  <c r="C147" i="64"/>
  <c r="E147" i="64" s="1" a="1"/>
  <c r="E147" i="64" s="1"/>
  <c r="B147" i="64"/>
  <c r="I146" i="64"/>
  <c r="K153" i="64" s="1" a="1"/>
  <c r="K153" i="64" s="1"/>
  <c r="H146" i="64"/>
  <c r="F146" i="64" a="1"/>
  <c r="F146" i="64" s="1"/>
  <c r="C146" i="64"/>
  <c r="E146" i="64" s="1" a="1"/>
  <c r="E146" i="64" s="1"/>
  <c r="B146" i="64"/>
  <c r="L145" i="64" a="1"/>
  <c r="L145" i="64" s="1"/>
  <c r="I145" i="64"/>
  <c r="H145" i="64"/>
  <c r="C145" i="64"/>
  <c r="F145" i="64" s="1" a="1"/>
  <c r="F145" i="64" s="1"/>
  <c r="B145" i="64"/>
  <c r="I144" i="64"/>
  <c r="K151" i="64" s="1" a="1"/>
  <c r="K151" i="64" s="1"/>
  <c r="H144" i="64"/>
  <c r="E144" i="64" a="1"/>
  <c r="E144" i="64" s="1"/>
  <c r="D144" i="64" a="1"/>
  <c r="D144" i="64" s="1"/>
  <c r="C144" i="64"/>
  <c r="F144" i="64" s="1" a="1"/>
  <c r="F144" i="64" s="1"/>
  <c r="B144" i="64"/>
  <c r="F114" i="64"/>
  <c r="E114" i="64"/>
  <c r="D114" i="64"/>
  <c r="J114" i="64" s="1"/>
  <c r="J113" i="64"/>
  <c r="I113" i="64"/>
  <c r="H113" i="64"/>
  <c r="F113" i="64"/>
  <c r="E113" i="64"/>
  <c r="D113" i="64"/>
  <c r="F112" i="64"/>
  <c r="D112" i="64"/>
  <c r="L99" i="64"/>
  <c r="L91" i="64"/>
  <c r="L90" i="64"/>
  <c r="L89" i="64"/>
  <c r="L88" i="64"/>
  <c r="M83" i="64"/>
  <c r="N78" i="64"/>
  <c r="L78" i="64"/>
  <c r="K78" i="64"/>
  <c r="J78" i="64"/>
  <c r="K77" i="64"/>
  <c r="I77" i="64"/>
  <c r="J77" i="64" s="1"/>
  <c r="N76" i="64"/>
  <c r="K76" i="64"/>
  <c r="L76" i="64" s="1"/>
  <c r="F76" i="64"/>
  <c r="I76" i="64" s="1"/>
  <c r="J76" i="64" s="1"/>
  <c r="E76" i="64"/>
  <c r="C76" i="64"/>
  <c r="N75" i="64"/>
  <c r="K75" i="64"/>
  <c r="I75" i="64"/>
  <c r="J75" i="64" s="1"/>
  <c r="N74" i="64"/>
  <c r="K74" i="64"/>
  <c r="E74" i="64"/>
  <c r="C74" i="64"/>
  <c r="I74" i="64" s="1"/>
  <c r="J74" i="64" s="1"/>
  <c r="N73" i="64"/>
  <c r="K73" i="64"/>
  <c r="I73" i="64"/>
  <c r="J73" i="64" s="1"/>
  <c r="N72" i="64"/>
  <c r="K72" i="64"/>
  <c r="E72" i="64"/>
  <c r="C72" i="64"/>
  <c r="I72" i="64" s="1"/>
  <c r="J72" i="64" s="1"/>
  <c r="L72" i="64" s="1"/>
  <c r="N71" i="64"/>
  <c r="K71" i="64"/>
  <c r="I71" i="64"/>
  <c r="J71" i="64" s="1"/>
  <c r="D67" i="64"/>
  <c r="B67" i="64"/>
  <c r="N67" i="64" s="1"/>
  <c r="N66" i="64"/>
  <c r="D66" i="64"/>
  <c r="B66" i="64"/>
  <c r="L66" i="64" s="1"/>
  <c r="D65" i="64"/>
  <c r="B65" i="64"/>
  <c r="N65" i="64" s="1"/>
  <c r="N64" i="64"/>
  <c r="D64" i="64"/>
  <c r="B64" i="64"/>
  <c r="D63" i="64"/>
  <c r="B63" i="64"/>
  <c r="D62" i="64"/>
  <c r="B62" i="64"/>
  <c r="D61" i="64"/>
  <c r="B61" i="64"/>
  <c r="L61" i="64" s="1"/>
  <c r="L60" i="64"/>
  <c r="D60" i="64"/>
  <c r="B60" i="64"/>
  <c r="K60" i="64" s="1"/>
  <c r="D59" i="64"/>
  <c r="B59" i="64"/>
  <c r="H56" i="64"/>
  <c r="N55" i="64"/>
  <c r="L55" i="64"/>
  <c r="K55" i="64"/>
  <c r="I55" i="64"/>
  <c r="H55" i="64"/>
  <c r="D55" i="64"/>
  <c r="N54" i="64"/>
  <c r="N53" i="64"/>
  <c r="K53" i="64"/>
  <c r="L53" i="64" s="1"/>
  <c r="H53" i="64"/>
  <c r="D53" i="64"/>
  <c r="N52" i="64"/>
  <c r="I52" i="64"/>
  <c r="H52" i="64"/>
  <c r="K52" i="64" s="1"/>
  <c r="L52" i="64" s="1"/>
  <c r="D52" i="64"/>
  <c r="N51" i="64"/>
  <c r="L51" i="64"/>
  <c r="I51" i="64"/>
  <c r="H51" i="64"/>
  <c r="D51" i="64"/>
  <c r="D56" i="64" s="1"/>
  <c r="I50" i="64"/>
  <c r="H50" i="64"/>
  <c r="K50" i="64" s="1"/>
  <c r="L50" i="64" s="1"/>
  <c r="D50" i="64"/>
  <c r="K49" i="64"/>
  <c r="L49" i="64" s="1"/>
  <c r="I49" i="64"/>
  <c r="H49" i="64"/>
  <c r="D49" i="64"/>
  <c r="I48" i="64"/>
  <c r="H48" i="64"/>
  <c r="K48" i="64" s="1"/>
  <c r="L48" i="64" s="1"/>
  <c r="D48" i="64"/>
  <c r="G43" i="64"/>
  <c r="G42" i="64"/>
  <c r="G41" i="64"/>
  <c r="B41" i="64"/>
  <c r="K41" i="64" s="1"/>
  <c r="N40" i="64"/>
  <c r="G40" i="64"/>
  <c r="B40" i="64"/>
  <c r="K40" i="64" s="1"/>
  <c r="G39" i="64"/>
  <c r="G38" i="64"/>
  <c r="B38" i="64"/>
  <c r="K38" i="64" s="1"/>
  <c r="N37" i="64"/>
  <c r="G37" i="64"/>
  <c r="B37" i="64"/>
  <c r="K37" i="64" s="1"/>
  <c r="G36" i="64"/>
  <c r="G35" i="64"/>
  <c r="B35" i="64"/>
  <c r="N35" i="64" s="1"/>
  <c r="N33" i="64"/>
  <c r="N32" i="64"/>
  <c r="K32" i="64"/>
  <c r="L32" i="64" s="1"/>
  <c r="J32" i="64"/>
  <c r="H32" i="64"/>
  <c r="G32" i="64"/>
  <c r="B43" i="64" s="1"/>
  <c r="A32" i="64"/>
  <c r="N31" i="64"/>
  <c r="K31" i="64"/>
  <c r="L31" i="64" s="1"/>
  <c r="J31" i="64"/>
  <c r="H31" i="64"/>
  <c r="G31" i="64"/>
  <c r="B42" i="64" s="1"/>
  <c r="A31" i="64"/>
  <c r="N30" i="64"/>
  <c r="K30" i="64"/>
  <c r="L30" i="64" s="1"/>
  <c r="J30" i="64"/>
  <c r="H30" i="64"/>
  <c r="G30" i="64"/>
  <c r="A30" i="64"/>
  <c r="N29" i="64"/>
  <c r="K29" i="64"/>
  <c r="L29" i="64" s="1"/>
  <c r="J29" i="64"/>
  <c r="H29" i="64"/>
  <c r="G29" i="64"/>
  <c r="A29" i="64"/>
  <c r="N28" i="64"/>
  <c r="K28" i="64"/>
  <c r="L28" i="64" s="1"/>
  <c r="J28" i="64"/>
  <c r="G28" i="64"/>
  <c r="B39" i="64" s="1"/>
  <c r="A28" i="64"/>
  <c r="N27" i="64"/>
  <c r="K27" i="64"/>
  <c r="L27" i="64" s="1"/>
  <c r="J27" i="64"/>
  <c r="H27" i="64"/>
  <c r="G27" i="64"/>
  <c r="A27" i="64"/>
  <c r="N26" i="64"/>
  <c r="K26" i="64"/>
  <c r="G26" i="64"/>
  <c r="A26" i="64"/>
  <c r="N25" i="64"/>
  <c r="K25" i="64"/>
  <c r="G25" i="64"/>
  <c r="B36" i="64" s="1"/>
  <c r="A25" i="64"/>
  <c r="N24" i="64"/>
  <c r="K24" i="64"/>
  <c r="G24" i="64"/>
  <c r="A24" i="64"/>
  <c r="N22" i="64"/>
  <c r="N21" i="64"/>
  <c r="E21" i="64"/>
  <c r="N20" i="64"/>
  <c r="L20" i="64"/>
  <c r="K20" i="64"/>
  <c r="J20" i="64"/>
  <c r="H20" i="64"/>
  <c r="G20" i="64"/>
  <c r="E20" i="64"/>
  <c r="N19" i="64"/>
  <c r="L19" i="64"/>
  <c r="K19" i="64"/>
  <c r="B19" i="64"/>
  <c r="J19" i="64" s="1"/>
  <c r="N18" i="64"/>
  <c r="B18" i="64"/>
  <c r="E112" i="64" s="1"/>
  <c r="T17" i="64"/>
  <c r="R17" i="64"/>
  <c r="Q17" i="64"/>
  <c r="T16" i="64"/>
  <c r="R16" i="64"/>
  <c r="Q16" i="64"/>
  <c r="N16" i="64"/>
  <c r="T15" i="64"/>
  <c r="R15" i="64"/>
  <c r="Q15" i="64"/>
  <c r="N15" i="64"/>
  <c r="T13" i="64"/>
  <c r="R13" i="64"/>
  <c r="Q13" i="64"/>
  <c r="N13" i="64"/>
  <c r="K13" i="64"/>
  <c r="L13" i="64" s="1"/>
  <c r="H13" i="64"/>
  <c r="J13" i="64" s="1"/>
  <c r="G13" i="64"/>
  <c r="F13" i="64"/>
  <c r="E13" i="64"/>
  <c r="N12" i="64"/>
  <c r="K12" i="64"/>
  <c r="L12" i="64" s="1"/>
  <c r="J12" i="64"/>
  <c r="H12" i="64"/>
  <c r="G12" i="64"/>
  <c r="F12" i="64"/>
  <c r="E12" i="64"/>
  <c r="Q11" i="64"/>
  <c r="R11" i="64" s="1"/>
  <c r="N11" i="64"/>
  <c r="K11" i="64"/>
  <c r="L11" i="64" s="1"/>
  <c r="H11" i="64"/>
  <c r="J11" i="64" s="1"/>
  <c r="G11" i="64"/>
  <c r="F11" i="64"/>
  <c r="E11" i="64"/>
  <c r="T10" i="64"/>
  <c r="S10" i="64"/>
  <c r="R10" i="64"/>
  <c r="Q10" i="64"/>
  <c r="N10" i="64"/>
  <c r="K10" i="64"/>
  <c r="G10" i="64"/>
  <c r="F10" i="64"/>
  <c r="E10" i="64"/>
  <c r="H10" i="64" s="1"/>
  <c r="J10" i="64" s="1"/>
  <c r="T9" i="64"/>
  <c r="S9" i="64" s="1"/>
  <c r="R9" i="64"/>
  <c r="Q9" i="64"/>
  <c r="N9" i="64"/>
  <c r="M9" i="64"/>
  <c r="K9" i="64"/>
  <c r="L9" i="64" s="1"/>
  <c r="J9" i="64"/>
  <c r="G9" i="64"/>
  <c r="E9" i="64"/>
  <c r="T8" i="64"/>
  <c r="Q8" i="64"/>
  <c r="R8" i="64" s="1"/>
  <c r="T7" i="64"/>
  <c r="Q7" i="64"/>
  <c r="R7" i="64" s="1"/>
  <c r="F9" i="64" s="1"/>
  <c r="T6" i="64"/>
  <c r="R6" i="64"/>
  <c r="Q6" i="64"/>
  <c r="M1" i="64"/>
  <c r="J1" i="64"/>
  <c r="L90" i="54"/>
  <c r="L89" i="54"/>
  <c r="L99" i="54"/>
  <c r="H112" i="64"/>
  <c r="H24" i="64"/>
  <c r="I112" i="64"/>
  <c r="H26" i="64"/>
  <c r="H25" i="64"/>
  <c r="L112" i="64"/>
  <c r="J26" i="63" l="1"/>
  <c r="N26" i="63"/>
  <c r="S10" i="63"/>
  <c r="Q26" i="63"/>
  <c r="J25" i="64"/>
  <c r="L25" i="64" s="1"/>
  <c r="J26" i="64"/>
  <c r="J24" i="64"/>
  <c r="N39" i="64"/>
  <c r="K39" i="64"/>
  <c r="H39" i="64"/>
  <c r="J39" i="64" s="1"/>
  <c r="L39" i="64" s="1"/>
  <c r="L77" i="64"/>
  <c r="L26" i="64"/>
  <c r="L10" i="64"/>
  <c r="L73" i="64"/>
  <c r="N36" i="64"/>
  <c r="K36" i="64"/>
  <c r="H36" i="64"/>
  <c r="J36" i="64" s="1"/>
  <c r="L36" i="64" s="1"/>
  <c r="L56" i="64"/>
  <c r="F64" i="64"/>
  <c r="K42" i="64"/>
  <c r="N42" i="64"/>
  <c r="H42" i="64"/>
  <c r="J42" i="64" s="1"/>
  <c r="L42" i="64" s="1"/>
  <c r="L75" i="64"/>
  <c r="H43" i="64"/>
  <c r="J43" i="64" s="1"/>
  <c r="L43" i="64" s="1"/>
  <c r="K43" i="64"/>
  <c r="N43" i="64"/>
  <c r="L74" i="64"/>
  <c r="L71" i="64"/>
  <c r="J80" i="64"/>
  <c r="J15" i="64"/>
  <c r="L15" i="64"/>
  <c r="J156" i="64" a="1"/>
  <c r="J156" i="64" s="1"/>
  <c r="H38" i="64"/>
  <c r="J38" i="64" s="1"/>
  <c r="L38" i="64" s="1"/>
  <c r="I64" i="64"/>
  <c r="L64" i="64" s="1"/>
  <c r="E67" i="64"/>
  <c r="H35" i="64"/>
  <c r="J35" i="64" s="1"/>
  <c r="E148" i="64" a="1"/>
  <c r="E148" i="64" s="1"/>
  <c r="K35" i="64"/>
  <c r="H41" i="64"/>
  <c r="J41" i="64" s="1"/>
  <c r="L41" i="64" s="1"/>
  <c r="F61" i="64"/>
  <c r="I61" i="64"/>
  <c r="D150" i="64" a="1"/>
  <c r="D150" i="64" s="1"/>
  <c r="J61" i="64"/>
  <c r="N38" i="64"/>
  <c r="E150" i="64" a="1"/>
  <c r="E150" i="64" s="1"/>
  <c r="J153" i="64" a="1"/>
  <c r="J153" i="64" s="1"/>
  <c r="E18" i="64"/>
  <c r="N41" i="64"/>
  <c r="H114" i="64"/>
  <c r="I114" i="64"/>
  <c r="H18" i="64"/>
  <c r="J18" i="64" s="1"/>
  <c r="J21" i="64" s="1"/>
  <c r="F65" i="64"/>
  <c r="E64" i="64"/>
  <c r="K64" i="64" s="1"/>
  <c r="L144" i="64" a="1"/>
  <c r="L144" i="64" s="1"/>
  <c r="D148" i="64" a="1"/>
  <c r="D148" i="64" s="1"/>
  <c r="L149" i="64" a="1"/>
  <c r="L149" i="64" s="1"/>
  <c r="F67" i="64"/>
  <c r="I67" i="64"/>
  <c r="D145" i="64" a="1"/>
  <c r="D145" i="64" s="1"/>
  <c r="L146" i="64" a="1"/>
  <c r="L146" i="64" s="1"/>
  <c r="J151" i="64" a="1"/>
  <c r="J151" i="64" s="1"/>
  <c r="L152" i="64" a="1"/>
  <c r="L152" i="64" s="1"/>
  <c r="K61" i="64"/>
  <c r="E145" i="64" a="1"/>
  <c r="E145" i="64" s="1"/>
  <c r="D147" i="64" a="1"/>
  <c r="D147" i="64" s="1"/>
  <c r="L148" i="64" a="1"/>
  <c r="L148" i="64" s="1"/>
  <c r="K62" i="64"/>
  <c r="L62" i="64" s="1"/>
  <c r="L65" i="64"/>
  <c r="J158" i="64" a="1"/>
  <c r="J158" i="64" s="1"/>
  <c r="E61" i="64"/>
  <c r="K67" i="64"/>
  <c r="L67" i="64"/>
  <c r="E65" i="64"/>
  <c r="L151" i="64" a="1"/>
  <c r="L151" i="64" s="1"/>
  <c r="K18" i="64"/>
  <c r="J154" i="64" a="1"/>
  <c r="J154" i="64" s="1"/>
  <c r="E60" i="64"/>
  <c r="E63" i="64"/>
  <c r="E66" i="64"/>
  <c r="H37" i="64"/>
  <c r="J37" i="64" s="1"/>
  <c r="L37" i="64" s="1"/>
  <c r="F60" i="64"/>
  <c r="F63" i="64"/>
  <c r="F66" i="64"/>
  <c r="E19" i="64"/>
  <c r="G19" i="64"/>
  <c r="H40" i="64"/>
  <c r="J40" i="64" s="1"/>
  <c r="L40" i="64" s="1"/>
  <c r="I60" i="64"/>
  <c r="K63" i="64"/>
  <c r="L63" i="64" s="1"/>
  <c r="I66" i="64"/>
  <c r="D146" i="64" a="1"/>
  <c r="D146" i="64" s="1"/>
  <c r="D151" i="64" a="1"/>
  <c r="D151" i="64" s="1"/>
  <c r="J155" i="64" a="1"/>
  <c r="J155" i="64" s="1"/>
  <c r="K159" i="64" a="1"/>
  <c r="K159" i="64" s="1"/>
  <c r="H19" i="64"/>
  <c r="J60" i="64"/>
  <c r="K66" i="64"/>
  <c r="I48" i="54"/>
  <c r="E39" i="8"/>
  <c r="I59" i="64"/>
  <c r="E59" i="64"/>
  <c r="K112" i="64"/>
  <c r="F59" i="64"/>
  <c r="J112" i="64"/>
  <c r="G18" i="64" l="1"/>
  <c r="K59" i="64"/>
  <c r="L59" i="64" s="1"/>
  <c r="L68" i="64" s="1"/>
  <c r="L80" i="64"/>
  <c r="J33" i="64"/>
  <c r="J81" i="64" s="1"/>
  <c r="L83" i="64" s="1"/>
  <c r="L24" i="64"/>
  <c r="L33" i="64" s="1"/>
  <c r="L35" i="64"/>
  <c r="L44" i="64" s="1"/>
  <c r="J44" i="64"/>
  <c r="L18" i="64"/>
  <c r="L21" i="64" s="1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19" i="8"/>
  <c r="H24" i="54"/>
  <c r="L81" i="64" l="1"/>
  <c r="D160" i="54"/>
  <c r="D158" i="54" s="1"/>
  <c r="I152" i="54"/>
  <c r="H152" i="54"/>
  <c r="C152" i="54"/>
  <c r="B152" i="54"/>
  <c r="I151" i="54"/>
  <c r="H151" i="54"/>
  <c r="C151" i="54"/>
  <c r="B151" i="54"/>
  <c r="I150" i="54"/>
  <c r="H150" i="54"/>
  <c r="C150" i="54"/>
  <c r="B150" i="54"/>
  <c r="I149" i="54"/>
  <c r="H149" i="54"/>
  <c r="C149" i="54"/>
  <c r="B149" i="54"/>
  <c r="I148" i="54"/>
  <c r="H148" i="54"/>
  <c r="K155" i="54" s="1" a="1"/>
  <c r="K155" i="54" s="1"/>
  <c r="C148" i="54"/>
  <c r="B148" i="54"/>
  <c r="I147" i="54"/>
  <c r="H147" i="54"/>
  <c r="C147" i="54"/>
  <c r="B147" i="54"/>
  <c r="I146" i="54"/>
  <c r="H146" i="54"/>
  <c r="C146" i="54"/>
  <c r="B146" i="54"/>
  <c r="I145" i="54"/>
  <c r="H145" i="54"/>
  <c r="C145" i="54"/>
  <c r="B145" i="54"/>
  <c r="I144" i="54"/>
  <c r="H144" i="54"/>
  <c r="C144" i="54"/>
  <c r="B144" i="54"/>
  <c r="E144" i="54" s="1" a="1"/>
  <c r="E144" i="54" s="1"/>
  <c r="F114" i="54"/>
  <c r="E114" i="54"/>
  <c r="D114" i="54"/>
  <c r="J114" i="54" s="1"/>
  <c r="F113" i="54"/>
  <c r="D113" i="54"/>
  <c r="J113" i="54" s="1"/>
  <c r="F112" i="54"/>
  <c r="D112" i="54"/>
  <c r="L91" i="54"/>
  <c r="L88" i="54"/>
  <c r="M83" i="54"/>
  <c r="N78" i="54"/>
  <c r="K78" i="54"/>
  <c r="J78" i="54"/>
  <c r="K77" i="54"/>
  <c r="I77" i="54"/>
  <c r="J77" i="54" s="1"/>
  <c r="N76" i="54"/>
  <c r="K76" i="54"/>
  <c r="F76" i="54"/>
  <c r="C76" i="54"/>
  <c r="N75" i="54"/>
  <c r="K75" i="54"/>
  <c r="I75" i="54"/>
  <c r="J75" i="54" s="1"/>
  <c r="N74" i="54"/>
  <c r="K74" i="54"/>
  <c r="E74" i="54"/>
  <c r="C74" i="54"/>
  <c r="I74" i="54" s="1"/>
  <c r="J74" i="54" s="1"/>
  <c r="N73" i="54"/>
  <c r="K73" i="54"/>
  <c r="I73" i="54"/>
  <c r="J73" i="54" s="1"/>
  <c r="N72" i="54"/>
  <c r="K72" i="54"/>
  <c r="E72" i="54"/>
  <c r="C72" i="54"/>
  <c r="N71" i="54"/>
  <c r="K71" i="54"/>
  <c r="I71" i="54"/>
  <c r="J71" i="54" s="1"/>
  <c r="D67" i="54"/>
  <c r="B67" i="54"/>
  <c r="I67" i="54" s="1"/>
  <c r="D66" i="54"/>
  <c r="B66" i="54"/>
  <c r="I66" i="54" s="1"/>
  <c r="D65" i="54"/>
  <c r="B65" i="54"/>
  <c r="N65" i="54" s="1"/>
  <c r="D64" i="54"/>
  <c r="B64" i="54"/>
  <c r="N64" i="54" s="1"/>
  <c r="D63" i="54"/>
  <c r="B63" i="54"/>
  <c r="D62" i="54"/>
  <c r="B62" i="54"/>
  <c r="K62" i="54" s="1"/>
  <c r="L62" i="54" s="1"/>
  <c r="D61" i="54"/>
  <c r="B61" i="54"/>
  <c r="I61" i="54" s="1"/>
  <c r="D60" i="54"/>
  <c r="D59" i="54"/>
  <c r="H56" i="54"/>
  <c r="N55" i="54"/>
  <c r="L55" i="54"/>
  <c r="K55" i="54"/>
  <c r="I55" i="54"/>
  <c r="H55" i="54"/>
  <c r="D55" i="54"/>
  <c r="N54" i="54"/>
  <c r="N53" i="54"/>
  <c r="H53" i="54"/>
  <c r="D53" i="54"/>
  <c r="N52" i="54"/>
  <c r="I52" i="54"/>
  <c r="H52" i="54"/>
  <c r="D52" i="54"/>
  <c r="N51" i="54"/>
  <c r="L51" i="54"/>
  <c r="I51" i="54"/>
  <c r="H51" i="54"/>
  <c r="D51" i="54"/>
  <c r="I50" i="54"/>
  <c r="H50" i="54"/>
  <c r="D50" i="54"/>
  <c r="I49" i="54"/>
  <c r="H49" i="54"/>
  <c r="D49" i="54"/>
  <c r="H48" i="54"/>
  <c r="D48" i="54"/>
  <c r="G43" i="54"/>
  <c r="G42" i="54"/>
  <c r="G41" i="54"/>
  <c r="G40" i="54"/>
  <c r="G39" i="54"/>
  <c r="G38" i="54"/>
  <c r="G37" i="54"/>
  <c r="G36" i="54"/>
  <c r="G35" i="54"/>
  <c r="N33" i="54"/>
  <c r="N32" i="54"/>
  <c r="K32" i="54"/>
  <c r="L32" i="54" s="1"/>
  <c r="J32" i="54"/>
  <c r="H32" i="54"/>
  <c r="G32" i="54"/>
  <c r="B43" i="54" s="1"/>
  <c r="A32" i="54"/>
  <c r="N31" i="54"/>
  <c r="K31" i="54"/>
  <c r="L31" i="54" s="1"/>
  <c r="J31" i="54"/>
  <c r="H31" i="54"/>
  <c r="G31" i="54"/>
  <c r="B42" i="54" s="1"/>
  <c r="A31" i="54"/>
  <c r="N30" i="54"/>
  <c r="K30" i="54"/>
  <c r="L30" i="54" s="1"/>
  <c r="J30" i="54"/>
  <c r="H30" i="54"/>
  <c r="G30" i="54"/>
  <c r="B41" i="54" s="1"/>
  <c r="A30" i="54"/>
  <c r="N29" i="54"/>
  <c r="K29" i="54"/>
  <c r="L29" i="54" s="1"/>
  <c r="J29" i="54"/>
  <c r="H29" i="54"/>
  <c r="G29" i="54"/>
  <c r="B40" i="54" s="1"/>
  <c r="A29" i="54"/>
  <c r="N28" i="54"/>
  <c r="K28" i="54"/>
  <c r="L28" i="54" s="1"/>
  <c r="J28" i="54"/>
  <c r="G28" i="54"/>
  <c r="B39" i="54" s="1"/>
  <c r="N39" i="54" s="1"/>
  <c r="A28" i="54"/>
  <c r="N27" i="54"/>
  <c r="K27" i="54"/>
  <c r="L27" i="54" s="1"/>
  <c r="J27" i="54"/>
  <c r="H27" i="54"/>
  <c r="G27" i="54"/>
  <c r="B38" i="54" s="1"/>
  <c r="A27" i="54"/>
  <c r="N26" i="54"/>
  <c r="K26" i="54"/>
  <c r="G26" i="54"/>
  <c r="B37" i="54" s="1"/>
  <c r="A26" i="54"/>
  <c r="N25" i="54"/>
  <c r="K25" i="54"/>
  <c r="G25" i="54"/>
  <c r="B36" i="54" s="1"/>
  <c r="A25" i="54"/>
  <c r="N24" i="54"/>
  <c r="K24" i="54"/>
  <c r="J24" i="54"/>
  <c r="G24" i="54"/>
  <c r="B35" i="54" s="1"/>
  <c r="A24" i="54"/>
  <c r="N22" i="54"/>
  <c r="N21" i="54"/>
  <c r="E21" i="54"/>
  <c r="N20" i="54"/>
  <c r="L20" i="54"/>
  <c r="K20" i="54"/>
  <c r="J20" i="54"/>
  <c r="H20" i="54"/>
  <c r="G20" i="54"/>
  <c r="E20" i="54"/>
  <c r="B19" i="54"/>
  <c r="B60" i="54" s="1"/>
  <c r="B18" i="54"/>
  <c r="B59" i="54" s="1"/>
  <c r="T17" i="54"/>
  <c r="R17" i="54"/>
  <c r="Q17" i="54"/>
  <c r="T16" i="54"/>
  <c r="R16" i="54"/>
  <c r="Q16" i="54"/>
  <c r="N16" i="54"/>
  <c r="T15" i="54"/>
  <c r="R15" i="54"/>
  <c r="Q15" i="54"/>
  <c r="N15" i="54"/>
  <c r="T13" i="54"/>
  <c r="R13" i="54"/>
  <c r="Q13" i="54"/>
  <c r="N13" i="54"/>
  <c r="K13" i="54"/>
  <c r="L13" i="54" s="1"/>
  <c r="H13" i="54"/>
  <c r="J13" i="54" s="1"/>
  <c r="G13" i="54"/>
  <c r="F13" i="54"/>
  <c r="E13" i="54"/>
  <c r="N12" i="54"/>
  <c r="K12" i="54"/>
  <c r="L12" i="54" s="1"/>
  <c r="H12" i="54"/>
  <c r="J12" i="54" s="1"/>
  <c r="G12" i="54"/>
  <c r="F12" i="54"/>
  <c r="E12" i="54"/>
  <c r="Q11" i="54"/>
  <c r="R11" i="54" s="1"/>
  <c r="N11" i="54"/>
  <c r="K11" i="54"/>
  <c r="L11" i="54" s="1"/>
  <c r="H11" i="54"/>
  <c r="J11" i="54" s="1"/>
  <c r="G11" i="54"/>
  <c r="F11" i="54"/>
  <c r="E11" i="54"/>
  <c r="T10" i="54"/>
  <c r="S10" i="54" s="1"/>
  <c r="R10" i="54"/>
  <c r="Q10" i="54"/>
  <c r="N10" i="54"/>
  <c r="K10" i="54"/>
  <c r="T9" i="54"/>
  <c r="S9" i="54" s="1"/>
  <c r="R9" i="54"/>
  <c r="F10" i="54" s="1"/>
  <c r="Q9" i="54"/>
  <c r="E10" i="54" s="1"/>
  <c r="N9" i="54"/>
  <c r="M9" i="54"/>
  <c r="K9" i="54"/>
  <c r="T8" i="54"/>
  <c r="Q8" i="54"/>
  <c r="R8" i="54" s="1"/>
  <c r="T7" i="54"/>
  <c r="G9" i="54" s="1"/>
  <c r="Q7" i="54"/>
  <c r="E9" i="54" s="1"/>
  <c r="T6" i="54"/>
  <c r="Q6" i="54"/>
  <c r="R6" i="54" s="1"/>
  <c r="M1" i="54"/>
  <c r="J1" i="54"/>
  <c r="H26" i="54"/>
  <c r="H25" i="54"/>
  <c r="L84" i="64" l="1"/>
  <c r="L85" i="64"/>
  <c r="J153" i="54" a="1"/>
  <c r="J153" i="54" s="1"/>
  <c r="I64" i="54" s="1"/>
  <c r="J156" i="54" a="1"/>
  <c r="J156" i="54" s="1"/>
  <c r="N40" i="54"/>
  <c r="H40" i="54"/>
  <c r="J40" i="54" s="1"/>
  <c r="L40" i="54" s="1"/>
  <c r="K48" i="54"/>
  <c r="L48" i="54" s="1"/>
  <c r="K67" i="54"/>
  <c r="F149" i="54" a="1"/>
  <c r="F149" i="54" s="1"/>
  <c r="L77" i="54"/>
  <c r="E61" i="54"/>
  <c r="D146" i="54" a="1"/>
  <c r="D146" i="54" s="1"/>
  <c r="E19" i="54"/>
  <c r="F61" i="54"/>
  <c r="F145" i="54" a="1"/>
  <c r="F145" i="54" s="1"/>
  <c r="H43" i="54"/>
  <c r="J43" i="54" s="1"/>
  <c r="L43" i="54" s="1"/>
  <c r="K43" i="54"/>
  <c r="R7" i="54"/>
  <c r="F9" i="54" s="1"/>
  <c r="J9" i="54" s="1"/>
  <c r="L9" i="54" s="1"/>
  <c r="L78" i="54"/>
  <c r="K152" i="54" a="1"/>
  <c r="K152" i="54" s="1"/>
  <c r="E63" i="54" s="1"/>
  <c r="K63" i="54" s="1"/>
  <c r="L63" i="54" s="1"/>
  <c r="D150" i="54" a="1"/>
  <c r="D150" i="54" s="1"/>
  <c r="E66" i="54"/>
  <c r="E150" i="54" a="1"/>
  <c r="E150" i="54" s="1"/>
  <c r="F66" i="54"/>
  <c r="K66" i="54"/>
  <c r="L73" i="54"/>
  <c r="E146" i="54" a="1"/>
  <c r="E146" i="54" s="1"/>
  <c r="L150" i="54" a="1"/>
  <c r="L150" i="54" s="1"/>
  <c r="J61" i="54"/>
  <c r="F147" i="54" a="1"/>
  <c r="F147" i="54" s="1"/>
  <c r="J158" i="54" a="1"/>
  <c r="J158" i="54" s="1"/>
  <c r="K52" i="54"/>
  <c r="L52" i="54" s="1"/>
  <c r="K61" i="54"/>
  <c r="E67" i="54"/>
  <c r="L61" i="54"/>
  <c r="F67" i="54"/>
  <c r="K154" i="54" a="1"/>
  <c r="K154" i="54" s="1"/>
  <c r="F152" i="54" a="1"/>
  <c r="F152" i="54" s="1"/>
  <c r="L66" i="54"/>
  <c r="N66" i="54"/>
  <c r="F151" i="54" a="1"/>
  <c r="F151" i="54" s="1"/>
  <c r="K53" i="54"/>
  <c r="L53" i="54" s="1"/>
  <c r="L67" i="54"/>
  <c r="L75" i="54"/>
  <c r="D148" i="54" a="1"/>
  <c r="D148" i="54" s="1"/>
  <c r="K159" i="54" a="1"/>
  <c r="K159" i="54" s="1"/>
  <c r="N67" i="54"/>
  <c r="H114" i="54"/>
  <c r="E148" i="54" a="1"/>
  <c r="E148" i="54" s="1"/>
  <c r="L146" i="54" a="1"/>
  <c r="L146" i="54" s="1"/>
  <c r="F64" i="54" s="1"/>
  <c r="L148" i="54" a="1"/>
  <c r="L148" i="54" s="1"/>
  <c r="L71" i="54"/>
  <c r="K151" i="54" a="1"/>
  <c r="K151" i="54" s="1"/>
  <c r="I72" i="54"/>
  <c r="J72" i="54" s="1"/>
  <c r="L72" i="54" s="1"/>
  <c r="L24" i="54"/>
  <c r="K50" i="54"/>
  <c r="L50" i="54" s="1"/>
  <c r="K49" i="54"/>
  <c r="L49" i="54" s="1"/>
  <c r="D56" i="54"/>
  <c r="L144" i="54" a="1"/>
  <c r="L144" i="54" s="1"/>
  <c r="D144" i="54" a="1"/>
  <c r="D144" i="54" s="1"/>
  <c r="J26" i="54"/>
  <c r="L26" i="54" s="1"/>
  <c r="J25" i="54"/>
  <c r="K36" i="54"/>
  <c r="H36" i="54"/>
  <c r="J36" i="54" s="1"/>
  <c r="N36" i="54"/>
  <c r="N38" i="54"/>
  <c r="K38" i="54"/>
  <c r="H38" i="54"/>
  <c r="J38" i="54" s="1"/>
  <c r="L38" i="54" s="1"/>
  <c r="H42" i="54"/>
  <c r="J42" i="54" s="1"/>
  <c r="L42" i="54" s="1"/>
  <c r="N42" i="54"/>
  <c r="K42" i="54"/>
  <c r="H35" i="54"/>
  <c r="J35" i="54" s="1"/>
  <c r="K35" i="54"/>
  <c r="N35" i="54"/>
  <c r="L74" i="54"/>
  <c r="N41" i="54"/>
  <c r="K41" i="54"/>
  <c r="H41" i="54"/>
  <c r="J41" i="54" s="1"/>
  <c r="L41" i="54" s="1"/>
  <c r="K37" i="54"/>
  <c r="N37" i="54"/>
  <c r="H37" i="54"/>
  <c r="J37" i="54" s="1"/>
  <c r="F60" i="54"/>
  <c r="L60" i="54"/>
  <c r="K60" i="54"/>
  <c r="J60" i="54"/>
  <c r="I60" i="54"/>
  <c r="E60" i="54"/>
  <c r="D156" i="54"/>
  <c r="D154" i="54" s="1"/>
  <c r="D155" i="54"/>
  <c r="L86" i="54" s="1"/>
  <c r="H19" i="54"/>
  <c r="H39" i="54"/>
  <c r="J39" i="54" s="1"/>
  <c r="L39" i="54" s="1"/>
  <c r="N43" i="54"/>
  <c r="E65" i="54"/>
  <c r="I114" i="54"/>
  <c r="F144" i="54" a="1"/>
  <c r="F144" i="54" s="1"/>
  <c r="D145" i="54" a="1"/>
  <c r="D145" i="54" s="1"/>
  <c r="L145" i="54" a="1"/>
  <c r="L145" i="54" s="1"/>
  <c r="F63" i="54" s="1"/>
  <c r="F146" i="54" a="1"/>
  <c r="F146" i="54" s="1"/>
  <c r="D147" i="54" a="1"/>
  <c r="D147" i="54" s="1"/>
  <c r="L147" i="54" a="1"/>
  <c r="L147" i="54" s="1"/>
  <c r="F148" i="54" a="1"/>
  <c r="F148" i="54" s="1"/>
  <c r="D149" i="54" a="1"/>
  <c r="D149" i="54" s="1"/>
  <c r="L149" i="54" a="1"/>
  <c r="L149" i="54" s="1"/>
  <c r="F150" i="54" a="1"/>
  <c r="F150" i="54" s="1"/>
  <c r="D151" i="54" a="1"/>
  <c r="D151" i="54" s="1"/>
  <c r="J151" i="54" a="1"/>
  <c r="J151" i="54" s="1"/>
  <c r="D152" i="54" a="1"/>
  <c r="D152" i="54" s="1"/>
  <c r="J152" i="54" a="1"/>
  <c r="J152" i="54" s="1"/>
  <c r="K153" i="54" a="1"/>
  <c r="K153" i="54" s="1"/>
  <c r="E64" i="54" s="1"/>
  <c r="K64" i="54" s="1"/>
  <c r="J155" i="54" a="1"/>
  <c r="J155" i="54" s="1"/>
  <c r="K158" i="54" a="1"/>
  <c r="K158" i="54" s="1"/>
  <c r="K156" i="54" a="1"/>
  <c r="K156" i="54" s="1"/>
  <c r="G10" i="54"/>
  <c r="H10" i="54" s="1"/>
  <c r="J10" i="54" s="1"/>
  <c r="J19" i="54"/>
  <c r="K40" i="54"/>
  <c r="F65" i="54"/>
  <c r="H113" i="54"/>
  <c r="J157" i="54" a="1"/>
  <c r="J157" i="54" s="1"/>
  <c r="G19" i="54"/>
  <c r="K19" i="54"/>
  <c r="K39" i="54"/>
  <c r="L65" i="54"/>
  <c r="I113" i="54"/>
  <c r="E145" i="54" a="1"/>
  <c r="E145" i="54" s="1"/>
  <c r="E147" i="54" a="1"/>
  <c r="E147" i="54" s="1"/>
  <c r="E149" i="54" a="1"/>
  <c r="E149" i="54" s="1"/>
  <c r="E151" i="54" a="1"/>
  <c r="E151" i="54" s="1"/>
  <c r="E152" i="54" a="1"/>
  <c r="E152" i="54" s="1"/>
  <c r="J159" i="54" a="1"/>
  <c r="J159" i="54" s="1"/>
  <c r="L19" i="54"/>
  <c r="E76" i="54"/>
  <c r="I76" i="54" s="1"/>
  <c r="J76" i="54" s="1"/>
  <c r="J154" i="54" a="1"/>
  <c r="J154" i="54" s="1"/>
  <c r="K157" i="54" a="1"/>
  <c r="K157" i="54" s="1"/>
  <c r="E112" i="54"/>
  <c r="E113" i="54"/>
  <c r="N18" i="54"/>
  <c r="N19" i="54"/>
  <c r="L151" i="54" a="1"/>
  <c r="L151" i="54" s="1"/>
  <c r="L152" i="54" a="1"/>
  <c r="L152" i="54" s="1"/>
  <c r="H112" i="54"/>
  <c r="E59" i="54"/>
  <c r="K112" i="54"/>
  <c r="L112" i="54"/>
  <c r="J112" i="54"/>
  <c r="I59" i="54"/>
  <c r="I112" i="54"/>
  <c r="L96" i="64" l="1"/>
  <c r="L100" i="64" s="1"/>
  <c r="J33" i="54"/>
  <c r="L64" i="54"/>
  <c r="L25" i="54"/>
  <c r="L33" i="54" s="1"/>
  <c r="L56" i="54"/>
  <c r="L36" i="54"/>
  <c r="E18" i="54"/>
  <c r="H18" i="54"/>
  <c r="J18" i="54" s="1"/>
  <c r="K59" i="54"/>
  <c r="L59" i="54" s="1"/>
  <c r="G18" i="54"/>
  <c r="J80" i="54"/>
  <c r="L76" i="54"/>
  <c r="L80" i="54" s="1"/>
  <c r="L10" i="54"/>
  <c r="L15" i="54" s="1"/>
  <c r="J15" i="54"/>
  <c r="L35" i="54"/>
  <c r="J44" i="54"/>
  <c r="L37" i="54"/>
  <c r="E13" i="8"/>
  <c r="F59" i="54"/>
  <c r="L68" i="54" l="1"/>
  <c r="L44" i="54"/>
  <c r="J21" i="54"/>
  <c r="J81" i="54" s="1"/>
  <c r="L83" i="54" s="1"/>
  <c r="L6" i="8" l="1"/>
  <c r="L5" i="8" l="1"/>
  <c r="E10" i="8" l="1"/>
  <c r="B9" i="8"/>
  <c r="A9" i="8"/>
  <c r="A5" i="8"/>
  <c r="E8" i="8"/>
  <c r="B7" i="8"/>
  <c r="A7" i="8"/>
  <c r="G8" i="8" l="1"/>
  <c r="G10" i="8"/>
  <c r="C7" i="8"/>
  <c r="C5" i="8"/>
  <c r="E6" i="8"/>
  <c r="B5" i="8"/>
  <c r="G6" i="8" l="1"/>
  <c r="C9" i="8" l="1"/>
  <c r="A3" i="8" l="1"/>
  <c r="B3" i="8" l="1"/>
  <c r="L14" i="8" l="1"/>
  <c r="L15" i="8"/>
  <c r="L16" i="8"/>
  <c r="L17" i="8"/>
  <c r="L18" i="8"/>
  <c r="L19" i="8"/>
  <c r="L20" i="8"/>
  <c r="L21" i="8"/>
  <c r="L22" i="8"/>
  <c r="L23" i="8"/>
  <c r="L24" i="8"/>
  <c r="L13" i="8"/>
  <c r="L12" i="8"/>
  <c r="L7" i="8"/>
  <c r="L8" i="8"/>
  <c r="L9" i="8"/>
  <c r="L10" i="8"/>
  <c r="L11" i="8"/>
  <c r="K18" i="54" l="1"/>
  <c r="L18" i="54" s="1"/>
  <c r="L21" i="54" s="1"/>
  <c r="L81" i="54" s="1"/>
  <c r="L4" i="8"/>
  <c r="L84" i="54" l="1"/>
  <c r="L85" i="54"/>
  <c r="L96" i="54" l="1"/>
  <c r="L100" i="54"/>
  <c r="D7" i="8"/>
  <c r="E7" i="8" s="1"/>
  <c r="G7" i="8" s="1"/>
  <c r="D9" i="8"/>
  <c r="E9" i="8" s="1"/>
  <c r="G9" i="8" s="1"/>
  <c r="D5" i="8"/>
  <c r="E14" i="8" s="1"/>
  <c r="E5" i="8" l="1"/>
  <c r="G5" i="8" s="1"/>
  <c r="C3" i="8" l="1"/>
  <c r="O25" i="3"/>
  <c r="G26" i="1" l="1"/>
  <c r="G25" i="1"/>
  <c r="K3" i="1" l="1"/>
  <c r="L3" i="1" s="1"/>
  <c r="K4" i="1"/>
  <c r="L4" i="1" s="1"/>
  <c r="J8" i="1"/>
  <c r="K8" i="1" s="1"/>
  <c r="J9" i="1"/>
  <c r="K9" i="1" s="1"/>
  <c r="K13" i="1"/>
  <c r="L13" i="1" s="1"/>
  <c r="M13" i="1"/>
  <c r="K14" i="1"/>
  <c r="L14" i="1"/>
  <c r="M14" i="1"/>
  <c r="L40" i="1"/>
  <c r="L41" i="1"/>
  <c r="F45" i="1"/>
  <c r="F46" i="1"/>
  <c r="B59" i="1"/>
  <c r="C59" i="1"/>
  <c r="K60" i="1"/>
  <c r="K61" i="1"/>
  <c r="E76" i="1"/>
  <c r="H76" i="1" s="1"/>
  <c r="H77" i="1"/>
  <c r="E78" i="1"/>
  <c r="H78" i="1" s="1"/>
  <c r="H79" i="1"/>
  <c r="E49" i="3"/>
  <c r="F66" i="1"/>
  <c r="G106" i="3"/>
  <c r="I51" i="1"/>
  <c r="C106" i="3"/>
  <c r="L79" i="3"/>
  <c r="G79" i="3"/>
  <c r="E65" i="1"/>
  <c r="L148" i="3"/>
  <c r="I25" i="3"/>
  <c r="U148" i="3"/>
  <c r="I106" i="3"/>
  <c r="G18" i="1"/>
  <c r="D148" i="3"/>
  <c r="M79" i="3"/>
  <c r="F127" i="3"/>
  <c r="I50" i="1"/>
  <c r="E173" i="3"/>
  <c r="P79" i="3"/>
  <c r="C173" i="3"/>
  <c r="E4" i="3"/>
  <c r="Q49" i="3"/>
  <c r="M148" i="3"/>
  <c r="H25" i="3"/>
  <c r="F65" i="1"/>
  <c r="U173" i="3"/>
  <c r="F25" i="3"/>
  <c r="D71" i="1"/>
  <c r="E71" i="1"/>
  <c r="C4" i="3"/>
  <c r="K148" i="3"/>
  <c r="D127" i="3"/>
  <c r="K4" i="3"/>
  <c r="S148" i="3"/>
  <c r="F49" i="3"/>
  <c r="V173" i="3"/>
  <c r="F35" i="1"/>
  <c r="N173" i="3"/>
  <c r="R173" i="3"/>
  <c r="M49" i="3"/>
  <c r="T173" i="3"/>
  <c r="K106" i="3"/>
  <c r="C79" i="3"/>
  <c r="Q148" i="3"/>
  <c r="H127" i="3"/>
  <c r="G127" i="3"/>
  <c r="G66" i="1"/>
  <c r="J4" i="3"/>
  <c r="J49" i="3"/>
  <c r="W173" i="3"/>
  <c r="G19" i="1"/>
  <c r="J106" i="3"/>
  <c r="F148" i="3"/>
  <c r="S173" i="3"/>
  <c r="C127" i="3"/>
  <c r="O148" i="3"/>
  <c r="D25" i="3"/>
  <c r="F36" i="1"/>
  <c r="K49" i="3"/>
  <c r="N148" i="3"/>
  <c r="H148" i="3"/>
  <c r="F4" i="3"/>
  <c r="G173" i="3"/>
  <c r="C148" i="3"/>
  <c r="Q173" i="3"/>
  <c r="E70" i="1"/>
  <c r="F79" i="3"/>
  <c r="J79" i="3"/>
  <c r="H79" i="3"/>
  <c r="F26" i="1"/>
  <c r="P148" i="3"/>
  <c r="I173" i="3"/>
  <c r="N106" i="3"/>
  <c r="W148" i="3"/>
  <c r="I127" i="3"/>
  <c r="H49" i="3"/>
  <c r="E148" i="3"/>
  <c r="I148" i="3"/>
  <c r="G148" i="3"/>
  <c r="F173" i="3"/>
  <c r="F25" i="1"/>
  <c r="M25" i="3"/>
  <c r="H106" i="3"/>
  <c r="E25" i="3"/>
  <c r="D70" i="1"/>
  <c r="E106" i="3"/>
  <c r="X148" i="3"/>
  <c r="O79" i="3"/>
  <c r="O106" i="3"/>
  <c r="G49" i="3"/>
  <c r="P173" i="3"/>
  <c r="H4" i="3"/>
  <c r="L49" i="3"/>
  <c r="D106" i="3"/>
  <c r="T148" i="3"/>
  <c r="J173" i="3"/>
  <c r="I49" i="3"/>
  <c r="G25" i="3"/>
  <c r="O49" i="3"/>
  <c r="I4" i="3"/>
  <c r="K173" i="3"/>
  <c r="F30" i="1"/>
  <c r="E79" i="3"/>
  <c r="H173" i="3"/>
  <c r="N79" i="3"/>
  <c r="M173" i="3"/>
  <c r="J148" i="3"/>
  <c r="R148" i="3"/>
  <c r="Q79" i="3"/>
  <c r="F106" i="3"/>
  <c r="J56" i="1"/>
  <c r="L173" i="3"/>
  <c r="D49" i="3"/>
  <c r="G20" i="1"/>
  <c r="I79" i="3"/>
  <c r="G21" i="1"/>
  <c r="J55" i="1"/>
  <c r="E66" i="1"/>
  <c r="M106" i="3"/>
  <c r="P49" i="3"/>
  <c r="C49" i="3"/>
  <c r="L25" i="3"/>
  <c r="O173" i="3"/>
  <c r="N49" i="3"/>
  <c r="D79" i="3"/>
  <c r="G4" i="3"/>
  <c r="K127" i="3"/>
  <c r="D173" i="3"/>
  <c r="J127" i="3"/>
  <c r="F31" i="1"/>
  <c r="K25" i="3"/>
  <c r="V148" i="3"/>
  <c r="E127" i="3"/>
  <c r="L106" i="3"/>
  <c r="J25" i="3"/>
  <c r="C25" i="3"/>
  <c r="D4" i="3"/>
  <c r="K79" i="3"/>
  <c r="G65" i="1"/>
  <c r="H20" i="1" l="1"/>
  <c r="H21" i="1"/>
  <c r="H19" i="1"/>
  <c r="J50" i="1"/>
  <c r="H18" i="1"/>
  <c r="D3" i="8" l="1"/>
  <c r="E3" i="8" l="1"/>
  <c r="G3" i="8" s="1"/>
  <c r="E1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U6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垫板厚度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<sst xmlns="http://schemas.openxmlformats.org/spreadsheetml/2006/main" count="10301" uniqueCount="2007">
  <si>
    <t>长方形板材重量计算</t>
    <phoneticPr fontId="5" type="noConversion"/>
  </si>
  <si>
    <t>序号</t>
  </si>
  <si>
    <t>长</t>
  </si>
  <si>
    <t>宽</t>
  </si>
  <si>
    <t>厚度</t>
  </si>
  <si>
    <t>数量</t>
  </si>
  <si>
    <t>圆孔直径</t>
  </si>
  <si>
    <t>圆孔数量</t>
  </si>
  <si>
    <t>方孔长</t>
  </si>
  <si>
    <t>方孔宽</t>
  </si>
  <si>
    <t>方孔数量</t>
  </si>
  <si>
    <r>
      <t>单重</t>
    </r>
    <r>
      <rPr>
        <sz val="12"/>
        <rFont val="Times New Roman"/>
        <family val="1"/>
      </rPr>
      <t xml:space="preserve"> </t>
    </r>
  </si>
  <si>
    <t>总重</t>
  </si>
  <si>
    <t>圆形板材和棒材重量计算</t>
    <phoneticPr fontId="5" type="noConversion"/>
  </si>
  <si>
    <t>序号</t>
    <phoneticPr fontId="5" type="noConversion"/>
  </si>
  <si>
    <t>外径</t>
    <phoneticPr fontId="5" type="noConversion"/>
  </si>
  <si>
    <t>厚度</t>
    <phoneticPr fontId="5" type="noConversion"/>
  </si>
  <si>
    <t>圆孔直径</t>
    <phoneticPr fontId="5" type="noConversion"/>
  </si>
  <si>
    <t>圆形管材重量计算</t>
    <phoneticPr fontId="5" type="noConversion"/>
  </si>
  <si>
    <t>管子长度</t>
  </si>
  <si>
    <t>方孔长</t>
    <phoneticPr fontId="5" type="noConversion"/>
  </si>
  <si>
    <r>
      <t>容积</t>
    </r>
    <r>
      <rPr>
        <sz val="12"/>
        <rFont val="Times New Roman"/>
        <family val="1"/>
      </rPr>
      <t>m3</t>
    </r>
    <phoneticPr fontId="5" type="noConversion"/>
  </si>
  <si>
    <t>型钢重量计算</t>
  </si>
  <si>
    <t>名称</t>
    <phoneticPr fontId="5" type="noConversion"/>
  </si>
  <si>
    <t>型号</t>
  </si>
  <si>
    <t>t</t>
  </si>
  <si>
    <t>长度</t>
  </si>
  <si>
    <t>单根重量</t>
  </si>
  <si>
    <t>等边</t>
    <phoneticPr fontId="5" type="noConversion"/>
  </si>
  <si>
    <t>56</t>
  </si>
  <si>
    <t>不等边角钢</t>
    <phoneticPr fontId="5" type="noConversion"/>
  </si>
  <si>
    <t>槽钢</t>
    <phoneticPr fontId="5" type="noConversion"/>
  </si>
  <si>
    <t>工字钢</t>
    <phoneticPr fontId="5" type="noConversion"/>
  </si>
  <si>
    <t>G32a</t>
  </si>
  <si>
    <t>JB/T4701-JB/T4703设备法兰重量查询</t>
    <phoneticPr fontId="5" type="noConversion"/>
  </si>
  <si>
    <t>标准号</t>
    <phoneticPr fontId="5" type="noConversion"/>
  </si>
  <si>
    <t>公称直径</t>
    <phoneticPr fontId="5" type="noConversion"/>
  </si>
  <si>
    <r>
      <t xml:space="preserve">    </t>
    </r>
    <r>
      <rPr>
        <sz val="12"/>
        <rFont val="宋体"/>
        <family val="3"/>
        <charset val="134"/>
      </rPr>
      <t>压力</t>
    </r>
    <phoneticPr fontId="5" type="noConversion"/>
  </si>
  <si>
    <t>密封面形式</t>
    <phoneticPr fontId="5" type="noConversion"/>
  </si>
  <si>
    <t>法兰重量</t>
    <phoneticPr fontId="5" type="noConversion"/>
  </si>
  <si>
    <t>JB/T4703</t>
  </si>
  <si>
    <t>JB/T4721-92外头盖侧法兰重量查询</t>
    <phoneticPr fontId="5" type="noConversion"/>
  </si>
  <si>
    <t>JB/T4721-92</t>
    <phoneticPr fontId="5" type="noConversion"/>
  </si>
  <si>
    <t>T</t>
  </si>
  <si>
    <r>
      <t>欧洲体系</t>
    </r>
    <r>
      <rPr>
        <b/>
        <sz val="14"/>
        <rFont val="Times New Roman"/>
        <family val="1"/>
      </rPr>
      <t>(HG20592)</t>
    </r>
    <r>
      <rPr>
        <b/>
        <sz val="14"/>
        <rFont val="宋体"/>
        <family val="3"/>
        <charset val="134"/>
      </rPr>
      <t>、美洲体系</t>
    </r>
    <r>
      <rPr>
        <b/>
        <sz val="14"/>
        <rFont val="Times New Roman"/>
        <family val="1"/>
      </rPr>
      <t>(HG20615)</t>
    </r>
    <r>
      <rPr>
        <b/>
        <sz val="14"/>
        <rFont val="宋体"/>
        <family val="3"/>
        <charset val="134"/>
      </rPr>
      <t>法兰、法兰盖重量查询</t>
    </r>
    <phoneticPr fontId="5" type="noConversion"/>
  </si>
  <si>
    <r>
      <t>序号</t>
    </r>
    <r>
      <rPr>
        <sz val="12"/>
        <rFont val="Times New Roman"/>
        <family val="1"/>
      </rPr>
      <t xml:space="preserve"> </t>
    </r>
    <phoneticPr fontId="5" type="noConversion"/>
  </si>
  <si>
    <t>法兰形式</t>
    <phoneticPr fontId="5" type="noConversion"/>
  </si>
  <si>
    <t>HG20592</t>
  </si>
  <si>
    <t>梯形板材重量计算</t>
    <phoneticPr fontId="5" type="noConversion"/>
  </si>
  <si>
    <t>上底</t>
  </si>
  <si>
    <t>下底</t>
  </si>
  <si>
    <t>高</t>
  </si>
  <si>
    <t>弓形板材重量计算</t>
  </si>
  <si>
    <t>弓形半径</t>
  </si>
  <si>
    <t>弓形高度</t>
  </si>
  <si>
    <t>重量</t>
    <phoneticPr fontId="5" type="noConversion"/>
  </si>
  <si>
    <r>
      <t>天圆地方重量计算</t>
    </r>
    <r>
      <rPr>
        <b/>
        <sz val="16"/>
        <color indexed="8"/>
        <rFont val="Times New Roman"/>
        <family val="1"/>
      </rPr>
      <t>(</t>
    </r>
    <r>
      <rPr>
        <b/>
        <sz val="16"/>
        <color indexed="8"/>
        <rFont val="宋体"/>
        <family val="3"/>
        <charset val="134"/>
      </rPr>
      <t>下列值为外表面为准</t>
    </r>
    <r>
      <rPr>
        <b/>
        <sz val="16"/>
        <color indexed="8"/>
        <rFont val="Times New Roman"/>
        <family val="1"/>
      </rPr>
      <t>)</t>
    </r>
    <phoneticPr fontId="5" type="noConversion"/>
  </si>
  <si>
    <t>下底长</t>
  </si>
  <si>
    <t>下底宽</t>
  </si>
  <si>
    <t>上直径</t>
  </si>
  <si>
    <r>
      <t>下底长偏心距</t>
    </r>
    <r>
      <rPr>
        <sz val="12"/>
        <rFont val="Times New Roman"/>
        <family val="1"/>
      </rPr>
      <t xml:space="preserve">                    </t>
    </r>
  </si>
  <si>
    <t>下底宽偏心距</t>
  </si>
  <si>
    <t>单重</t>
  </si>
  <si>
    <r>
      <t>天方地方重量计算</t>
    </r>
    <r>
      <rPr>
        <b/>
        <sz val="16"/>
        <color indexed="8"/>
        <rFont val="Times New Roman"/>
        <family val="1"/>
      </rPr>
      <t>(</t>
    </r>
    <r>
      <rPr>
        <b/>
        <sz val="16"/>
        <color indexed="8"/>
        <rFont val="宋体"/>
        <family val="3"/>
        <charset val="134"/>
      </rPr>
      <t>下列值为外表面为准</t>
    </r>
    <r>
      <rPr>
        <b/>
        <sz val="16"/>
        <color indexed="8"/>
        <rFont val="Times New Roman"/>
        <family val="1"/>
      </rPr>
      <t>)</t>
    </r>
    <phoneticPr fontId="5" type="noConversion"/>
  </si>
  <si>
    <r>
      <t>上底长</t>
    </r>
    <r>
      <rPr>
        <sz val="12"/>
        <rFont val="Times New Roman"/>
        <family val="1"/>
      </rPr>
      <t>a1</t>
    </r>
  </si>
  <si>
    <r>
      <t>下底长</t>
    </r>
    <r>
      <rPr>
        <sz val="12"/>
        <rFont val="Times New Roman"/>
        <family val="1"/>
      </rPr>
      <t>a2</t>
    </r>
  </si>
  <si>
    <r>
      <t>上底宽</t>
    </r>
    <r>
      <rPr>
        <sz val="12"/>
        <rFont val="Times New Roman"/>
        <family val="1"/>
      </rPr>
      <t>b1</t>
    </r>
  </si>
  <si>
    <r>
      <t>下底宽</t>
    </r>
    <r>
      <rPr>
        <sz val="12"/>
        <rFont val="Times New Roman"/>
        <family val="1"/>
      </rPr>
      <t>b2</t>
    </r>
  </si>
  <si>
    <r>
      <t>上下底长偏心距</t>
    </r>
    <r>
      <rPr>
        <sz val="12"/>
        <rFont val="Times New Roman"/>
        <family val="1"/>
      </rPr>
      <t xml:space="preserve"> e1                   </t>
    </r>
  </si>
  <si>
    <r>
      <t>上下底宽偏心距</t>
    </r>
    <r>
      <rPr>
        <sz val="12"/>
        <rFont val="Times New Roman"/>
        <family val="1"/>
      </rPr>
      <t>e2</t>
    </r>
  </si>
  <si>
    <t>三角形板材重量计算</t>
    <phoneticPr fontId="5" type="noConversion"/>
  </si>
  <si>
    <r>
      <t>JB/T4746-2002</t>
    </r>
    <r>
      <rPr>
        <b/>
        <sz val="16"/>
        <rFont val="宋体"/>
        <family val="3"/>
        <charset val="134"/>
      </rPr>
      <t>标准椭圆封头内表面积、容积、重量查询</t>
    </r>
    <phoneticPr fontId="5" type="noConversion"/>
  </si>
  <si>
    <t>封头型式</t>
    <phoneticPr fontId="5" type="noConversion"/>
  </si>
  <si>
    <t>封头厚度</t>
    <phoneticPr fontId="5" type="noConversion"/>
  </si>
  <si>
    <t>封头单重</t>
    <phoneticPr fontId="5" type="noConversion"/>
  </si>
  <si>
    <t>内表面积</t>
    <phoneticPr fontId="5" type="noConversion"/>
  </si>
  <si>
    <t>内容积</t>
    <phoneticPr fontId="5" type="noConversion"/>
  </si>
  <si>
    <t>EHA</t>
    <phoneticPr fontId="5" type="noConversion"/>
  </si>
  <si>
    <t>EHB</t>
    <phoneticPr fontId="5" type="noConversion"/>
  </si>
  <si>
    <r>
      <t>JB/T4736-2002</t>
    </r>
    <r>
      <rPr>
        <b/>
        <sz val="16"/>
        <rFont val="宋体"/>
        <family val="3"/>
        <charset val="134"/>
      </rPr>
      <t>补强圈外径和重量查询</t>
    </r>
    <phoneticPr fontId="5" type="noConversion"/>
  </si>
  <si>
    <t>接管公称直径</t>
    <phoneticPr fontId="5" type="noConversion"/>
  </si>
  <si>
    <t>补强圈厚度</t>
    <phoneticPr fontId="5" type="noConversion"/>
  </si>
  <si>
    <t>补强圈单重</t>
    <phoneticPr fontId="5" type="noConversion"/>
  </si>
  <si>
    <t>补强圈外径</t>
    <phoneticPr fontId="5" type="noConversion"/>
  </si>
  <si>
    <t>螺母对照表</t>
    <phoneticPr fontId="5" type="noConversion"/>
  </si>
  <si>
    <t>标准</t>
    <phoneticPr fontId="5" type="noConversion"/>
  </si>
  <si>
    <t>M12</t>
    <phoneticPr fontId="5" type="noConversion"/>
  </si>
  <si>
    <t>M16</t>
  </si>
  <si>
    <t>M20</t>
  </si>
  <si>
    <t>M24</t>
  </si>
  <si>
    <t>M27</t>
  </si>
  <si>
    <t>M30</t>
  </si>
  <si>
    <t>M36</t>
  </si>
  <si>
    <t>M42</t>
  </si>
  <si>
    <t>M48</t>
    <phoneticPr fontId="5" type="noConversion"/>
  </si>
  <si>
    <t>M56</t>
    <phoneticPr fontId="5" type="noConversion"/>
  </si>
  <si>
    <t>螺母厚度</t>
  </si>
  <si>
    <t>GB/T6170</t>
  </si>
  <si>
    <t>重量</t>
  </si>
  <si>
    <t>GB/T41</t>
  </si>
  <si>
    <t>螺柱重量</t>
  </si>
  <si>
    <t>100mm长</t>
    <phoneticPr fontId="5" type="noConversion"/>
  </si>
  <si>
    <t>kg</t>
    <phoneticPr fontId="5" type="noConversion"/>
  </si>
  <si>
    <r>
      <t>JB/T4701-2000</t>
    </r>
    <r>
      <rPr>
        <b/>
        <sz val="20"/>
        <rFont val="宋体"/>
        <family val="3"/>
        <charset val="134"/>
      </rPr>
      <t>甲型平焊法兰</t>
    </r>
    <phoneticPr fontId="5" type="noConversion"/>
  </si>
  <si>
    <r>
      <t xml:space="preserve">法兰压力
</t>
    </r>
    <r>
      <rPr>
        <sz val="12"/>
        <rFont val="Times New Roman"/>
        <family val="1"/>
      </rPr>
      <t>PN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>MPa</t>
    </r>
    <phoneticPr fontId="5" type="noConversion"/>
  </si>
  <si>
    <r>
      <t xml:space="preserve">法兰直径
</t>
    </r>
    <r>
      <rPr>
        <sz val="12"/>
        <rFont val="Times New Roman"/>
        <family val="1"/>
      </rPr>
      <t>DN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>mm</t>
    </r>
    <phoneticPr fontId="5" type="noConversion"/>
  </si>
  <si>
    <r>
      <t>法</t>
    </r>
    <r>
      <rPr>
        <sz val="12"/>
        <rFont val="Times New Roman"/>
        <family val="1"/>
      </rPr>
      <t xml:space="preserve">          </t>
    </r>
    <r>
      <rPr>
        <sz val="12"/>
        <rFont val="宋体"/>
        <family val="3"/>
        <charset val="134"/>
      </rPr>
      <t>兰，</t>
    </r>
    <r>
      <rPr>
        <sz val="12"/>
        <rFont val="Times New Roman"/>
        <family val="1"/>
      </rPr>
      <t>mm</t>
    </r>
    <phoneticPr fontId="5" type="noConversion"/>
  </si>
  <si>
    <r>
      <t>螺</t>
    </r>
    <r>
      <rPr>
        <sz val="12"/>
        <rFont val="Times New Roman"/>
        <family val="1"/>
      </rPr>
      <t xml:space="preserve">     </t>
    </r>
    <r>
      <rPr>
        <sz val="12"/>
        <rFont val="宋体"/>
        <family val="3"/>
        <charset val="134"/>
      </rPr>
      <t>柱</t>
    </r>
    <phoneticPr fontId="5" type="noConversion"/>
  </si>
  <si>
    <t>D</t>
    <phoneticPr fontId="5" type="noConversion"/>
  </si>
  <si>
    <r>
      <t>D</t>
    </r>
    <r>
      <rPr>
        <vertAlign val="subscript"/>
        <sz val="12"/>
        <rFont val="Times New Roman"/>
        <family val="1"/>
      </rPr>
      <t>1</t>
    </r>
    <phoneticPr fontId="5" type="noConversion"/>
  </si>
  <si>
    <r>
      <t>D</t>
    </r>
    <r>
      <rPr>
        <vertAlign val="subscript"/>
        <sz val="12"/>
        <rFont val="Times New Roman"/>
        <family val="1"/>
      </rPr>
      <t>2</t>
    </r>
    <phoneticPr fontId="5" type="noConversion"/>
  </si>
  <si>
    <r>
      <t>D</t>
    </r>
    <r>
      <rPr>
        <vertAlign val="subscript"/>
        <sz val="12"/>
        <rFont val="Times New Roman"/>
        <family val="1"/>
      </rPr>
      <t>3</t>
    </r>
    <phoneticPr fontId="5" type="noConversion"/>
  </si>
  <si>
    <r>
      <t>D</t>
    </r>
    <r>
      <rPr>
        <vertAlign val="subscript"/>
        <sz val="12"/>
        <rFont val="Times New Roman"/>
        <family val="1"/>
      </rPr>
      <t>4</t>
    </r>
    <phoneticPr fontId="5" type="noConversion"/>
  </si>
  <si>
    <t>δ</t>
    <phoneticPr fontId="5" type="noConversion"/>
  </si>
  <si>
    <t>d</t>
    <phoneticPr fontId="5" type="noConversion"/>
  </si>
  <si>
    <t>规格</t>
    <phoneticPr fontId="5" type="noConversion"/>
  </si>
  <si>
    <t>数量</t>
    <phoneticPr fontId="5" type="noConversion"/>
  </si>
  <si>
    <r>
      <t>JB/T4702-2000</t>
    </r>
    <r>
      <rPr>
        <b/>
        <sz val="20"/>
        <rFont val="宋体"/>
        <family val="3"/>
        <charset val="134"/>
      </rPr>
      <t>乙型平焊法兰</t>
    </r>
    <phoneticPr fontId="5" type="noConversion"/>
  </si>
  <si>
    <t>H</t>
    <phoneticPr fontId="5" type="noConversion"/>
  </si>
  <si>
    <r>
      <t>δ</t>
    </r>
    <r>
      <rPr>
        <vertAlign val="subscript"/>
        <sz val="12"/>
        <rFont val="Times New Roman"/>
        <family val="1"/>
      </rPr>
      <t>t</t>
    </r>
    <phoneticPr fontId="5" type="noConversion"/>
  </si>
  <si>
    <r>
      <t>JB/T4703-2000</t>
    </r>
    <r>
      <rPr>
        <b/>
        <sz val="20"/>
        <rFont val="宋体"/>
        <family val="3"/>
        <charset val="134"/>
      </rPr>
      <t>长颈对焊法兰</t>
    </r>
    <phoneticPr fontId="5" type="noConversion"/>
  </si>
  <si>
    <t>螺     柱</t>
  </si>
  <si>
    <r>
      <t>对接筒体
最小厚度
δ</t>
    </r>
    <r>
      <rPr>
        <sz val="12"/>
        <rFont val="Times New Roman"/>
        <family val="1"/>
      </rPr>
      <t>0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>mm</t>
    </r>
    <phoneticPr fontId="5" type="noConversion"/>
  </si>
  <si>
    <t>h</t>
    <phoneticPr fontId="5" type="noConversion"/>
  </si>
  <si>
    <r>
      <t>δ</t>
    </r>
    <r>
      <rPr>
        <vertAlign val="subscript"/>
        <sz val="12"/>
        <rFont val="Times New Roman"/>
        <family val="1"/>
      </rPr>
      <t>1</t>
    </r>
    <phoneticPr fontId="5" type="noConversion"/>
  </si>
  <si>
    <r>
      <t>δ</t>
    </r>
    <r>
      <rPr>
        <vertAlign val="subscript"/>
        <sz val="12"/>
        <rFont val="Times New Roman"/>
        <family val="1"/>
      </rPr>
      <t>2</t>
    </r>
    <phoneticPr fontId="5" type="noConversion"/>
  </si>
  <si>
    <t>R</t>
    <phoneticPr fontId="5" type="noConversion"/>
  </si>
  <si>
    <r>
      <t>JB4721-92</t>
    </r>
    <r>
      <rPr>
        <b/>
        <sz val="20"/>
        <rFont val="宋体"/>
        <family val="3"/>
        <charset val="134"/>
      </rPr>
      <t>外头盖侧法兰</t>
    </r>
    <phoneticPr fontId="5" type="noConversion"/>
  </si>
  <si>
    <r>
      <t>HG20592-97</t>
    </r>
    <r>
      <rPr>
        <b/>
        <sz val="20"/>
        <rFont val="宋体"/>
        <family val="3"/>
        <charset val="134"/>
      </rPr>
      <t>板式平焊法兰</t>
    </r>
    <phoneticPr fontId="5" type="noConversion"/>
  </si>
  <si>
    <r>
      <t xml:space="preserve">公称压力
</t>
    </r>
    <r>
      <rPr>
        <sz val="12"/>
        <rFont val="Times New Roman"/>
        <family val="1"/>
      </rPr>
      <t>MPa</t>
    </r>
    <phoneticPr fontId="5" type="noConversion"/>
  </si>
  <si>
    <r>
      <t xml:space="preserve">公称通径
</t>
    </r>
    <r>
      <rPr>
        <sz val="12"/>
        <rFont val="Times New Roman"/>
        <family val="1"/>
      </rPr>
      <t>DN</t>
    </r>
    <phoneticPr fontId="5" type="noConversion"/>
  </si>
  <si>
    <r>
      <t xml:space="preserve">管子外径
</t>
    </r>
    <r>
      <rPr>
        <sz val="12"/>
        <rFont val="Times New Roman"/>
        <family val="1"/>
      </rPr>
      <t>A1</t>
    </r>
    <phoneticPr fontId="5" type="noConversion"/>
  </si>
  <si>
    <t>连接尺寸</t>
    <phoneticPr fontId="5" type="noConversion"/>
  </si>
  <si>
    <r>
      <t xml:space="preserve">法兰厚度
</t>
    </r>
    <r>
      <rPr>
        <sz val="12"/>
        <rFont val="Times New Roman"/>
        <family val="1"/>
      </rPr>
      <t>C</t>
    </r>
    <phoneticPr fontId="5" type="noConversion"/>
  </si>
  <si>
    <r>
      <t xml:space="preserve">法兰内径
</t>
    </r>
    <r>
      <rPr>
        <sz val="12"/>
        <rFont val="Times New Roman"/>
        <family val="1"/>
      </rPr>
      <t>B1</t>
    </r>
    <phoneticPr fontId="5" type="noConversion"/>
  </si>
  <si>
    <t>密封
面尺寸</t>
    <phoneticPr fontId="5" type="noConversion"/>
  </si>
  <si>
    <t>法兰
理论重量</t>
    <phoneticPr fontId="5" type="noConversion"/>
  </si>
  <si>
    <r>
      <t xml:space="preserve">法兰外径
</t>
    </r>
    <r>
      <rPr>
        <sz val="12"/>
        <rFont val="Times New Roman"/>
        <family val="1"/>
      </rPr>
      <t>D</t>
    </r>
    <phoneticPr fontId="5" type="noConversion"/>
  </si>
  <si>
    <r>
      <t xml:space="preserve">螺栓孔中
心圆直径
</t>
    </r>
    <r>
      <rPr>
        <sz val="12"/>
        <rFont val="Times New Roman"/>
        <family val="1"/>
      </rPr>
      <t>K</t>
    </r>
    <phoneticPr fontId="5" type="noConversion"/>
  </si>
  <si>
    <r>
      <t xml:space="preserve">螺栓孔
直径
</t>
    </r>
    <r>
      <rPr>
        <sz val="12"/>
        <rFont val="Times New Roman"/>
        <family val="1"/>
      </rPr>
      <t>L</t>
    </r>
    <phoneticPr fontId="5" type="noConversion"/>
  </si>
  <si>
    <r>
      <t xml:space="preserve">螺栓孔
数量
</t>
    </r>
    <r>
      <rPr>
        <sz val="12"/>
        <rFont val="Times New Roman"/>
        <family val="1"/>
      </rPr>
      <t>n</t>
    </r>
    <phoneticPr fontId="5" type="noConversion"/>
  </si>
  <si>
    <r>
      <t xml:space="preserve">螺纹
</t>
    </r>
    <r>
      <rPr>
        <sz val="12"/>
        <rFont val="Times New Roman"/>
        <family val="1"/>
      </rPr>
      <t>Th</t>
    </r>
    <phoneticPr fontId="5" type="noConversion"/>
  </si>
  <si>
    <t>A</t>
    <phoneticPr fontId="5" type="noConversion"/>
  </si>
  <si>
    <t>B</t>
    <phoneticPr fontId="5" type="noConversion"/>
  </si>
  <si>
    <t>f1</t>
    <phoneticPr fontId="5" type="noConversion"/>
  </si>
  <si>
    <t>W</t>
    <phoneticPr fontId="5" type="noConversion"/>
  </si>
  <si>
    <r>
      <t>HG20601-97</t>
    </r>
    <r>
      <rPr>
        <b/>
        <sz val="20"/>
        <rFont val="宋体"/>
        <family val="3"/>
        <charset val="134"/>
      </rPr>
      <t>钢制管法兰盖</t>
    </r>
    <phoneticPr fontId="5" type="noConversion"/>
  </si>
  <si>
    <r>
      <t xml:space="preserve">法兰盖
厚度
</t>
    </r>
    <r>
      <rPr>
        <sz val="12"/>
        <rFont val="Times New Roman"/>
        <family val="1"/>
      </rPr>
      <t>C</t>
    </r>
    <phoneticPr fontId="5" type="noConversion"/>
  </si>
  <si>
    <t>法兰盖
理论重量</t>
    <phoneticPr fontId="5" type="noConversion"/>
  </si>
  <si>
    <r>
      <t xml:space="preserve">法兰盖外径
</t>
    </r>
    <r>
      <rPr>
        <sz val="12"/>
        <rFont val="Times New Roman"/>
        <family val="1"/>
      </rPr>
      <t>D</t>
    </r>
    <phoneticPr fontId="5" type="noConversion"/>
  </si>
  <si>
    <r>
      <t>HG20594-97</t>
    </r>
    <r>
      <rPr>
        <b/>
        <sz val="20"/>
        <rFont val="宋体"/>
        <family val="3"/>
        <charset val="134"/>
      </rPr>
      <t>带颈平焊法兰</t>
    </r>
    <phoneticPr fontId="5" type="noConversion"/>
  </si>
  <si>
    <t>法兰颈</t>
    <phoneticPr fontId="5" type="noConversion"/>
  </si>
  <si>
    <r>
      <t xml:space="preserve">法兰
高度
</t>
    </r>
    <r>
      <rPr>
        <sz val="12"/>
        <rFont val="Times New Roman"/>
        <family val="1"/>
      </rPr>
      <t>H</t>
    </r>
    <phoneticPr fontId="5" type="noConversion"/>
  </si>
  <si>
    <r>
      <t xml:space="preserve">破口
宽度
</t>
    </r>
    <r>
      <rPr>
        <sz val="12"/>
        <rFont val="Times New Roman"/>
        <family val="1"/>
      </rPr>
      <t>b</t>
    </r>
    <phoneticPr fontId="5" type="noConversion"/>
  </si>
  <si>
    <t>N</t>
    <phoneticPr fontId="5" type="noConversion"/>
  </si>
  <si>
    <t>X</t>
    <phoneticPr fontId="5" type="noConversion"/>
  </si>
  <si>
    <t>Y</t>
    <phoneticPr fontId="5" type="noConversion"/>
  </si>
  <si>
    <t>f2</t>
    <phoneticPr fontId="5" type="noConversion"/>
  </si>
  <si>
    <t>f3</t>
    <phoneticPr fontId="5" type="noConversion"/>
  </si>
  <si>
    <t>0.6</t>
  </si>
  <si>
    <t>17.2</t>
  </si>
  <si>
    <t>14</t>
  </si>
  <si>
    <t>75</t>
  </si>
  <si>
    <t>50</t>
  </si>
  <si>
    <t>11</t>
  </si>
  <si>
    <t>4</t>
  </si>
  <si>
    <t>12</t>
  </si>
  <si>
    <t>18</t>
  </si>
  <si>
    <t>15</t>
  </si>
  <si>
    <t>25</t>
  </si>
  <si>
    <t>3</t>
  </si>
  <si>
    <t>20</t>
  </si>
  <si>
    <t>0.38</t>
  </si>
  <si>
    <r>
      <t>JB/T4701-2000</t>
    </r>
    <r>
      <rPr>
        <b/>
        <sz val="20"/>
        <rFont val="宋体"/>
        <family val="3"/>
        <charset val="134"/>
      </rPr>
      <t>甲型平焊法兰</t>
    </r>
    <phoneticPr fontId="5" type="noConversion"/>
  </si>
  <si>
    <r>
      <t xml:space="preserve">法兰压力
</t>
    </r>
    <r>
      <rPr>
        <sz val="12"/>
        <rFont val="Times New Roman"/>
        <family val="1"/>
      </rPr>
      <t>PN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>MPa</t>
    </r>
    <phoneticPr fontId="5" type="noConversion"/>
  </si>
  <si>
    <r>
      <t xml:space="preserve">法兰直径
</t>
    </r>
    <r>
      <rPr>
        <sz val="12"/>
        <rFont val="Times New Roman"/>
        <family val="1"/>
      </rPr>
      <t>DN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>mm</t>
    </r>
    <phoneticPr fontId="5" type="noConversion"/>
  </si>
  <si>
    <r>
      <t>法</t>
    </r>
    <r>
      <rPr>
        <sz val="12"/>
        <rFont val="Times New Roman"/>
        <family val="1"/>
      </rPr>
      <t xml:space="preserve">          </t>
    </r>
    <r>
      <rPr>
        <sz val="12"/>
        <rFont val="宋体"/>
        <family val="3"/>
        <charset val="134"/>
      </rPr>
      <t>兰，</t>
    </r>
    <r>
      <rPr>
        <sz val="12"/>
        <rFont val="Times New Roman"/>
        <family val="1"/>
      </rPr>
      <t>mm</t>
    </r>
    <phoneticPr fontId="5" type="noConversion"/>
  </si>
  <si>
    <r>
      <t>螺</t>
    </r>
    <r>
      <rPr>
        <sz val="12"/>
        <rFont val="Times New Roman"/>
        <family val="1"/>
      </rPr>
      <t xml:space="preserve">     </t>
    </r>
    <r>
      <rPr>
        <sz val="12"/>
        <rFont val="宋体"/>
        <family val="3"/>
        <charset val="134"/>
      </rPr>
      <t>柱</t>
    </r>
    <phoneticPr fontId="5" type="noConversion"/>
  </si>
  <si>
    <t>D</t>
    <phoneticPr fontId="5" type="noConversion"/>
  </si>
  <si>
    <r>
      <t>D</t>
    </r>
    <r>
      <rPr>
        <vertAlign val="subscript"/>
        <sz val="12"/>
        <rFont val="Times New Roman"/>
        <family val="1"/>
      </rPr>
      <t>1</t>
    </r>
    <phoneticPr fontId="5" type="noConversion"/>
  </si>
  <si>
    <r>
      <t>D</t>
    </r>
    <r>
      <rPr>
        <vertAlign val="subscript"/>
        <sz val="12"/>
        <rFont val="Times New Roman"/>
        <family val="1"/>
      </rPr>
      <t>2</t>
    </r>
    <phoneticPr fontId="5" type="noConversion"/>
  </si>
  <si>
    <r>
      <t>D</t>
    </r>
    <r>
      <rPr>
        <vertAlign val="subscript"/>
        <sz val="12"/>
        <rFont val="Times New Roman"/>
        <family val="1"/>
      </rPr>
      <t>3</t>
    </r>
    <phoneticPr fontId="5" type="noConversion"/>
  </si>
  <si>
    <r>
      <t>D</t>
    </r>
    <r>
      <rPr>
        <vertAlign val="subscript"/>
        <sz val="12"/>
        <rFont val="Times New Roman"/>
        <family val="1"/>
      </rPr>
      <t>4</t>
    </r>
    <phoneticPr fontId="5" type="noConversion"/>
  </si>
  <si>
    <t>δ</t>
    <phoneticPr fontId="5" type="noConversion"/>
  </si>
  <si>
    <t>d</t>
    <phoneticPr fontId="5" type="noConversion"/>
  </si>
  <si>
    <t>规格</t>
    <phoneticPr fontId="5" type="noConversion"/>
  </si>
  <si>
    <t>数量</t>
    <phoneticPr fontId="5" type="noConversion"/>
  </si>
  <si>
    <r>
      <t>JB/T4702-2000</t>
    </r>
    <r>
      <rPr>
        <b/>
        <sz val="20"/>
        <rFont val="宋体"/>
        <family val="3"/>
        <charset val="134"/>
      </rPr>
      <t>乙型平焊法兰</t>
    </r>
    <phoneticPr fontId="5" type="noConversion"/>
  </si>
  <si>
    <t>H</t>
    <phoneticPr fontId="5" type="noConversion"/>
  </si>
  <si>
    <r>
      <t>δ</t>
    </r>
    <r>
      <rPr>
        <vertAlign val="subscript"/>
        <sz val="12"/>
        <rFont val="Times New Roman"/>
        <family val="1"/>
      </rPr>
      <t>t</t>
    </r>
    <phoneticPr fontId="5" type="noConversion"/>
  </si>
  <si>
    <r>
      <t>JB/T4703-2000</t>
    </r>
    <r>
      <rPr>
        <b/>
        <sz val="20"/>
        <rFont val="宋体"/>
        <family val="3"/>
        <charset val="134"/>
      </rPr>
      <t>长颈对焊法兰</t>
    </r>
    <phoneticPr fontId="5" type="noConversion"/>
  </si>
  <si>
    <r>
      <t>对接筒体
最小厚度
δ</t>
    </r>
    <r>
      <rPr>
        <sz val="12"/>
        <rFont val="Times New Roman"/>
        <family val="1"/>
      </rPr>
      <t>0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>mm</t>
    </r>
    <phoneticPr fontId="5" type="noConversion"/>
  </si>
  <si>
    <t>h</t>
    <phoneticPr fontId="5" type="noConversion"/>
  </si>
  <si>
    <r>
      <t>δ</t>
    </r>
    <r>
      <rPr>
        <vertAlign val="subscript"/>
        <sz val="12"/>
        <rFont val="Times New Roman"/>
        <family val="1"/>
      </rPr>
      <t>1</t>
    </r>
    <phoneticPr fontId="5" type="noConversion"/>
  </si>
  <si>
    <r>
      <t>δ</t>
    </r>
    <r>
      <rPr>
        <vertAlign val="subscript"/>
        <sz val="12"/>
        <rFont val="Times New Roman"/>
        <family val="1"/>
      </rPr>
      <t>2</t>
    </r>
    <phoneticPr fontId="5" type="noConversion"/>
  </si>
  <si>
    <t>R</t>
    <phoneticPr fontId="5" type="noConversion"/>
  </si>
  <si>
    <r>
      <t>JB4721-92</t>
    </r>
    <r>
      <rPr>
        <b/>
        <sz val="20"/>
        <rFont val="宋体"/>
        <family val="3"/>
        <charset val="134"/>
      </rPr>
      <t>外头盖侧法兰</t>
    </r>
    <phoneticPr fontId="5" type="noConversion"/>
  </si>
  <si>
    <r>
      <t>HG20592-97</t>
    </r>
    <r>
      <rPr>
        <b/>
        <sz val="20"/>
        <rFont val="宋体"/>
        <family val="3"/>
        <charset val="134"/>
      </rPr>
      <t>板式平焊法兰</t>
    </r>
    <phoneticPr fontId="5" type="noConversion"/>
  </si>
  <si>
    <r>
      <t>HG20594-97</t>
    </r>
    <r>
      <rPr>
        <b/>
        <sz val="20"/>
        <rFont val="宋体"/>
        <family val="3"/>
        <charset val="134"/>
      </rPr>
      <t>带颈平焊法兰</t>
    </r>
    <phoneticPr fontId="5" type="noConversion"/>
  </si>
  <si>
    <r>
      <t xml:space="preserve">公称压力
</t>
    </r>
    <r>
      <rPr>
        <sz val="12"/>
        <rFont val="Times New Roman"/>
        <family val="1"/>
      </rPr>
      <t>MPa</t>
    </r>
    <phoneticPr fontId="5" type="noConversion"/>
  </si>
  <si>
    <r>
      <t xml:space="preserve">公称通径
</t>
    </r>
    <r>
      <rPr>
        <sz val="12"/>
        <rFont val="Times New Roman"/>
        <family val="1"/>
      </rPr>
      <t>DN</t>
    </r>
    <phoneticPr fontId="5" type="noConversion"/>
  </si>
  <si>
    <r>
      <t xml:space="preserve">管子外径
</t>
    </r>
    <r>
      <rPr>
        <sz val="12"/>
        <rFont val="Times New Roman"/>
        <family val="1"/>
      </rPr>
      <t>A1</t>
    </r>
    <phoneticPr fontId="5" type="noConversion"/>
  </si>
  <si>
    <t>连接尺寸</t>
    <phoneticPr fontId="5" type="noConversion"/>
  </si>
  <si>
    <r>
      <t xml:space="preserve">法兰厚度
</t>
    </r>
    <r>
      <rPr>
        <sz val="12"/>
        <rFont val="Times New Roman"/>
        <family val="1"/>
      </rPr>
      <t>C</t>
    </r>
    <phoneticPr fontId="5" type="noConversion"/>
  </si>
  <si>
    <r>
      <t xml:space="preserve">法兰内径
</t>
    </r>
    <r>
      <rPr>
        <sz val="12"/>
        <rFont val="Times New Roman"/>
        <family val="1"/>
      </rPr>
      <t>B1</t>
    </r>
    <phoneticPr fontId="5" type="noConversion"/>
  </si>
  <si>
    <t>密封
面尺寸</t>
    <phoneticPr fontId="5" type="noConversion"/>
  </si>
  <si>
    <t>法兰
理论重量</t>
    <phoneticPr fontId="5" type="noConversion"/>
  </si>
  <si>
    <t>法兰颈</t>
    <phoneticPr fontId="5" type="noConversion"/>
  </si>
  <si>
    <r>
      <t xml:space="preserve">法兰
高度
</t>
    </r>
    <r>
      <rPr>
        <sz val="12"/>
        <rFont val="Times New Roman"/>
        <family val="1"/>
      </rPr>
      <t>H</t>
    </r>
    <phoneticPr fontId="5" type="noConversion"/>
  </si>
  <si>
    <r>
      <t xml:space="preserve">破口
宽度
</t>
    </r>
    <r>
      <rPr>
        <sz val="12"/>
        <rFont val="Times New Roman"/>
        <family val="1"/>
      </rPr>
      <t>b</t>
    </r>
    <phoneticPr fontId="5" type="noConversion"/>
  </si>
  <si>
    <r>
      <t xml:space="preserve">法兰外径
</t>
    </r>
    <r>
      <rPr>
        <sz val="12"/>
        <rFont val="Times New Roman"/>
        <family val="1"/>
      </rPr>
      <t>D</t>
    </r>
    <phoneticPr fontId="5" type="noConversion"/>
  </si>
  <si>
    <r>
      <t xml:space="preserve">螺栓孔中
心圆直径
</t>
    </r>
    <r>
      <rPr>
        <sz val="12"/>
        <rFont val="Times New Roman"/>
        <family val="1"/>
      </rPr>
      <t>K</t>
    </r>
    <phoneticPr fontId="5" type="noConversion"/>
  </si>
  <si>
    <r>
      <t xml:space="preserve">螺栓孔
直径
</t>
    </r>
    <r>
      <rPr>
        <sz val="12"/>
        <rFont val="Times New Roman"/>
        <family val="1"/>
      </rPr>
      <t>L</t>
    </r>
    <phoneticPr fontId="5" type="noConversion"/>
  </si>
  <si>
    <r>
      <t xml:space="preserve">螺纹
</t>
    </r>
    <r>
      <rPr>
        <sz val="12"/>
        <rFont val="Times New Roman"/>
        <family val="1"/>
      </rPr>
      <t>Th</t>
    </r>
    <phoneticPr fontId="5" type="noConversion"/>
  </si>
  <si>
    <r>
      <t xml:space="preserve">螺栓孔
数量
</t>
    </r>
    <r>
      <rPr>
        <sz val="12"/>
        <rFont val="Times New Roman"/>
        <family val="1"/>
      </rPr>
      <t>n</t>
    </r>
    <phoneticPr fontId="5" type="noConversion"/>
  </si>
  <si>
    <t>N</t>
    <phoneticPr fontId="5" type="noConversion"/>
  </si>
  <si>
    <t>A</t>
    <phoneticPr fontId="5" type="noConversion"/>
  </si>
  <si>
    <t>B</t>
    <phoneticPr fontId="5" type="noConversion"/>
  </si>
  <si>
    <t>f1</t>
    <phoneticPr fontId="5" type="noConversion"/>
  </si>
  <si>
    <t>W</t>
    <phoneticPr fontId="5" type="noConversion"/>
  </si>
  <si>
    <t>x</t>
    <phoneticPr fontId="5" type="noConversion"/>
  </si>
  <si>
    <t>y</t>
    <phoneticPr fontId="5" type="noConversion"/>
  </si>
  <si>
    <t>f2</t>
    <phoneticPr fontId="5" type="noConversion"/>
  </si>
  <si>
    <t>f3</t>
    <phoneticPr fontId="5" type="noConversion"/>
  </si>
  <si>
    <t>10</t>
  </si>
  <si>
    <t>0.36</t>
  </si>
  <si>
    <t>21.3</t>
  </si>
  <si>
    <t>80</t>
  </si>
  <si>
    <t>55</t>
  </si>
  <si>
    <t>22</t>
  </si>
  <si>
    <t>19</t>
  </si>
  <si>
    <t>0.41</t>
  </si>
  <si>
    <t>30</t>
  </si>
  <si>
    <t>0.44</t>
  </si>
  <si>
    <t>26.9</t>
  </si>
  <si>
    <t>90</t>
  </si>
  <si>
    <t>65</t>
  </si>
  <si>
    <t>27.5</t>
  </si>
  <si>
    <t>26</t>
  </si>
  <si>
    <t>0.60</t>
  </si>
  <si>
    <t>40</t>
  </si>
  <si>
    <t>24</t>
  </si>
  <si>
    <t>0.66</t>
  </si>
  <si>
    <t>33.7</t>
  </si>
  <si>
    <t>32</t>
  </si>
  <si>
    <t>100</t>
  </si>
  <si>
    <t>34.5</t>
  </si>
  <si>
    <t>33</t>
  </si>
  <si>
    <t>0.73</t>
  </si>
  <si>
    <t>0.81</t>
  </si>
  <si>
    <t>42.4</t>
  </si>
  <si>
    <t>38</t>
  </si>
  <si>
    <t>120</t>
  </si>
  <si>
    <t>16</t>
  </si>
  <si>
    <t>43.5</t>
  </si>
  <si>
    <t>39</t>
  </si>
  <si>
    <t>1.19</t>
  </si>
  <si>
    <t>60</t>
  </si>
  <si>
    <t>5</t>
  </si>
  <si>
    <t>1.32</t>
  </si>
  <si>
    <t>48.3</t>
  </si>
  <si>
    <t>45</t>
  </si>
  <si>
    <t>130</t>
  </si>
  <si>
    <t>49.5</t>
  </si>
  <si>
    <t>46</t>
  </si>
  <si>
    <t>1.38</t>
  </si>
  <si>
    <t>70</t>
  </si>
  <si>
    <t>1.55</t>
  </si>
  <si>
    <t>60.3</t>
  </si>
  <si>
    <t>57</t>
  </si>
  <si>
    <t>140</t>
  </si>
  <si>
    <t>110</t>
  </si>
  <si>
    <t>61.5</t>
  </si>
  <si>
    <t>59</t>
  </si>
  <si>
    <t>1.51</t>
  </si>
  <si>
    <t>28</t>
  </si>
  <si>
    <t>1.73</t>
  </si>
  <si>
    <t>76.1</t>
  </si>
  <si>
    <t>76</t>
  </si>
  <si>
    <t>160</t>
  </si>
  <si>
    <t>77.5</t>
  </si>
  <si>
    <t>78</t>
  </si>
  <si>
    <t>1.85</t>
  </si>
  <si>
    <t>6</t>
  </si>
  <si>
    <t>2.23</t>
  </si>
  <si>
    <t>88.9</t>
  </si>
  <si>
    <t>89</t>
  </si>
  <si>
    <t>190</t>
  </si>
  <si>
    <t>150</t>
  </si>
  <si>
    <t>90.5</t>
  </si>
  <si>
    <t>91</t>
  </si>
  <si>
    <t>2.94</t>
  </si>
  <si>
    <t>34</t>
  </si>
  <si>
    <t>3.32</t>
  </si>
  <si>
    <t>114.3</t>
  </si>
  <si>
    <t>108</t>
  </si>
  <si>
    <t>210</t>
  </si>
  <si>
    <t>170</t>
  </si>
  <si>
    <t>116</t>
  </si>
  <si>
    <t>3.41</t>
  </si>
  <si>
    <t>4.06</t>
  </si>
  <si>
    <t>125</t>
  </si>
  <si>
    <t>139.7</t>
  </si>
  <si>
    <t>133</t>
  </si>
  <si>
    <t>240</t>
  </si>
  <si>
    <t>200</t>
  </si>
  <si>
    <t>8</t>
  </si>
  <si>
    <t>141.5</t>
  </si>
  <si>
    <t>135</t>
  </si>
  <si>
    <t>4.53</t>
  </si>
  <si>
    <t>44</t>
  </si>
  <si>
    <t>5.26</t>
  </si>
  <si>
    <t>168.3</t>
  </si>
  <si>
    <t>159</t>
  </si>
  <si>
    <t>265</t>
  </si>
  <si>
    <t>225</t>
  </si>
  <si>
    <t>170.5</t>
  </si>
  <si>
    <t>161</t>
  </si>
  <si>
    <t>5.14</t>
  </si>
  <si>
    <t>185</t>
  </si>
  <si>
    <t>6.37</t>
  </si>
  <si>
    <t>219.1</t>
  </si>
  <si>
    <t>219</t>
  </si>
  <si>
    <t>320</t>
  </si>
  <si>
    <t>280</t>
  </si>
  <si>
    <t>221.5</t>
  </si>
  <si>
    <t>222</t>
  </si>
  <si>
    <t>6.85</t>
  </si>
  <si>
    <t>7.98</t>
  </si>
  <si>
    <t>250</t>
  </si>
  <si>
    <t>273</t>
  </si>
  <si>
    <t>375</t>
  </si>
  <si>
    <t>335</t>
  </si>
  <si>
    <t>276.5</t>
  </si>
  <si>
    <t>276</t>
  </si>
  <si>
    <t>8.96</t>
  </si>
  <si>
    <t>295</t>
  </si>
  <si>
    <t>10.3</t>
  </si>
  <si>
    <t>300</t>
  </si>
  <si>
    <t>323.9</t>
  </si>
  <si>
    <t>325</t>
  </si>
  <si>
    <t>440</t>
  </si>
  <si>
    <t>395</t>
  </si>
  <si>
    <t>327.5</t>
  </si>
  <si>
    <t>328</t>
  </si>
  <si>
    <t>11.9</t>
  </si>
  <si>
    <t>355</t>
  </si>
  <si>
    <t>14.1</t>
  </si>
  <si>
    <t>350</t>
  </si>
  <si>
    <t>355.6</t>
  </si>
  <si>
    <t>377</t>
  </si>
  <si>
    <t>490</t>
  </si>
  <si>
    <t>445</t>
  </si>
  <si>
    <t>359.5</t>
  </si>
  <si>
    <t>381</t>
  </si>
  <si>
    <t>14.3</t>
  </si>
  <si>
    <t>1.0</t>
  </si>
  <si>
    <t>.65</t>
  </si>
  <si>
    <t>400</t>
  </si>
  <si>
    <t>406.4</t>
  </si>
  <si>
    <t>426</t>
  </si>
  <si>
    <t>540</t>
  </si>
  <si>
    <t>495</t>
  </si>
  <si>
    <t>411</t>
  </si>
  <si>
    <t>430</t>
  </si>
  <si>
    <t>17.1</t>
  </si>
  <si>
    <t>95</t>
  </si>
  <si>
    <t>35</t>
  </si>
  <si>
    <t>.72</t>
  </si>
  <si>
    <t>450</t>
  </si>
  <si>
    <t>457</t>
  </si>
  <si>
    <t>480</t>
  </si>
  <si>
    <t>595</t>
  </si>
  <si>
    <t>550</t>
  </si>
  <si>
    <t>462</t>
  </si>
  <si>
    <t>485</t>
  </si>
  <si>
    <t>20.5</t>
  </si>
  <si>
    <t>105</t>
  </si>
  <si>
    <t>1.03</t>
  </si>
  <si>
    <t>500</t>
  </si>
  <si>
    <t>508</t>
  </si>
  <si>
    <t>530</t>
  </si>
  <si>
    <t>645</t>
  </si>
  <si>
    <t>600</t>
  </si>
  <si>
    <t>513.5</t>
  </si>
  <si>
    <t>535</t>
  </si>
  <si>
    <t>23.7</t>
  </si>
  <si>
    <t>115</t>
  </si>
  <si>
    <t>85</t>
  </si>
  <si>
    <t>52</t>
  </si>
  <si>
    <t>1.24</t>
  </si>
  <si>
    <t>610</t>
  </si>
  <si>
    <t>630</t>
  </si>
  <si>
    <t>755</t>
  </si>
  <si>
    <t>705</t>
  </si>
  <si>
    <t>36</t>
  </si>
  <si>
    <t>616.5</t>
  </si>
  <si>
    <t>636</t>
  </si>
  <si>
    <t>2.02</t>
  </si>
  <si>
    <t>700</t>
  </si>
  <si>
    <t>711</t>
  </si>
  <si>
    <t>720</t>
  </si>
  <si>
    <t>860</t>
  </si>
  <si>
    <t>810</t>
  </si>
  <si>
    <t>715</t>
  </si>
  <si>
    <t>724</t>
  </si>
  <si>
    <t>44.2</t>
  </si>
  <si>
    <t>2.36</t>
  </si>
  <si>
    <t>800</t>
  </si>
  <si>
    <t>813</t>
  </si>
  <si>
    <t>820</t>
  </si>
  <si>
    <t>975</t>
  </si>
  <si>
    <t>920</t>
  </si>
  <si>
    <t>817</t>
  </si>
  <si>
    <t>824</t>
  </si>
  <si>
    <t>58.6</t>
  </si>
  <si>
    <t>165</t>
  </si>
  <si>
    <t>84</t>
  </si>
  <si>
    <t>3.08</t>
  </si>
  <si>
    <t>900</t>
  </si>
  <si>
    <t>914</t>
  </si>
  <si>
    <t>1075</t>
  </si>
  <si>
    <t>1020</t>
  </si>
  <si>
    <t>918</t>
  </si>
  <si>
    <t>924</t>
  </si>
  <si>
    <t>69.1</t>
  </si>
  <si>
    <t>145</t>
  </si>
  <si>
    <t>104</t>
  </si>
  <si>
    <t>3.66</t>
  </si>
  <si>
    <t>1000</t>
  </si>
  <si>
    <t>1016</t>
  </si>
  <si>
    <t>1175</t>
  </si>
  <si>
    <t>1120</t>
  </si>
  <si>
    <t>42</t>
  </si>
  <si>
    <t>1024</t>
  </si>
  <si>
    <t>79.4</t>
  </si>
  <si>
    <t>118</t>
  </si>
  <si>
    <t>4.08</t>
  </si>
  <si>
    <t>1200</t>
  </si>
  <si>
    <t>1219</t>
  </si>
  <si>
    <t>1220</t>
  </si>
  <si>
    <t>1375</t>
  </si>
  <si>
    <t>1320</t>
  </si>
  <si>
    <t>1223</t>
  </si>
  <si>
    <t>1224</t>
  </si>
  <si>
    <t>98.6</t>
  </si>
  <si>
    <t>220</t>
  </si>
  <si>
    <t>180</t>
  </si>
  <si>
    <t>5.4</t>
  </si>
  <si>
    <t>1400</t>
  </si>
  <si>
    <t>1422</t>
  </si>
  <si>
    <t>1420</t>
  </si>
  <si>
    <t>1575</t>
  </si>
  <si>
    <t>1520</t>
  </si>
  <si>
    <t>48</t>
  </si>
  <si>
    <t>1426</t>
  </si>
  <si>
    <t>1424</t>
  </si>
  <si>
    <t>124.4</t>
  </si>
  <si>
    <t>168</t>
  </si>
  <si>
    <t>7.01</t>
  </si>
  <si>
    <t>1600</t>
  </si>
  <si>
    <t>1626</t>
  </si>
  <si>
    <t>1620</t>
  </si>
  <si>
    <t>1790</t>
  </si>
  <si>
    <t>1730</t>
  </si>
  <si>
    <t>51</t>
  </si>
  <si>
    <t>1630</t>
  </si>
  <si>
    <t>1624</t>
  </si>
  <si>
    <t>166.8</t>
  </si>
  <si>
    <t>285</t>
  </si>
  <si>
    <t>195</t>
  </si>
  <si>
    <t>9.1</t>
  </si>
  <si>
    <t>1800</t>
  </si>
  <si>
    <t>1829</t>
  </si>
  <si>
    <t>1820</t>
  </si>
  <si>
    <t>1990</t>
  </si>
  <si>
    <t>1930</t>
  </si>
  <si>
    <t>54</t>
  </si>
  <si>
    <t>1833</t>
  </si>
  <si>
    <t>1824</t>
  </si>
  <si>
    <t>197.5</t>
  </si>
  <si>
    <t>340</t>
  </si>
  <si>
    <t>246</t>
  </si>
  <si>
    <t>10.6</t>
  </si>
  <si>
    <t>2000</t>
  </si>
  <si>
    <t>2032</t>
  </si>
  <si>
    <t>2020</t>
  </si>
  <si>
    <t>2190</t>
  </si>
  <si>
    <t>2130</t>
  </si>
  <si>
    <t>58</t>
  </si>
  <si>
    <t>2036</t>
  </si>
  <si>
    <t>2024</t>
  </si>
  <si>
    <t>234.6</t>
  </si>
  <si>
    <t>298</t>
  </si>
  <si>
    <t>13.4</t>
  </si>
  <si>
    <t>15.4</t>
  </si>
  <si>
    <t>505</t>
  </si>
  <si>
    <t>460</t>
  </si>
  <si>
    <t>412</t>
  </si>
  <si>
    <t>53</t>
  </si>
  <si>
    <t>565</t>
  </si>
  <si>
    <t>515</t>
  </si>
  <si>
    <t>456</t>
  </si>
  <si>
    <t>475</t>
  </si>
  <si>
    <t>27.6</t>
  </si>
  <si>
    <t>615</t>
  </si>
  <si>
    <t>502</t>
  </si>
  <si>
    <t>525</t>
  </si>
  <si>
    <t>63</t>
  </si>
  <si>
    <t>31.1</t>
  </si>
  <si>
    <t>670</t>
  </si>
  <si>
    <t>620</t>
  </si>
  <si>
    <t>559</t>
  </si>
  <si>
    <t>581</t>
  </si>
  <si>
    <t>67</t>
  </si>
  <si>
    <t>38.1</t>
  </si>
  <si>
    <t>780</t>
  </si>
  <si>
    <t>725</t>
  </si>
  <si>
    <t>658</t>
  </si>
  <si>
    <t>678</t>
  </si>
  <si>
    <t>48.1</t>
  </si>
  <si>
    <t>1.6</t>
  </si>
  <si>
    <t>0.65</t>
  </si>
  <si>
    <t>0.72</t>
  </si>
  <si>
    <t>405</t>
  </si>
  <si>
    <t>49.1</t>
  </si>
  <si>
    <t>410</t>
  </si>
  <si>
    <t>18.8</t>
  </si>
  <si>
    <t>67.8</t>
  </si>
  <si>
    <t>520</t>
  </si>
  <si>
    <t>470</t>
  </si>
  <si>
    <t>25.2</t>
  </si>
  <si>
    <t>82.9</t>
  </si>
  <si>
    <t>580</t>
  </si>
  <si>
    <t>34.8</t>
  </si>
  <si>
    <t>98.3</t>
  </si>
  <si>
    <t>640</t>
  </si>
  <si>
    <t>585</t>
  </si>
  <si>
    <t>68</t>
  </si>
  <si>
    <t>41.2</t>
  </si>
  <si>
    <t>1405</t>
  </si>
  <si>
    <t>1340</t>
  </si>
  <si>
    <t>163.1</t>
  </si>
  <si>
    <t>650</t>
  </si>
  <si>
    <t>73</t>
  </si>
  <si>
    <t>54.9</t>
  </si>
  <si>
    <t>1560</t>
  </si>
  <si>
    <t>244.1</t>
  </si>
  <si>
    <t>840</t>
  </si>
  <si>
    <t>770</t>
  </si>
  <si>
    <t>83</t>
  </si>
  <si>
    <t>77</t>
  </si>
  <si>
    <t>1830</t>
  </si>
  <si>
    <t>1760</t>
  </si>
  <si>
    <t>309.0</t>
  </si>
  <si>
    <t>2.5</t>
  </si>
  <si>
    <t>2045</t>
  </si>
  <si>
    <t>1970</t>
  </si>
  <si>
    <t>408.0</t>
  </si>
  <si>
    <t>2265</t>
  </si>
  <si>
    <t>2180</t>
  </si>
  <si>
    <t>92</t>
  </si>
  <si>
    <t>538.0</t>
  </si>
  <si>
    <t>0.61</t>
  </si>
  <si>
    <t>0.68</t>
  </si>
  <si>
    <t>0.94</t>
  </si>
  <si>
    <t>1.12</t>
  </si>
  <si>
    <t>1.86</t>
  </si>
  <si>
    <t>3.93</t>
  </si>
  <si>
    <t>2.12</t>
  </si>
  <si>
    <t>4.86</t>
  </si>
  <si>
    <t>2.77</t>
  </si>
  <si>
    <t>235</t>
  </si>
  <si>
    <t>6.91</t>
  </si>
  <si>
    <t>3.31</t>
  </si>
  <si>
    <t>270</t>
  </si>
  <si>
    <t>9.34</t>
  </si>
  <si>
    <t>3.59</t>
  </si>
  <si>
    <t>12.2</t>
  </si>
  <si>
    <t>4.57</t>
  </si>
  <si>
    <t>360</t>
  </si>
  <si>
    <t>310</t>
  </si>
  <si>
    <t>256</t>
  </si>
  <si>
    <t>15.6</t>
  </si>
  <si>
    <t>5.65</t>
  </si>
  <si>
    <t>425</t>
  </si>
  <si>
    <t>370</t>
  </si>
  <si>
    <t>21.9</t>
  </si>
  <si>
    <t>7.61</t>
  </si>
  <si>
    <t>364</t>
  </si>
  <si>
    <t>28.8</t>
  </si>
  <si>
    <t>9.24</t>
  </si>
  <si>
    <t>555</t>
  </si>
  <si>
    <t>418</t>
  </si>
  <si>
    <t>72</t>
  </si>
  <si>
    <t>472</t>
  </si>
  <si>
    <t>492</t>
  </si>
  <si>
    <t>57.4</t>
  </si>
  <si>
    <t>14.6</t>
  </si>
  <si>
    <t>542</t>
  </si>
  <si>
    <t>63.7</t>
  </si>
  <si>
    <t>18.9</t>
  </si>
  <si>
    <t>730</t>
  </si>
  <si>
    <t>660</t>
  </si>
  <si>
    <t>602</t>
  </si>
  <si>
    <t>81.4</t>
  </si>
  <si>
    <t>24.4</t>
  </si>
  <si>
    <t>845</t>
  </si>
  <si>
    <t>684</t>
  </si>
  <si>
    <t>704</t>
  </si>
  <si>
    <t>109.4</t>
  </si>
  <si>
    <t>27.9</t>
  </si>
  <si>
    <t>4.0</t>
  </si>
  <si>
    <t>34.9</t>
  </si>
  <si>
    <t>7</t>
  </si>
  <si>
    <t>260</t>
  </si>
  <si>
    <t>19.4</t>
  </si>
  <si>
    <t>385</t>
  </si>
  <si>
    <t>318</t>
  </si>
  <si>
    <t>64</t>
  </si>
  <si>
    <t>30.5</t>
  </si>
  <si>
    <t>380</t>
  </si>
  <si>
    <t>71</t>
  </si>
  <si>
    <t>42.9</t>
  </si>
  <si>
    <t>9.69</t>
  </si>
  <si>
    <t>510</t>
  </si>
  <si>
    <t>432</t>
  </si>
  <si>
    <t>444</t>
  </si>
  <si>
    <t>13</t>
  </si>
  <si>
    <t>13.8</t>
  </si>
  <si>
    <t>498</t>
  </si>
  <si>
    <t>518</t>
  </si>
  <si>
    <t>86</t>
  </si>
  <si>
    <t>88.3</t>
  </si>
  <si>
    <t>685</t>
  </si>
  <si>
    <t>522</t>
  </si>
  <si>
    <t>545</t>
  </si>
  <si>
    <t>94</t>
  </si>
  <si>
    <t>85.6</t>
  </si>
  <si>
    <t>24.7</t>
  </si>
  <si>
    <t>576</t>
  </si>
  <si>
    <t>598</t>
  </si>
  <si>
    <t>17</t>
  </si>
  <si>
    <t>106.2</t>
  </si>
  <si>
    <t>32.1</t>
  </si>
  <si>
    <t>890</t>
  </si>
  <si>
    <t>795</t>
  </si>
  <si>
    <t>686</t>
  </si>
  <si>
    <t>706</t>
  </si>
  <si>
    <t>106</t>
  </si>
  <si>
    <t>171.2</t>
  </si>
  <si>
    <t>40.5</t>
  </si>
  <si>
    <t>57.6</t>
  </si>
  <si>
    <t>88.2</t>
  </si>
  <si>
    <t>3.46</t>
  </si>
  <si>
    <t>4.31</t>
  </si>
  <si>
    <t>6.29</t>
  </si>
  <si>
    <t>8.50</t>
  </si>
  <si>
    <t>10.8</t>
  </si>
  <si>
    <t>14.2</t>
  </si>
  <si>
    <t>20.2</t>
  </si>
  <si>
    <t>26.5</t>
  </si>
  <si>
    <t>37.6</t>
  </si>
  <si>
    <t>50.7</t>
  </si>
  <si>
    <t>57.8</t>
  </si>
  <si>
    <t>76.2</t>
  </si>
  <si>
    <t>117.0</t>
  </si>
  <si>
    <r>
      <t>HG20601-97</t>
    </r>
    <r>
      <rPr>
        <b/>
        <sz val="20"/>
        <rFont val="宋体"/>
        <family val="3"/>
        <charset val="134"/>
      </rPr>
      <t>钢制管法兰盖</t>
    </r>
    <phoneticPr fontId="5" type="noConversion"/>
  </si>
  <si>
    <r>
      <t>HG20595-97</t>
    </r>
    <r>
      <rPr>
        <b/>
        <sz val="20"/>
        <rFont val="宋体"/>
        <family val="3"/>
        <charset val="134"/>
      </rPr>
      <t>带颈对焊法兰</t>
    </r>
    <phoneticPr fontId="5" type="noConversion"/>
  </si>
  <si>
    <r>
      <t xml:space="preserve">法兰盖厚度
</t>
    </r>
    <r>
      <rPr>
        <sz val="12"/>
        <rFont val="Times New Roman"/>
        <family val="1"/>
      </rPr>
      <t>C</t>
    </r>
    <phoneticPr fontId="5" type="noConversion"/>
  </si>
  <si>
    <t>法兰盖
理论重量</t>
    <phoneticPr fontId="5" type="noConversion"/>
  </si>
  <si>
    <r>
      <t xml:space="preserve">法兰盖外径
</t>
    </r>
    <r>
      <rPr>
        <sz val="12"/>
        <rFont val="Times New Roman"/>
        <family val="1"/>
      </rPr>
      <t>D</t>
    </r>
    <phoneticPr fontId="5" type="noConversion"/>
  </si>
  <si>
    <t>S</t>
    <phoneticPr fontId="5" type="noConversion"/>
  </si>
  <si>
    <r>
      <t>H</t>
    </r>
    <r>
      <rPr>
        <vertAlign val="subscript"/>
        <sz val="12"/>
        <rFont val="Times New Roman"/>
        <family val="1"/>
      </rPr>
      <t xml:space="preserve">1
</t>
    </r>
    <r>
      <rPr>
        <vertAlign val="subscript"/>
        <sz val="12"/>
        <rFont val="宋体"/>
        <family val="3"/>
        <charset val="134"/>
      </rPr>
      <t>≈</t>
    </r>
    <phoneticPr fontId="5" type="noConversion"/>
  </si>
  <si>
    <t>2</t>
  </si>
  <si>
    <t>0.75</t>
  </si>
  <si>
    <t>2.3</t>
  </si>
  <si>
    <t>1.05</t>
  </si>
  <si>
    <t>0.82</t>
  </si>
  <si>
    <t>2.6</t>
  </si>
  <si>
    <t>1.26</t>
  </si>
  <si>
    <t>1.34</t>
  </si>
  <si>
    <t>2.05</t>
  </si>
  <si>
    <t>1.59</t>
  </si>
  <si>
    <t>2.37</t>
  </si>
  <si>
    <t>74</t>
  </si>
  <si>
    <t>2.9</t>
  </si>
  <si>
    <t>3.11</t>
  </si>
  <si>
    <t>2.45</t>
  </si>
  <si>
    <t>3.74</t>
  </si>
  <si>
    <t>3.86</t>
  </si>
  <si>
    <t>3.2</t>
  </si>
  <si>
    <t>4.22</t>
  </si>
  <si>
    <t>4.75</t>
  </si>
  <si>
    <t>3.6</t>
  </si>
  <si>
    <t>5.39</t>
  </si>
  <si>
    <t>6.78</t>
  </si>
  <si>
    <t>158</t>
  </si>
  <si>
    <t>6.88</t>
  </si>
  <si>
    <t>8.34</t>
  </si>
  <si>
    <t>184</t>
  </si>
  <si>
    <t>4.5</t>
  </si>
  <si>
    <t>9.13</t>
  </si>
  <si>
    <t>13.5</t>
  </si>
  <si>
    <t>234</t>
  </si>
  <si>
    <t>6.3</t>
  </si>
  <si>
    <t>62</t>
  </si>
  <si>
    <t>11.8</t>
  </si>
  <si>
    <t>288</t>
  </si>
  <si>
    <t>27.8</t>
  </si>
  <si>
    <t>342</t>
  </si>
  <si>
    <t>7.1</t>
  </si>
  <si>
    <t>18.6</t>
  </si>
  <si>
    <t>34.7</t>
  </si>
  <si>
    <t>390</t>
  </si>
  <si>
    <t>402</t>
  </si>
  <si>
    <t>22.8</t>
  </si>
  <si>
    <t>458</t>
  </si>
  <si>
    <t>8.8</t>
  </si>
  <si>
    <t>28.2</t>
  </si>
  <si>
    <t>51.2</t>
  </si>
  <si>
    <t>488</t>
  </si>
  <si>
    <t>31.7</t>
  </si>
  <si>
    <t>65.1</t>
  </si>
  <si>
    <t>562</t>
  </si>
  <si>
    <t>36.8</t>
  </si>
  <si>
    <t>102.9</t>
  </si>
  <si>
    <t>12.5</t>
  </si>
  <si>
    <t>52.6</t>
  </si>
  <si>
    <t>160.5</t>
  </si>
  <si>
    <t>895</t>
  </si>
  <si>
    <t>746</t>
  </si>
  <si>
    <t>64.5</t>
  </si>
  <si>
    <t>217.5</t>
  </si>
  <si>
    <t>1015</t>
  </si>
  <si>
    <t>950</t>
  </si>
  <si>
    <t>848</t>
  </si>
  <si>
    <t>855</t>
  </si>
  <si>
    <t>87</t>
  </si>
  <si>
    <t>279.5</t>
  </si>
  <si>
    <t>1115</t>
  </si>
  <si>
    <t>1050</t>
  </si>
  <si>
    <t>948</t>
  </si>
  <si>
    <t>954</t>
  </si>
  <si>
    <t>106.1</t>
  </si>
  <si>
    <t>350.8</t>
  </si>
  <si>
    <t>1230</t>
  </si>
  <si>
    <t>1160</t>
  </si>
  <si>
    <t>1054</t>
  </si>
  <si>
    <t>123.9</t>
  </si>
  <si>
    <t>504.8</t>
  </si>
  <si>
    <t>1455</t>
  </si>
  <si>
    <t>1380</t>
  </si>
  <si>
    <t>1256</t>
  </si>
  <si>
    <t>187.7</t>
  </si>
  <si>
    <t>724.2</t>
  </si>
  <si>
    <t>1675</t>
  </si>
  <si>
    <t>1590</t>
  </si>
  <si>
    <t>1462</t>
  </si>
  <si>
    <t>1460</t>
  </si>
  <si>
    <t>256.5</t>
  </si>
  <si>
    <t>995.7</t>
  </si>
  <si>
    <t>1915</t>
  </si>
  <si>
    <t>1672</t>
  </si>
  <si>
    <t>1666</t>
  </si>
  <si>
    <t>368.9</t>
  </si>
  <si>
    <t>1304.6</t>
  </si>
  <si>
    <t>2115</t>
  </si>
  <si>
    <t>1875</t>
  </si>
  <si>
    <t>1866</t>
  </si>
  <si>
    <t>451.1</t>
  </si>
  <si>
    <t>1698.7</t>
  </si>
  <si>
    <t>2325</t>
  </si>
  <si>
    <t>2230</t>
  </si>
  <si>
    <t>2082</t>
  </si>
  <si>
    <t>2070</t>
  </si>
  <si>
    <t>564.2</t>
  </si>
  <si>
    <t>.66</t>
  </si>
  <si>
    <t>.75</t>
  </si>
  <si>
    <t>11.5</t>
  </si>
  <si>
    <t>16.7</t>
  </si>
  <si>
    <t>22.4</t>
  </si>
  <si>
    <t>82</t>
  </si>
  <si>
    <t>464</t>
  </si>
  <si>
    <t>38.5</t>
  </si>
  <si>
    <t>512</t>
  </si>
  <si>
    <t>50.8</t>
  </si>
  <si>
    <t>546</t>
  </si>
  <si>
    <t>578</t>
  </si>
  <si>
    <t>70.7</t>
  </si>
  <si>
    <t>85.3</t>
  </si>
  <si>
    <t>178.3</t>
  </si>
  <si>
    <t>910</t>
  </si>
  <si>
    <t>750</t>
  </si>
  <si>
    <t>759</t>
  </si>
  <si>
    <t>94.8</t>
  </si>
  <si>
    <t>251.9</t>
  </si>
  <si>
    <t>1025</t>
  </si>
  <si>
    <t>335.4</t>
  </si>
  <si>
    <t>1125</t>
  </si>
  <si>
    <t>127.3</t>
  </si>
  <si>
    <t>434.3</t>
  </si>
  <si>
    <t>1255</t>
  </si>
  <si>
    <t>1170</t>
  </si>
  <si>
    <t>1056</t>
  </si>
  <si>
    <t>1060</t>
  </si>
  <si>
    <t>169.7</t>
  </si>
  <si>
    <t>717</t>
  </si>
  <si>
    <t>1485</t>
  </si>
  <si>
    <t>1390</t>
  </si>
  <si>
    <t>1260</t>
  </si>
  <si>
    <t>254.4</t>
  </si>
  <si>
    <t>1093.8</t>
  </si>
  <si>
    <t>1685</t>
  </si>
  <si>
    <t>1467</t>
  </si>
  <si>
    <t>1465</t>
  </si>
  <si>
    <t>333.5</t>
  </si>
  <si>
    <t>1544.1</t>
  </si>
  <si>
    <t>1674</t>
  </si>
  <si>
    <t>1668</t>
  </si>
  <si>
    <t>483.7</t>
  </si>
  <si>
    <t>2130.1</t>
  </si>
  <si>
    <t>1879</t>
  </si>
  <si>
    <t>1870</t>
  </si>
  <si>
    <t>17.5</t>
  </si>
  <si>
    <t>590.5</t>
  </si>
  <si>
    <t>2860.5</t>
  </si>
  <si>
    <t>2345</t>
  </si>
  <si>
    <t>66</t>
  </si>
  <si>
    <t>2084</t>
  </si>
  <si>
    <t>2072</t>
  </si>
  <si>
    <t>748.9</t>
  </si>
  <si>
    <t>0.63</t>
  </si>
  <si>
    <t>0.71</t>
  </si>
  <si>
    <t>1.01</t>
  </si>
  <si>
    <t>1.23</t>
  </si>
  <si>
    <t>2.03</t>
  </si>
  <si>
    <t>2.35</t>
  </si>
  <si>
    <t>3.94</t>
  </si>
  <si>
    <t>4.61</t>
  </si>
  <si>
    <t>5.6</t>
  </si>
  <si>
    <t>5.03</t>
  </si>
  <si>
    <t>6.21</t>
  </si>
  <si>
    <t>134</t>
  </si>
  <si>
    <t>8.12</t>
  </si>
  <si>
    <t>162</t>
  </si>
  <si>
    <t>9.61</t>
  </si>
  <si>
    <t>11.4</t>
  </si>
  <si>
    <t>12.7</t>
  </si>
  <si>
    <t>16.5</t>
  </si>
  <si>
    <t>244</t>
  </si>
  <si>
    <t>17.4</t>
  </si>
  <si>
    <t>24.1</t>
  </si>
  <si>
    <t>296</t>
  </si>
  <si>
    <t>88</t>
  </si>
  <si>
    <t>30.8</t>
  </si>
  <si>
    <t>31.9</t>
  </si>
  <si>
    <t>39.6</t>
  </si>
  <si>
    <t>398</t>
  </si>
  <si>
    <t>420</t>
  </si>
  <si>
    <t>48.5</t>
  </si>
  <si>
    <t>49.4</t>
  </si>
  <si>
    <t>452</t>
  </si>
  <si>
    <t>61.1</t>
  </si>
  <si>
    <t>62.9</t>
  </si>
  <si>
    <t>71.5</t>
  </si>
  <si>
    <t>75.1</t>
  </si>
  <si>
    <t>558</t>
  </si>
  <si>
    <t>92.5</t>
  </si>
  <si>
    <t>123.7</t>
  </si>
  <si>
    <t>680</t>
  </si>
  <si>
    <t>132.8</t>
  </si>
  <si>
    <t>182.5</t>
  </si>
  <si>
    <t>960</t>
  </si>
  <si>
    <t>875</t>
  </si>
  <si>
    <t>760</t>
  </si>
  <si>
    <t>769</t>
  </si>
  <si>
    <t>142.7</t>
  </si>
  <si>
    <t>259.9</t>
  </si>
  <si>
    <t>1085</t>
  </si>
  <si>
    <t>990</t>
  </si>
  <si>
    <t>864</t>
  </si>
  <si>
    <t>871</t>
  </si>
  <si>
    <t>193.2</t>
  </si>
  <si>
    <t>343.8</t>
  </si>
  <si>
    <t>1185</t>
  </si>
  <si>
    <t>1090</t>
  </si>
  <si>
    <t>968</t>
  </si>
  <si>
    <t>974</t>
  </si>
  <si>
    <t>236.8</t>
  </si>
  <si>
    <t>473.2</t>
  </si>
  <si>
    <t>1210</t>
  </si>
  <si>
    <t>1070</t>
  </si>
  <si>
    <t>1074</t>
  </si>
  <si>
    <t>155</t>
  </si>
  <si>
    <t>312.9</t>
  </si>
  <si>
    <t>764.7</t>
  </si>
  <si>
    <t>21.4</t>
  </si>
  <si>
    <t>16.2</t>
  </si>
  <si>
    <t>306</t>
  </si>
  <si>
    <t>34.6</t>
  </si>
  <si>
    <t>362</t>
  </si>
  <si>
    <t>48.2</t>
  </si>
  <si>
    <t>35.1</t>
  </si>
  <si>
    <t>408</t>
  </si>
  <si>
    <t>66.8</t>
  </si>
  <si>
    <t>482</t>
  </si>
  <si>
    <t>96</t>
  </si>
  <si>
    <t>63.5</t>
  </si>
  <si>
    <t>100.1</t>
  </si>
  <si>
    <t>86.9</t>
  </si>
  <si>
    <t>584</t>
  </si>
  <si>
    <t>125.9</t>
  </si>
  <si>
    <t>108.6</t>
  </si>
  <si>
    <t>666</t>
  </si>
  <si>
    <t>204.2</t>
  </si>
  <si>
    <t>184.3</t>
  </si>
  <si>
    <t>1.18</t>
  </si>
  <si>
    <t>235.7</t>
  </si>
  <si>
    <t>1.3</t>
  </si>
  <si>
    <t>437.1</t>
  </si>
  <si>
    <t>2.79</t>
  </si>
  <si>
    <t>601.7</t>
  </si>
  <si>
    <t>3.38</t>
  </si>
  <si>
    <t>998.2</t>
  </si>
  <si>
    <t>4.4</t>
  </si>
  <si>
    <t>205</t>
  </si>
  <si>
    <t>98</t>
  </si>
  <si>
    <t>5.92</t>
  </si>
  <si>
    <t>215</t>
  </si>
  <si>
    <t>112</t>
  </si>
  <si>
    <t>6.93</t>
  </si>
  <si>
    <t>138</t>
  </si>
  <si>
    <t>9.98</t>
  </si>
  <si>
    <t>7.5</t>
  </si>
  <si>
    <t>345</t>
  </si>
  <si>
    <t>202</t>
  </si>
  <si>
    <t>8.5</t>
  </si>
  <si>
    <t>23</t>
  </si>
  <si>
    <t>415</t>
  </si>
  <si>
    <t>10.5</t>
  </si>
  <si>
    <t>4.29</t>
  </si>
  <si>
    <t>316</t>
  </si>
  <si>
    <t>48.9</t>
  </si>
  <si>
    <t>5.53</t>
  </si>
  <si>
    <t>372</t>
  </si>
  <si>
    <t>15.5</t>
  </si>
  <si>
    <t>68.3</t>
  </si>
  <si>
    <t>7.59</t>
  </si>
  <si>
    <t>442</t>
  </si>
  <si>
    <t>95.4</t>
  </si>
  <si>
    <t>141.3</t>
  </si>
  <si>
    <t>10.0</t>
  </si>
  <si>
    <t>22.5</t>
  </si>
  <si>
    <t>33.5</t>
  </si>
  <si>
    <t>46.3</t>
  </si>
  <si>
    <t>89.6</t>
  </si>
  <si>
    <t>119.9</t>
  </si>
  <si>
    <t>6.24</t>
  </si>
  <si>
    <t>7.95</t>
  </si>
  <si>
    <t>244.3</t>
  </si>
  <si>
    <t>230</t>
  </si>
  <si>
    <t>13.9</t>
  </si>
  <si>
    <t>315</t>
  </si>
  <si>
    <t>22.3</t>
  </si>
  <si>
    <t>290</t>
  </si>
  <si>
    <t>30.1</t>
  </si>
  <si>
    <t>278</t>
  </si>
  <si>
    <t>14.5</t>
  </si>
  <si>
    <t>18.5</t>
  </si>
  <si>
    <t>157</t>
  </si>
  <si>
    <t>82.2</t>
  </si>
  <si>
    <t>119.4</t>
  </si>
  <si>
    <t>655</t>
  </si>
  <si>
    <t>560</t>
  </si>
  <si>
    <t>189</t>
  </si>
  <si>
    <t>166.2</t>
  </si>
  <si>
    <t>214.5</t>
  </si>
  <si>
    <t>16.0</t>
  </si>
  <si>
    <t>1.39</t>
  </si>
  <si>
    <t>1.65</t>
  </si>
  <si>
    <t>3.61</t>
  </si>
  <si>
    <t>27.2</t>
  </si>
  <si>
    <t>4.6</t>
  </si>
  <si>
    <t>44.4</t>
  </si>
  <si>
    <t>64.1</t>
  </si>
  <si>
    <t>8.28</t>
  </si>
  <si>
    <t>89.5</t>
  </si>
  <si>
    <t>126.7</t>
  </si>
  <si>
    <t>12.9</t>
  </si>
  <si>
    <t>154.1</t>
  </si>
  <si>
    <t>19.6</t>
  </si>
  <si>
    <t>187.8</t>
  </si>
  <si>
    <t>30.6</t>
  </si>
  <si>
    <t>331</t>
  </si>
  <si>
    <t>128</t>
  </si>
  <si>
    <t>42.2</t>
  </si>
  <si>
    <t>1.14</t>
  </si>
  <si>
    <t>65.6</t>
  </si>
  <si>
    <t>106.4</t>
  </si>
  <si>
    <t>1.92</t>
  </si>
  <si>
    <t>22.2</t>
  </si>
  <si>
    <t>175</t>
  </si>
  <si>
    <t>153.2</t>
  </si>
  <si>
    <t>2.71</t>
  </si>
  <si>
    <t>25.0</t>
  </si>
  <si>
    <t>2.26</t>
  </si>
  <si>
    <t>3.27</t>
  </si>
  <si>
    <t>2.65</t>
  </si>
  <si>
    <t>4.32</t>
  </si>
  <si>
    <t>3.12</t>
  </si>
  <si>
    <t>4.88</t>
  </si>
  <si>
    <t>6.11</t>
  </si>
  <si>
    <t>5.32</t>
  </si>
  <si>
    <t>7.31</t>
  </si>
  <si>
    <t>7.08</t>
  </si>
  <si>
    <t>8.61</t>
  </si>
  <si>
    <t>124</t>
  </si>
  <si>
    <t>13.2</t>
  </si>
  <si>
    <t>24.5</t>
  </si>
  <si>
    <t>101.6</t>
  </si>
  <si>
    <t>102</t>
  </si>
  <si>
    <t>255</t>
  </si>
  <si>
    <t>136</t>
  </si>
  <si>
    <t>127</t>
  </si>
  <si>
    <t>164</t>
  </si>
  <si>
    <t>28.1</t>
  </si>
  <si>
    <t>58.2</t>
  </si>
  <si>
    <t>152.4</t>
  </si>
  <si>
    <t>275</t>
  </si>
  <si>
    <t>206</t>
  </si>
  <si>
    <t>39.7</t>
  </si>
  <si>
    <t>83.4</t>
  </si>
  <si>
    <t>177.8</t>
  </si>
  <si>
    <t>242</t>
  </si>
  <si>
    <t>60.5</t>
  </si>
  <si>
    <t>115.8</t>
  </si>
  <si>
    <t>244.5</t>
  </si>
  <si>
    <t>305</t>
  </si>
  <si>
    <t>111.8</t>
  </si>
  <si>
    <t>155.5</t>
  </si>
  <si>
    <t>298.5</t>
  </si>
  <si>
    <t>193.3</t>
  </si>
  <si>
    <t>6.09</t>
  </si>
  <si>
    <t>9.37</t>
  </si>
  <si>
    <t>54.3</t>
  </si>
  <si>
    <t>87.5</t>
  </si>
  <si>
    <t>131.6</t>
  </si>
  <si>
    <t>178.8</t>
  </si>
  <si>
    <t>239.7</t>
  </si>
  <si>
    <t>1.36</t>
  </si>
  <si>
    <t>1.64</t>
  </si>
  <si>
    <t>2.88</t>
  </si>
  <si>
    <t>4.63</t>
  </si>
  <si>
    <t>5.98</t>
  </si>
  <si>
    <t>8.27</t>
  </si>
  <si>
    <t>11.1</t>
  </si>
  <si>
    <t>31.2</t>
  </si>
  <si>
    <t>43.2</t>
  </si>
  <si>
    <t>68.9</t>
  </si>
  <si>
    <t>170.3</t>
  </si>
  <si>
    <t>2.92</t>
  </si>
  <si>
    <t>3.55</t>
  </si>
  <si>
    <t>4.99</t>
  </si>
  <si>
    <t>6.6</t>
  </si>
  <si>
    <t>8.1</t>
  </si>
  <si>
    <t>12.3</t>
  </si>
  <si>
    <t>16.4</t>
  </si>
  <si>
    <t>27</t>
  </si>
  <si>
    <t>37.9</t>
  </si>
  <si>
    <t>57.2</t>
  </si>
  <si>
    <t>108.2</t>
  </si>
  <si>
    <t>188.2</t>
  </si>
  <si>
    <t>690</t>
  </si>
  <si>
    <t>590</t>
  </si>
  <si>
    <t>320.1</t>
  </si>
  <si>
    <r>
      <t>JB/4712-92(</t>
    </r>
    <r>
      <rPr>
        <b/>
        <sz val="14"/>
        <rFont val="宋体"/>
        <family val="3"/>
        <charset val="134"/>
      </rPr>
      <t>轻型</t>
    </r>
    <r>
      <rPr>
        <b/>
        <sz val="14"/>
        <rFont val="Times New Roman"/>
        <family val="1"/>
      </rPr>
      <t>A</t>
    </r>
    <r>
      <rPr>
        <b/>
        <sz val="14"/>
        <rFont val="宋体"/>
        <family val="3"/>
        <charset val="134"/>
      </rPr>
      <t>）系列及尺寸</t>
    </r>
  </si>
  <si>
    <t xml:space="preserve">公称 </t>
  </si>
  <si>
    <t xml:space="preserve">允许 </t>
  </si>
  <si>
    <t xml:space="preserve">鞍座 </t>
  </si>
  <si>
    <t>底板</t>
  </si>
  <si>
    <t>腹板</t>
  </si>
  <si>
    <t>筋板</t>
  </si>
  <si>
    <t>垫板</t>
  </si>
  <si>
    <t>螺栓连接尺寸</t>
  </si>
  <si>
    <t>鞍座</t>
  </si>
  <si>
    <r>
      <t>加</t>
    </r>
    <r>
      <rPr>
        <sz val="10"/>
        <rFont val="Times New Roman"/>
        <family val="1"/>
      </rPr>
      <t>100</t>
    </r>
    <r>
      <rPr>
        <sz val="10"/>
        <rFont val="宋体"/>
        <family val="3"/>
        <charset val="134"/>
      </rPr>
      <t>高</t>
    </r>
  </si>
  <si>
    <t>直径</t>
  </si>
  <si>
    <t xml:space="preserve"> 载荷</t>
  </si>
  <si>
    <t>高度</t>
  </si>
  <si>
    <r>
      <t>l</t>
    </r>
    <r>
      <rPr>
        <vertAlign val="subscript"/>
        <sz val="10"/>
        <rFont val="宋体"/>
        <family val="3"/>
        <charset val="134"/>
      </rPr>
      <t>1</t>
    </r>
  </si>
  <si>
    <r>
      <t>b</t>
    </r>
    <r>
      <rPr>
        <vertAlign val="subscript"/>
        <sz val="10"/>
        <rFont val="宋体"/>
        <family val="3"/>
        <charset val="134"/>
      </rPr>
      <t>1</t>
    </r>
  </si>
  <si>
    <r>
      <t>δ</t>
    </r>
    <r>
      <rPr>
        <vertAlign val="subscript"/>
        <sz val="10"/>
        <rFont val="宋体"/>
        <family val="3"/>
        <charset val="134"/>
      </rPr>
      <t>1</t>
    </r>
  </si>
  <si>
    <r>
      <t>δ</t>
    </r>
    <r>
      <rPr>
        <vertAlign val="subscript"/>
        <sz val="10"/>
        <rFont val="宋体"/>
        <family val="3"/>
        <charset val="134"/>
      </rPr>
      <t>2</t>
    </r>
  </si>
  <si>
    <r>
      <t>l</t>
    </r>
    <r>
      <rPr>
        <vertAlign val="subscript"/>
        <sz val="10"/>
        <rFont val="宋体"/>
        <family val="3"/>
        <charset val="134"/>
      </rPr>
      <t>3</t>
    </r>
  </si>
  <si>
    <r>
      <t>b</t>
    </r>
    <r>
      <rPr>
        <vertAlign val="subscript"/>
        <sz val="10"/>
        <rFont val="宋体"/>
        <family val="3"/>
        <charset val="134"/>
      </rPr>
      <t>2</t>
    </r>
  </si>
  <si>
    <r>
      <t>b</t>
    </r>
    <r>
      <rPr>
        <vertAlign val="subscript"/>
        <sz val="10"/>
        <rFont val="宋体"/>
        <family val="3"/>
        <charset val="134"/>
      </rPr>
      <t>3</t>
    </r>
  </si>
  <si>
    <r>
      <t>δ</t>
    </r>
    <r>
      <rPr>
        <vertAlign val="subscript"/>
        <sz val="10"/>
        <rFont val="宋体"/>
        <family val="3"/>
        <charset val="134"/>
      </rPr>
      <t>3</t>
    </r>
  </si>
  <si>
    <t>弧长</t>
  </si>
  <si>
    <r>
      <t>b</t>
    </r>
    <r>
      <rPr>
        <vertAlign val="subscript"/>
        <sz val="10"/>
        <rFont val="宋体"/>
        <family val="3"/>
        <charset val="134"/>
      </rPr>
      <t>4</t>
    </r>
  </si>
  <si>
    <r>
      <t>δ</t>
    </r>
    <r>
      <rPr>
        <vertAlign val="subscript"/>
        <sz val="10"/>
        <rFont val="宋体"/>
        <family val="3"/>
        <charset val="134"/>
      </rPr>
      <t>4</t>
    </r>
  </si>
  <si>
    <t>e</t>
  </si>
  <si>
    <r>
      <t>间距l</t>
    </r>
    <r>
      <rPr>
        <vertAlign val="subscript"/>
        <sz val="10"/>
        <rFont val="宋体"/>
        <family val="3"/>
        <charset val="134"/>
      </rPr>
      <t>2</t>
    </r>
  </si>
  <si>
    <t>螺孔d</t>
  </si>
  <si>
    <t>螺纹M</t>
  </si>
  <si>
    <t>孔长L</t>
  </si>
  <si>
    <t>质量</t>
  </si>
  <si>
    <t>的质量</t>
  </si>
  <si>
    <r>
      <t>JB/4712-92(</t>
    </r>
    <r>
      <rPr>
        <b/>
        <sz val="14"/>
        <rFont val="宋体"/>
        <family val="3"/>
        <charset val="134"/>
      </rPr>
      <t>重型</t>
    </r>
    <r>
      <rPr>
        <b/>
        <sz val="14"/>
        <rFont val="Times New Roman"/>
        <family val="1"/>
      </rPr>
      <t>BI</t>
    </r>
    <r>
      <rPr>
        <b/>
        <sz val="14"/>
        <rFont val="宋体"/>
        <family val="3"/>
        <charset val="134"/>
      </rPr>
      <t>）系列及尺寸</t>
    </r>
  </si>
  <si>
    <t xml:space="preserve"> 高度</t>
  </si>
  <si>
    <r>
      <t>l</t>
    </r>
    <r>
      <rPr>
        <vertAlign val="subscript"/>
        <sz val="14"/>
        <rFont val="宋体"/>
        <family val="3"/>
        <charset val="134"/>
      </rPr>
      <t>1</t>
    </r>
  </si>
  <si>
    <r>
      <t>b</t>
    </r>
    <r>
      <rPr>
        <vertAlign val="subscript"/>
        <sz val="14"/>
        <rFont val="宋体"/>
        <family val="3"/>
        <charset val="134"/>
      </rPr>
      <t>1</t>
    </r>
  </si>
  <si>
    <r>
      <t>δ</t>
    </r>
    <r>
      <rPr>
        <vertAlign val="subscript"/>
        <sz val="14"/>
        <rFont val="宋体"/>
        <family val="3"/>
        <charset val="134"/>
      </rPr>
      <t>1</t>
    </r>
  </si>
  <si>
    <r>
      <t>δ</t>
    </r>
    <r>
      <rPr>
        <vertAlign val="subscript"/>
        <sz val="14"/>
        <rFont val="宋体"/>
        <family val="3"/>
        <charset val="134"/>
      </rPr>
      <t>2</t>
    </r>
  </si>
  <si>
    <r>
      <t>l</t>
    </r>
    <r>
      <rPr>
        <vertAlign val="subscript"/>
        <sz val="14"/>
        <rFont val="宋体"/>
        <family val="3"/>
        <charset val="134"/>
      </rPr>
      <t>3</t>
    </r>
  </si>
  <si>
    <r>
      <t>b</t>
    </r>
    <r>
      <rPr>
        <vertAlign val="subscript"/>
        <sz val="14"/>
        <rFont val="宋体"/>
        <family val="3"/>
        <charset val="134"/>
      </rPr>
      <t>2</t>
    </r>
  </si>
  <si>
    <r>
      <t>b</t>
    </r>
    <r>
      <rPr>
        <vertAlign val="subscript"/>
        <sz val="14"/>
        <rFont val="宋体"/>
        <family val="3"/>
        <charset val="134"/>
      </rPr>
      <t>3</t>
    </r>
  </si>
  <si>
    <r>
      <t>δ</t>
    </r>
    <r>
      <rPr>
        <vertAlign val="subscript"/>
        <sz val="14"/>
        <rFont val="宋体"/>
        <family val="3"/>
        <charset val="134"/>
      </rPr>
      <t>3</t>
    </r>
  </si>
  <si>
    <r>
      <t>b</t>
    </r>
    <r>
      <rPr>
        <vertAlign val="subscript"/>
        <sz val="14"/>
        <rFont val="宋体"/>
        <family val="3"/>
        <charset val="134"/>
      </rPr>
      <t>4</t>
    </r>
  </si>
  <si>
    <r>
      <t>δ</t>
    </r>
    <r>
      <rPr>
        <vertAlign val="subscript"/>
        <sz val="14"/>
        <rFont val="宋体"/>
        <family val="3"/>
        <charset val="134"/>
      </rPr>
      <t>4</t>
    </r>
  </si>
  <si>
    <r>
      <t>间距l</t>
    </r>
    <r>
      <rPr>
        <vertAlign val="subscript"/>
        <sz val="14"/>
        <rFont val="宋体"/>
        <family val="3"/>
        <charset val="134"/>
      </rPr>
      <t>2</t>
    </r>
  </si>
  <si>
    <r>
      <t>JB/4712-92(</t>
    </r>
    <r>
      <rPr>
        <b/>
        <sz val="14"/>
        <rFont val="宋体"/>
        <family val="3"/>
        <charset val="134"/>
      </rPr>
      <t>重型</t>
    </r>
    <r>
      <rPr>
        <b/>
        <sz val="14"/>
        <rFont val="Times New Roman"/>
        <family val="1"/>
      </rPr>
      <t>BII</t>
    </r>
    <r>
      <rPr>
        <b/>
        <sz val="14"/>
        <rFont val="宋体"/>
        <family val="3"/>
        <charset val="134"/>
      </rPr>
      <t>）系列及尺寸</t>
    </r>
  </si>
  <si>
    <r>
      <t>JB/4712-92(</t>
    </r>
    <r>
      <rPr>
        <b/>
        <sz val="14"/>
        <rFont val="宋体"/>
        <family val="3"/>
        <charset val="134"/>
      </rPr>
      <t>重型</t>
    </r>
    <r>
      <rPr>
        <b/>
        <sz val="14"/>
        <rFont val="Times New Roman"/>
        <family val="1"/>
      </rPr>
      <t>BIII</t>
    </r>
    <r>
      <rPr>
        <b/>
        <sz val="14"/>
        <rFont val="宋体"/>
        <family val="3"/>
        <charset val="134"/>
      </rPr>
      <t>）系列及尺寸</t>
    </r>
  </si>
  <si>
    <r>
      <t>公称</t>
    </r>
    <r>
      <rPr>
        <sz val="10"/>
        <rFont val="Arial"/>
        <family val="2"/>
      </rPr>
      <t xml:space="preserve"> </t>
    </r>
  </si>
  <si>
    <r>
      <t>允许</t>
    </r>
    <r>
      <rPr>
        <sz val="10"/>
        <rFont val="Arial"/>
        <family val="2"/>
      </rPr>
      <t xml:space="preserve"> </t>
    </r>
  </si>
  <si>
    <r>
      <t>鞍座</t>
    </r>
    <r>
      <rPr>
        <sz val="10"/>
        <rFont val="Arial"/>
        <family val="2"/>
      </rPr>
      <t xml:space="preserve"> </t>
    </r>
  </si>
  <si>
    <r>
      <t>间距</t>
    </r>
    <r>
      <rPr>
        <sz val="10"/>
        <rFont val="Arial"/>
        <family val="2"/>
      </rPr>
      <t>l</t>
    </r>
    <r>
      <rPr>
        <vertAlign val="subscript"/>
        <sz val="14"/>
        <rFont val="宋体"/>
        <family val="3"/>
        <charset val="134"/>
      </rPr>
      <t>2</t>
    </r>
  </si>
  <si>
    <r>
      <t>螺孔</t>
    </r>
    <r>
      <rPr>
        <sz val="10"/>
        <rFont val="Arial"/>
        <family val="2"/>
      </rPr>
      <t>d</t>
    </r>
  </si>
  <si>
    <r>
      <t>螺纹</t>
    </r>
    <r>
      <rPr>
        <sz val="10"/>
        <rFont val="Arial"/>
        <family val="2"/>
      </rPr>
      <t>M</t>
    </r>
  </si>
  <si>
    <r>
      <t>孔长</t>
    </r>
    <r>
      <rPr>
        <sz val="10"/>
        <rFont val="Arial"/>
        <family val="2"/>
      </rPr>
      <t>L</t>
    </r>
  </si>
  <si>
    <r>
      <t>JB/T4736-2002</t>
    </r>
    <r>
      <rPr>
        <b/>
        <sz val="20"/>
        <rFont val="宋体"/>
        <family val="3"/>
        <charset val="134"/>
      </rPr>
      <t>补强圈外径与重量</t>
    </r>
    <phoneticPr fontId="5" type="noConversion"/>
  </si>
  <si>
    <r>
      <t>厚度</t>
    </r>
    <r>
      <rPr>
        <sz val="12"/>
        <rFont val="Times New Roman"/>
        <family val="1"/>
      </rPr>
      <t>(mm)</t>
    </r>
    <phoneticPr fontId="5" type="noConversion"/>
  </si>
  <si>
    <r>
      <t>JB/T4703</t>
    </r>
    <r>
      <rPr>
        <b/>
        <sz val="20"/>
        <rFont val="宋体"/>
        <family val="3"/>
        <charset val="134"/>
      </rPr>
      <t>长颈对焊法兰</t>
    </r>
    <phoneticPr fontId="5" type="noConversion"/>
  </si>
  <si>
    <r>
      <t>欧洲体系板式平焊法兰</t>
    </r>
    <r>
      <rPr>
        <b/>
        <sz val="20"/>
        <rFont val="Times New Roman"/>
        <family val="1"/>
      </rPr>
      <t>(PL)</t>
    </r>
    <phoneticPr fontId="5" type="noConversion"/>
  </si>
  <si>
    <r>
      <t>美洲体系带颈平焊法兰</t>
    </r>
    <r>
      <rPr>
        <b/>
        <sz val="20"/>
        <rFont val="Times New Roman"/>
        <family val="1"/>
      </rPr>
      <t>(SO)</t>
    </r>
    <phoneticPr fontId="5" type="noConversion"/>
  </si>
  <si>
    <t>FF</t>
    <phoneticPr fontId="5" type="noConversion"/>
  </si>
  <si>
    <t>M</t>
    <phoneticPr fontId="5" type="noConversion"/>
  </si>
  <si>
    <t>FM</t>
    <phoneticPr fontId="5" type="noConversion"/>
  </si>
  <si>
    <t>美洲体系带颈对焊法兰(WN)</t>
    <phoneticPr fontId="5" type="noConversion"/>
  </si>
  <si>
    <r>
      <t>JB/T4702</t>
    </r>
    <r>
      <rPr>
        <b/>
        <sz val="20"/>
        <rFont val="宋体"/>
        <family val="3"/>
        <charset val="134"/>
      </rPr>
      <t>乙型平焊法兰</t>
    </r>
    <phoneticPr fontId="5" type="noConversion"/>
  </si>
  <si>
    <r>
      <t>欧洲体系带颈平焊法兰</t>
    </r>
    <r>
      <rPr>
        <b/>
        <sz val="20"/>
        <rFont val="Times New Roman"/>
        <family val="1"/>
      </rPr>
      <t>(SO)</t>
    </r>
    <phoneticPr fontId="5" type="noConversion"/>
  </si>
  <si>
    <t>美洲体系法兰盖(BL)</t>
    <phoneticPr fontId="5" type="noConversion"/>
  </si>
  <si>
    <t>欧洲体系带颈对焊法兰(WN)</t>
    <phoneticPr fontId="5" type="noConversion"/>
  </si>
  <si>
    <t>JB/T4701甲型平焊法兰</t>
    <phoneticPr fontId="5" type="noConversion"/>
  </si>
  <si>
    <t xml:space="preserve"> </t>
    <phoneticPr fontId="5" type="noConversion"/>
  </si>
  <si>
    <t>JB/T4721外头盖侧法兰</t>
    <phoneticPr fontId="5" type="noConversion"/>
  </si>
  <si>
    <t>T</t>
    <phoneticPr fontId="5" type="noConversion"/>
  </si>
  <si>
    <t>欧洲体系法兰盖(BL)</t>
    <phoneticPr fontId="5" type="noConversion"/>
  </si>
  <si>
    <t>X</t>
    <phoneticPr fontId="5" type="noConversion"/>
  </si>
  <si>
    <t>Y</t>
    <phoneticPr fontId="5" type="noConversion"/>
  </si>
  <si>
    <r>
      <t>法兰</t>
    </r>
    <r>
      <rPr>
        <sz val="10"/>
        <color indexed="8"/>
        <rFont val="Times New Roman"/>
        <family val="1"/>
      </rPr>
      <t>(</t>
    </r>
    <r>
      <rPr>
        <sz val="10"/>
        <color indexed="8"/>
        <rFont val="宋体"/>
        <family val="3"/>
        <charset val="134"/>
      </rPr>
      <t>盖</t>
    </r>
    <r>
      <rPr>
        <sz val="10"/>
        <color indexed="8"/>
        <rFont val="Times New Roman"/>
        <family val="1"/>
      </rPr>
      <t>)</t>
    </r>
    <r>
      <rPr>
        <sz val="10"/>
        <color indexed="8"/>
        <rFont val="宋体"/>
        <family val="3"/>
        <charset val="134"/>
      </rPr>
      <t>重量</t>
    </r>
    <phoneticPr fontId="5" type="noConversion"/>
  </si>
  <si>
    <t>接管伸出长度计算</t>
    <phoneticPr fontId="5" type="noConversion"/>
  </si>
  <si>
    <t>接管外径</t>
    <phoneticPr fontId="5" type="noConversion"/>
  </si>
  <si>
    <t>筒体封头</t>
    <phoneticPr fontId="5" type="noConversion"/>
  </si>
  <si>
    <t>筒体内径</t>
    <phoneticPr fontId="5" type="noConversion"/>
  </si>
  <si>
    <t>筒体外径</t>
    <phoneticPr fontId="5" type="noConversion"/>
  </si>
  <si>
    <t>封头内径</t>
    <phoneticPr fontId="5" type="noConversion"/>
  </si>
  <si>
    <t>封头外径</t>
    <phoneticPr fontId="5" type="noConversion"/>
  </si>
  <si>
    <t>筒体封头厚度</t>
    <phoneticPr fontId="5" type="noConversion"/>
  </si>
  <si>
    <t>距中心距离</t>
    <phoneticPr fontId="5" type="noConversion"/>
  </si>
  <si>
    <t>接管总长</t>
    <phoneticPr fontId="5" type="noConversion"/>
  </si>
  <si>
    <t>接管中心伸
出外壁长度</t>
    <phoneticPr fontId="5" type="noConversion"/>
  </si>
  <si>
    <t>C5</t>
  </si>
  <si>
    <t>目录</t>
  </si>
  <si>
    <t>名称</t>
  </si>
  <si>
    <t>外形</t>
  </si>
  <si>
    <t>单台成本</t>
  </si>
  <si>
    <t>总价</t>
  </si>
  <si>
    <t>备注</t>
  </si>
  <si>
    <t>钢板</t>
    <phoneticPr fontId="5" type="noConversion"/>
  </si>
  <si>
    <t>螺栓</t>
    <phoneticPr fontId="5" type="noConversion"/>
  </si>
  <si>
    <t>材料</t>
    <phoneticPr fontId="5" type="noConversion"/>
  </si>
  <si>
    <t>价格</t>
    <phoneticPr fontId="5" type="noConversion"/>
  </si>
  <si>
    <t>Q345R</t>
    <phoneticPr fontId="5" type="noConversion"/>
  </si>
  <si>
    <t>M14</t>
    <phoneticPr fontId="5" type="noConversion"/>
  </si>
  <si>
    <t>S30408</t>
    <phoneticPr fontId="5" type="noConversion"/>
  </si>
  <si>
    <t>M16</t>
    <phoneticPr fontId="5" type="noConversion"/>
  </si>
  <si>
    <t>S31603</t>
    <phoneticPr fontId="5" type="noConversion"/>
  </si>
  <si>
    <t>M20</t>
    <phoneticPr fontId="5" type="noConversion"/>
  </si>
  <si>
    <t>M24</t>
    <phoneticPr fontId="5" type="noConversion"/>
  </si>
  <si>
    <t>M27</t>
    <phoneticPr fontId="5" type="noConversion"/>
  </si>
  <si>
    <t>M30</t>
    <phoneticPr fontId="5" type="noConversion"/>
  </si>
  <si>
    <t>M33</t>
    <phoneticPr fontId="5" type="noConversion"/>
  </si>
  <si>
    <t>M39×3</t>
    <phoneticPr fontId="5" type="noConversion"/>
  </si>
  <si>
    <t>返回目录</t>
  </si>
  <si>
    <t>法兰</t>
    <phoneticPr fontId="5" type="noConversion"/>
  </si>
  <si>
    <t>PN16</t>
  </si>
  <si>
    <t>PN25</t>
  </si>
  <si>
    <t>不含配对</t>
  </si>
  <si>
    <t>PN40</t>
  </si>
  <si>
    <t>长度</t>
    <phoneticPr fontId="5" type="noConversion"/>
  </si>
  <si>
    <t>单价</t>
    <phoneticPr fontId="5" type="noConversion"/>
  </si>
  <si>
    <t>总价</t>
    <phoneticPr fontId="5" type="noConversion"/>
  </si>
  <si>
    <t>接管</t>
    <phoneticPr fontId="5" type="noConversion"/>
  </si>
  <si>
    <t>附件</t>
    <phoneticPr fontId="5" type="noConversion"/>
  </si>
  <si>
    <t>人工成本</t>
  </si>
  <si>
    <t>元/吨</t>
    <phoneticPr fontId="5" type="noConversion"/>
  </si>
  <si>
    <t>辅材成本</t>
  </si>
  <si>
    <t>探伤成本</t>
    <phoneticPr fontId="5" type="noConversion"/>
  </si>
  <si>
    <t>材料损耗</t>
  </si>
  <si>
    <t>㎡</t>
    <phoneticPr fontId="5" type="noConversion"/>
  </si>
  <si>
    <t>公称</t>
    <phoneticPr fontId="5" type="noConversion"/>
  </si>
  <si>
    <t>钢管外径</t>
    <phoneticPr fontId="5" type="noConversion"/>
  </si>
  <si>
    <t>尺寸</t>
    <phoneticPr fontId="5" type="noConversion"/>
  </si>
  <si>
    <t>A1</t>
    <phoneticPr fontId="5" type="noConversion"/>
  </si>
  <si>
    <t>DN</t>
    <phoneticPr fontId="5" type="noConversion"/>
  </si>
  <si>
    <t>螺栓中间值</t>
    <phoneticPr fontId="5" type="noConversion"/>
  </si>
  <si>
    <t>公称直径</t>
  </si>
  <si>
    <t>HG法兰      (单位：片/kg)</t>
  </si>
  <si>
    <t>PL</t>
    <phoneticPr fontId="5" type="noConversion"/>
  </si>
  <si>
    <t>SO</t>
    <phoneticPr fontId="5" type="noConversion"/>
  </si>
  <si>
    <t>WN</t>
    <phoneticPr fontId="5" type="noConversion"/>
  </si>
  <si>
    <t>PN2.5</t>
  </si>
  <si>
    <t>PN6</t>
  </si>
  <si>
    <t>PN10</t>
  </si>
  <si>
    <t>PN63</t>
  </si>
  <si>
    <t>PN100</t>
  </si>
  <si>
    <t>PN160</t>
  </si>
  <si>
    <t>DN</t>
  </si>
  <si>
    <r>
      <t>20615</t>
    </r>
    <r>
      <rPr>
        <b/>
        <sz val="14"/>
        <rFont val="宋体"/>
        <family val="3"/>
        <charset val="134"/>
      </rPr>
      <t>法兰</t>
    </r>
    <r>
      <rPr>
        <b/>
        <sz val="14"/>
        <rFont val="Arial"/>
        <family val="2"/>
      </rPr>
      <t xml:space="preserve">     </t>
    </r>
    <r>
      <rPr>
        <b/>
        <sz val="10"/>
        <rFont val="Arial"/>
        <family val="2"/>
      </rPr>
      <t>(</t>
    </r>
    <r>
      <rPr>
        <b/>
        <sz val="10"/>
        <rFont val="宋体"/>
        <family val="3"/>
        <charset val="134"/>
      </rPr>
      <t>单位：片</t>
    </r>
    <r>
      <rPr>
        <b/>
        <sz val="10"/>
        <rFont val="Arial"/>
        <family val="2"/>
      </rPr>
      <t>/kg)</t>
    </r>
    <phoneticPr fontId="5" type="noConversion"/>
  </si>
  <si>
    <r>
      <t>C</t>
    </r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150</t>
    </r>
    <phoneticPr fontId="5" type="noConversion"/>
  </si>
  <si>
    <r>
      <t>C</t>
    </r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300</t>
    </r>
    <phoneticPr fontId="5" type="noConversion"/>
  </si>
  <si>
    <r>
      <t>C</t>
    </r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600</t>
    </r>
    <phoneticPr fontId="5" type="noConversion"/>
  </si>
  <si>
    <r>
      <t>C</t>
    </r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900</t>
    </r>
    <phoneticPr fontId="5" type="noConversion"/>
  </si>
  <si>
    <r>
      <t>C</t>
    </r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1500</t>
    </r>
    <phoneticPr fontId="5" type="noConversion"/>
  </si>
  <si>
    <r>
      <t>C</t>
    </r>
    <r>
      <rPr>
        <sz val="12"/>
        <rFont val="宋体"/>
        <family val="3"/>
        <charset val="134"/>
      </rPr>
      <t>L</t>
    </r>
    <r>
      <rPr>
        <sz val="12"/>
        <rFont val="宋体"/>
        <family val="3"/>
        <charset val="134"/>
      </rPr>
      <t>2500</t>
    </r>
    <phoneticPr fontId="5" type="noConversion"/>
  </si>
  <si>
    <t>NPS</t>
  </si>
  <si>
    <t>1/2</t>
  </si>
  <si>
    <t>3/4</t>
  </si>
  <si>
    <t>1</t>
  </si>
  <si>
    <r>
      <t>1</t>
    </r>
    <r>
      <rPr>
        <sz val="6"/>
        <rFont val="Arial"/>
        <family val="2"/>
      </rPr>
      <t>1/4</t>
    </r>
  </si>
  <si>
    <r>
      <t>1</t>
    </r>
    <r>
      <rPr>
        <sz val="6"/>
        <rFont val="Arial"/>
        <family val="2"/>
      </rPr>
      <t>1/2</t>
    </r>
  </si>
  <si>
    <r>
      <t>2</t>
    </r>
    <r>
      <rPr>
        <sz val="6"/>
        <rFont val="Arial"/>
        <family val="2"/>
      </rPr>
      <t>1/2</t>
    </r>
  </si>
  <si>
    <r>
      <t>法兰盖2</t>
    </r>
    <r>
      <rPr>
        <sz val="12"/>
        <rFont val="宋体"/>
        <family val="3"/>
        <charset val="134"/>
      </rPr>
      <t>0592</t>
    </r>
    <phoneticPr fontId="5" type="noConversion"/>
  </si>
  <si>
    <r>
      <t>螺栓2</t>
    </r>
    <r>
      <rPr>
        <sz val="12"/>
        <rFont val="宋体"/>
        <family val="3"/>
        <charset val="134"/>
      </rPr>
      <t>0592</t>
    </r>
    <phoneticPr fontId="5" type="noConversion"/>
  </si>
  <si>
    <t>螺栓孔</t>
    <phoneticPr fontId="5" type="noConversion"/>
  </si>
  <si>
    <t>质量</t>
    <phoneticPr fontId="5" type="noConversion"/>
  </si>
  <si>
    <r>
      <t>L</t>
    </r>
    <r>
      <rPr>
        <sz val="12"/>
        <rFont val="宋体"/>
        <family val="3"/>
        <charset val="134"/>
      </rPr>
      <t>SR</t>
    </r>
    <phoneticPr fontId="5" type="noConversion"/>
  </si>
  <si>
    <r>
      <t>L</t>
    </r>
    <r>
      <rPr>
        <sz val="12"/>
        <rFont val="宋体"/>
        <family val="3"/>
        <charset val="134"/>
      </rPr>
      <t>ZR</t>
    </r>
    <phoneticPr fontId="5" type="noConversion"/>
  </si>
  <si>
    <t>压力</t>
    <phoneticPr fontId="5" type="noConversion"/>
  </si>
  <si>
    <r>
      <t>P</t>
    </r>
    <r>
      <rPr>
        <sz val="12"/>
        <rFont val="宋体"/>
        <family val="3"/>
        <charset val="134"/>
      </rPr>
      <t>N</t>
    </r>
    <phoneticPr fontId="5" type="noConversion"/>
  </si>
  <si>
    <t>n</t>
    <phoneticPr fontId="5" type="noConversion"/>
  </si>
  <si>
    <t>Th</t>
    <phoneticPr fontId="5" type="noConversion"/>
  </si>
  <si>
    <r>
      <t>M</t>
    </r>
    <r>
      <rPr>
        <sz val="12"/>
        <rFont val="宋体"/>
        <family val="3"/>
        <charset val="134"/>
      </rPr>
      <t>10</t>
    </r>
    <phoneticPr fontId="5" type="noConversion"/>
  </si>
  <si>
    <t>M10</t>
    <phoneticPr fontId="5" type="noConversion"/>
  </si>
  <si>
    <r>
      <t>M</t>
    </r>
    <r>
      <rPr>
        <sz val="12"/>
        <rFont val="宋体"/>
        <family val="3"/>
        <charset val="134"/>
      </rPr>
      <t>12</t>
    </r>
    <phoneticPr fontId="5" type="noConversion"/>
  </si>
  <si>
    <r>
      <t>M</t>
    </r>
    <r>
      <rPr>
        <sz val="12"/>
        <rFont val="宋体"/>
        <family val="3"/>
        <charset val="134"/>
      </rPr>
      <t>16</t>
    </r>
    <phoneticPr fontId="5" type="noConversion"/>
  </si>
  <si>
    <r>
      <t>M</t>
    </r>
    <r>
      <rPr>
        <sz val="12"/>
        <rFont val="宋体"/>
        <family val="3"/>
        <charset val="134"/>
      </rPr>
      <t>20</t>
    </r>
    <phoneticPr fontId="5" type="noConversion"/>
  </si>
  <si>
    <r>
      <t>M</t>
    </r>
    <r>
      <rPr>
        <sz val="12"/>
        <rFont val="宋体"/>
        <family val="3"/>
        <charset val="134"/>
      </rPr>
      <t>24</t>
    </r>
    <phoneticPr fontId="5" type="noConversion"/>
  </si>
  <si>
    <r>
      <t>M</t>
    </r>
    <r>
      <rPr>
        <sz val="12"/>
        <rFont val="宋体"/>
        <family val="3"/>
        <charset val="134"/>
      </rPr>
      <t>27</t>
    </r>
    <phoneticPr fontId="5" type="noConversion"/>
  </si>
  <si>
    <t>-</t>
    <phoneticPr fontId="5" type="noConversion"/>
  </si>
  <si>
    <t>M36×3</t>
    <phoneticPr fontId="5" type="noConversion"/>
  </si>
  <si>
    <t>M45×3</t>
    <phoneticPr fontId="5" type="noConversion"/>
  </si>
  <si>
    <r>
      <t>M</t>
    </r>
    <r>
      <rPr>
        <sz val="12"/>
        <rFont val="宋体"/>
        <family val="3"/>
        <charset val="134"/>
      </rPr>
      <t>30</t>
    </r>
    <phoneticPr fontId="5" type="noConversion"/>
  </si>
  <si>
    <r>
      <t>M</t>
    </r>
    <r>
      <rPr>
        <sz val="12"/>
        <rFont val="宋体"/>
        <family val="3"/>
        <charset val="134"/>
      </rPr>
      <t>33</t>
    </r>
    <phoneticPr fontId="5" type="noConversion"/>
  </si>
  <si>
    <r>
      <t>M</t>
    </r>
    <r>
      <rPr>
        <sz val="12"/>
        <rFont val="宋体"/>
        <family val="3"/>
        <charset val="134"/>
      </rPr>
      <t>36×3</t>
    </r>
    <phoneticPr fontId="5" type="noConversion"/>
  </si>
  <si>
    <r>
      <t>法兰盖2</t>
    </r>
    <r>
      <rPr>
        <sz val="12"/>
        <rFont val="宋体"/>
        <family val="3"/>
        <charset val="134"/>
      </rPr>
      <t>0615</t>
    </r>
    <phoneticPr fontId="5" type="noConversion"/>
  </si>
  <si>
    <t>法兰质量</t>
    <phoneticPr fontId="5" type="noConversion"/>
  </si>
  <si>
    <t>LZR</t>
    <phoneticPr fontId="5" type="noConversion"/>
  </si>
  <si>
    <t>C</t>
    <phoneticPr fontId="5" type="noConversion"/>
  </si>
  <si>
    <t>M42×3</t>
    <phoneticPr fontId="5" type="noConversion"/>
  </si>
  <si>
    <t>M48×3</t>
    <phoneticPr fontId="5" type="noConversion"/>
  </si>
  <si>
    <t>M52×3</t>
    <phoneticPr fontId="5" type="noConversion"/>
  </si>
  <si>
    <t>M64×3</t>
    <phoneticPr fontId="5" type="noConversion"/>
  </si>
  <si>
    <t>HG20615</t>
  </si>
  <si>
    <t>JB/T4701</t>
  </si>
  <si>
    <t>鞍式支座</t>
    <phoneticPr fontId="37" type="noConversion"/>
  </si>
  <si>
    <t>代号</t>
    <phoneticPr fontId="37" type="noConversion"/>
  </si>
  <si>
    <t>单件重量</t>
    <phoneticPr fontId="37" type="noConversion"/>
  </si>
  <si>
    <t>增加100mm高度增加的质量</t>
    <phoneticPr fontId="37" type="noConversion"/>
  </si>
  <si>
    <t>置空用列</t>
    <phoneticPr fontId="37" type="noConversion"/>
  </si>
  <si>
    <t>腿式支座</t>
    <phoneticPr fontId="37" type="noConversion"/>
  </si>
  <si>
    <t>耳式支座</t>
    <phoneticPr fontId="37" type="noConversion"/>
  </si>
  <si>
    <t>∝3</t>
    <phoneticPr fontId="37" type="noConversion"/>
  </si>
  <si>
    <t>支撑式支座</t>
    <phoneticPr fontId="37" type="noConversion"/>
  </si>
  <si>
    <t>鞍座A1000-FS</t>
    <phoneticPr fontId="37" type="noConversion"/>
  </si>
  <si>
    <t>JB/T4712.1-2007</t>
    <phoneticPr fontId="37" type="noConversion"/>
  </si>
  <si>
    <t>JB/T4712.2-2007</t>
    <phoneticPr fontId="37" type="noConversion"/>
  </si>
  <si>
    <t>耳式支座A1-Ⅰ</t>
    <phoneticPr fontId="37" type="noConversion"/>
  </si>
  <si>
    <t>JB/T4712.3-2007</t>
    <phoneticPr fontId="37" type="noConversion"/>
  </si>
  <si>
    <t>支座A1</t>
    <phoneticPr fontId="37" type="noConversion"/>
  </si>
  <si>
    <t>JB/T4712.4-2007</t>
    <phoneticPr fontId="37" type="noConversion"/>
  </si>
  <si>
    <t>鞍座A1100-FS</t>
    <phoneticPr fontId="37" type="noConversion"/>
  </si>
  <si>
    <t>耳式支座A2-Ⅰ</t>
    <phoneticPr fontId="37" type="noConversion"/>
  </si>
  <si>
    <t>支座A2</t>
    <phoneticPr fontId="37" type="noConversion"/>
  </si>
  <si>
    <t>鞍座A1200-FS</t>
    <phoneticPr fontId="37" type="noConversion"/>
  </si>
  <si>
    <t>耳式支座A3-Ⅰ</t>
    <phoneticPr fontId="37" type="noConversion"/>
  </si>
  <si>
    <t>支座A3</t>
  </si>
  <si>
    <t>鞍座A1300-FS</t>
    <phoneticPr fontId="37" type="noConversion"/>
  </si>
  <si>
    <t>耳式支座A4-Ⅰ</t>
    <phoneticPr fontId="37" type="noConversion"/>
  </si>
  <si>
    <t>支座A4</t>
  </si>
  <si>
    <t>鞍座A1400-FS</t>
    <phoneticPr fontId="37" type="noConversion"/>
  </si>
  <si>
    <t>耳式支座A5-Ⅰ</t>
    <phoneticPr fontId="37" type="noConversion"/>
  </si>
  <si>
    <t>支座A5</t>
  </si>
  <si>
    <t>鞍座A1500-FS</t>
    <phoneticPr fontId="37" type="noConversion"/>
  </si>
  <si>
    <t>耳式支座A6-Ⅰ</t>
    <phoneticPr fontId="37" type="noConversion"/>
  </si>
  <si>
    <t>支座A6</t>
  </si>
  <si>
    <t>鞍座A1600-FS</t>
    <phoneticPr fontId="37" type="noConversion"/>
  </si>
  <si>
    <t>耳式支座A7-Ⅰ</t>
    <phoneticPr fontId="37" type="noConversion"/>
  </si>
  <si>
    <t>鞍座A1700-FS</t>
    <phoneticPr fontId="37" type="noConversion"/>
  </si>
  <si>
    <t>支腿BN1-800</t>
    <phoneticPr fontId="37" type="noConversion"/>
  </si>
  <si>
    <t>耳式支座A8-Ⅰ</t>
    <phoneticPr fontId="37" type="noConversion"/>
  </si>
  <si>
    <t>鞍座A1800-FS</t>
    <phoneticPr fontId="37" type="noConversion"/>
  </si>
  <si>
    <t>支腿BN2-1000</t>
    <phoneticPr fontId="37" type="noConversion"/>
  </si>
  <si>
    <t>耳式支座B1-Ⅰ</t>
    <phoneticPr fontId="37" type="noConversion"/>
  </si>
  <si>
    <t>鞍座A1900-FS</t>
    <phoneticPr fontId="37" type="noConversion"/>
  </si>
  <si>
    <t>支腿BN3-1000</t>
    <phoneticPr fontId="37" type="noConversion"/>
  </si>
  <si>
    <t>耳式支座B2-Ⅰ</t>
    <phoneticPr fontId="37" type="noConversion"/>
  </si>
  <si>
    <t>鞍座A2000-FS</t>
    <phoneticPr fontId="37" type="noConversion"/>
  </si>
  <si>
    <t>支腿BN4-1100</t>
    <phoneticPr fontId="37" type="noConversion"/>
  </si>
  <si>
    <t>耳式支座B3-Ⅰ</t>
    <phoneticPr fontId="37" type="noConversion"/>
  </si>
  <si>
    <t>鞍座A2100-FS</t>
    <phoneticPr fontId="37" type="noConversion"/>
  </si>
  <si>
    <t>支腿BN5-1200</t>
    <phoneticPr fontId="37" type="noConversion"/>
  </si>
  <si>
    <t>耳式支座B4-Ⅰ</t>
    <phoneticPr fontId="37" type="noConversion"/>
  </si>
  <si>
    <t>鞍座A2200-FS</t>
    <phoneticPr fontId="37" type="noConversion"/>
  </si>
  <si>
    <t>支腿CN1-1600</t>
    <phoneticPr fontId="37" type="noConversion"/>
  </si>
  <si>
    <t>耳式支座B5-Ⅰ</t>
    <phoneticPr fontId="37" type="noConversion"/>
  </si>
  <si>
    <t>鞍座A2300-FS</t>
    <phoneticPr fontId="37" type="noConversion"/>
  </si>
  <si>
    <t>支腿CN2-1600</t>
    <phoneticPr fontId="37" type="noConversion"/>
  </si>
  <si>
    <t>耳式支座B6-Ⅰ</t>
    <phoneticPr fontId="37" type="noConversion"/>
  </si>
  <si>
    <t>鞍座A2400-FS</t>
    <phoneticPr fontId="37" type="noConversion"/>
  </si>
  <si>
    <t>支腿CN3-1600</t>
    <phoneticPr fontId="37" type="noConversion"/>
  </si>
  <si>
    <t>耳式支座B7-Ⅰ</t>
    <phoneticPr fontId="37" type="noConversion"/>
  </si>
  <si>
    <t>鞍座A2600-FS</t>
    <phoneticPr fontId="37" type="noConversion"/>
  </si>
  <si>
    <t>支腿CN4-1800</t>
    <phoneticPr fontId="37" type="noConversion"/>
  </si>
  <si>
    <t>耳式支座B8-Ⅰ</t>
    <phoneticPr fontId="37" type="noConversion"/>
  </si>
  <si>
    <t>鞍座A2800-FS</t>
    <phoneticPr fontId="37" type="noConversion"/>
  </si>
  <si>
    <t>支腿CN5-1800</t>
    <phoneticPr fontId="37" type="noConversion"/>
  </si>
  <si>
    <t>耳式支座C1-Ⅰ</t>
    <phoneticPr fontId="37" type="noConversion"/>
  </si>
  <si>
    <t>鞍座A3000-FS</t>
    <phoneticPr fontId="37" type="noConversion"/>
  </si>
  <si>
    <t>支腿CN6-1800</t>
    <phoneticPr fontId="37" type="noConversion"/>
  </si>
  <si>
    <t>耳式支座C2-Ⅰ</t>
    <phoneticPr fontId="37" type="noConversion"/>
  </si>
  <si>
    <t>鞍座A3200-FS</t>
    <phoneticPr fontId="37" type="noConversion"/>
  </si>
  <si>
    <t>支腿CN7-1900</t>
    <phoneticPr fontId="37" type="noConversion"/>
  </si>
  <si>
    <t>耳式支座C3-Ⅰ</t>
    <phoneticPr fontId="37" type="noConversion"/>
  </si>
  <si>
    <t>鞍座A3400-FS</t>
    <phoneticPr fontId="37" type="noConversion"/>
  </si>
  <si>
    <t>支腿CN8-1900</t>
    <phoneticPr fontId="37" type="noConversion"/>
  </si>
  <si>
    <t>耳式支座C4-Ⅰ</t>
    <phoneticPr fontId="37" type="noConversion"/>
  </si>
  <si>
    <t>鞍座A3600-FS</t>
    <phoneticPr fontId="37" type="noConversion"/>
  </si>
  <si>
    <t>支腿CN9-1900</t>
    <phoneticPr fontId="37" type="noConversion"/>
  </si>
  <si>
    <t>耳式支座C5-Ⅰ</t>
    <phoneticPr fontId="37" type="noConversion"/>
  </si>
  <si>
    <t>鞍座A3800-FS</t>
    <phoneticPr fontId="37" type="noConversion"/>
  </si>
  <si>
    <t>支腿CN10-2000</t>
    <phoneticPr fontId="37" type="noConversion"/>
  </si>
  <si>
    <t>耳式支座C6-Ⅰ</t>
    <phoneticPr fontId="37" type="noConversion"/>
  </si>
  <si>
    <t>鞍座A4000-FS</t>
    <phoneticPr fontId="37" type="noConversion"/>
  </si>
  <si>
    <t>支腿A1-800-X</t>
    <phoneticPr fontId="37" type="noConversion"/>
  </si>
  <si>
    <t>耳式支座C7-Ⅰ</t>
    <phoneticPr fontId="37" type="noConversion"/>
  </si>
  <si>
    <t>鞍座BⅠ159-FS</t>
    <phoneticPr fontId="37" type="noConversion"/>
  </si>
  <si>
    <t>支腿A2-800-X</t>
    <phoneticPr fontId="37" type="noConversion"/>
  </si>
  <si>
    <t>耳式支座C8-Ⅰ</t>
    <phoneticPr fontId="37" type="noConversion"/>
  </si>
  <si>
    <t>鞍座BⅠ219-FS</t>
    <phoneticPr fontId="37" type="noConversion"/>
  </si>
  <si>
    <t>支腿A3-1000-X</t>
    <phoneticPr fontId="37" type="noConversion"/>
  </si>
  <si>
    <t>鞍座BⅠ273-FS</t>
    <phoneticPr fontId="37" type="noConversion"/>
  </si>
  <si>
    <t>支腿A4-1000-X</t>
    <phoneticPr fontId="37" type="noConversion"/>
  </si>
  <si>
    <t>鞍座BⅠ325-FS</t>
    <phoneticPr fontId="37" type="noConversion"/>
  </si>
  <si>
    <t>支腿A5-1100-X</t>
    <phoneticPr fontId="37" type="noConversion"/>
  </si>
  <si>
    <t>鞍座BⅠ377-FS</t>
    <phoneticPr fontId="37" type="noConversion"/>
  </si>
  <si>
    <t>支腿A6-1100-X</t>
    <phoneticPr fontId="37" type="noConversion"/>
  </si>
  <si>
    <t>鞍座BⅠ426-FS</t>
    <phoneticPr fontId="37" type="noConversion"/>
  </si>
  <si>
    <t>支腿A7-1200-X</t>
    <phoneticPr fontId="37" type="noConversion"/>
  </si>
  <si>
    <t>鞍座BⅠ300-FS</t>
    <phoneticPr fontId="37" type="noConversion"/>
  </si>
  <si>
    <t>支腿B1-800-X</t>
    <phoneticPr fontId="37" type="noConversion"/>
  </si>
  <si>
    <t>鞍座BⅠ350-FS</t>
    <phoneticPr fontId="37" type="noConversion"/>
  </si>
  <si>
    <t>支腿B2-1000-X</t>
    <phoneticPr fontId="37" type="noConversion"/>
  </si>
  <si>
    <t>鞍座BⅠ400-FS</t>
    <phoneticPr fontId="37" type="noConversion"/>
  </si>
  <si>
    <t>支腿B3-1000-X</t>
    <phoneticPr fontId="37" type="noConversion"/>
  </si>
  <si>
    <t>鞍座BⅠ450-FS</t>
    <phoneticPr fontId="37" type="noConversion"/>
  </si>
  <si>
    <t>支腿B4-1100-X</t>
    <phoneticPr fontId="37" type="noConversion"/>
  </si>
  <si>
    <t>鞍座BⅠ500-FS</t>
    <phoneticPr fontId="37" type="noConversion"/>
  </si>
  <si>
    <t>支腿B5-1200-X</t>
    <phoneticPr fontId="37" type="noConversion"/>
  </si>
  <si>
    <t>鞍座BⅠ550-FS</t>
    <phoneticPr fontId="37" type="noConversion"/>
  </si>
  <si>
    <t>支腿C1-1600-X</t>
    <phoneticPr fontId="37" type="noConversion"/>
  </si>
  <si>
    <t>鞍座BⅠ600-FS</t>
    <phoneticPr fontId="37" type="noConversion"/>
  </si>
  <si>
    <t>支腿C2-1600-X</t>
    <phoneticPr fontId="37" type="noConversion"/>
  </si>
  <si>
    <t>鞍座BⅠ650-FS</t>
    <phoneticPr fontId="37" type="noConversion"/>
  </si>
  <si>
    <t>支腿C3-1600-X</t>
    <phoneticPr fontId="37" type="noConversion"/>
  </si>
  <si>
    <t>鞍座BⅠ700-FS</t>
    <phoneticPr fontId="37" type="noConversion"/>
  </si>
  <si>
    <t>支腿C4-1800-X</t>
    <phoneticPr fontId="37" type="noConversion"/>
  </si>
  <si>
    <t>鞍座BⅠ800-FS</t>
    <phoneticPr fontId="37" type="noConversion"/>
  </si>
  <si>
    <t>支腿C5-1800-X</t>
    <phoneticPr fontId="37" type="noConversion"/>
  </si>
  <si>
    <t>鞍座BⅠ900-FS</t>
    <phoneticPr fontId="37" type="noConversion"/>
  </si>
  <si>
    <t>JB/T4712.1-2008</t>
  </si>
  <si>
    <t>支腿C6-1800-X</t>
    <phoneticPr fontId="37" type="noConversion"/>
  </si>
  <si>
    <t>鞍座BⅠ1000-FS</t>
    <phoneticPr fontId="37" type="noConversion"/>
  </si>
  <si>
    <t>支腿C7-1900-X</t>
    <phoneticPr fontId="37" type="noConversion"/>
  </si>
  <si>
    <t>鞍座BⅠ1100-FS</t>
    <phoneticPr fontId="37" type="noConversion"/>
  </si>
  <si>
    <t>支腿C8-1900-X</t>
    <phoneticPr fontId="37" type="noConversion"/>
  </si>
  <si>
    <t>鞍座BⅠ1200-FS</t>
    <phoneticPr fontId="37" type="noConversion"/>
  </si>
  <si>
    <t>支腿C9-1900-X</t>
    <phoneticPr fontId="37" type="noConversion"/>
  </si>
  <si>
    <t>鞍座BⅠ1300-FS</t>
    <phoneticPr fontId="37" type="noConversion"/>
  </si>
  <si>
    <t>支腿C10-2000-X</t>
    <phoneticPr fontId="37" type="noConversion"/>
  </si>
  <si>
    <t>鞍座BⅠ1400-FS</t>
    <phoneticPr fontId="37" type="noConversion"/>
  </si>
  <si>
    <t>鞍座BⅠ1500-FS</t>
    <phoneticPr fontId="37" type="noConversion"/>
  </si>
  <si>
    <t>鞍座BⅠ1600-FS</t>
    <phoneticPr fontId="37" type="noConversion"/>
  </si>
  <si>
    <t>鞍座BⅠ1700-FS</t>
    <phoneticPr fontId="37" type="noConversion"/>
  </si>
  <si>
    <t>鞍座BⅠ1800-FS</t>
    <phoneticPr fontId="37" type="noConversion"/>
  </si>
  <si>
    <t>鞍座BⅠ1900-FS</t>
    <phoneticPr fontId="37" type="noConversion"/>
  </si>
  <si>
    <t>鞍座BⅠ2000-FS</t>
    <phoneticPr fontId="37" type="noConversion"/>
  </si>
  <si>
    <t>鞍座BⅠ2100-FS</t>
    <phoneticPr fontId="37" type="noConversion"/>
  </si>
  <si>
    <t>鞍座BⅠ2200-FS</t>
    <phoneticPr fontId="37" type="noConversion"/>
  </si>
  <si>
    <t>鞍座BⅠ2300-FS</t>
    <phoneticPr fontId="37" type="noConversion"/>
  </si>
  <si>
    <t>鞍座BⅠ2400-FS</t>
    <phoneticPr fontId="37" type="noConversion"/>
  </si>
  <si>
    <t>鞍座BⅠ2600-FS</t>
    <phoneticPr fontId="37" type="noConversion"/>
  </si>
  <si>
    <t>鞍座BⅠ2800-FS</t>
    <phoneticPr fontId="37" type="noConversion"/>
  </si>
  <si>
    <t>鞍座BⅠ3000-FS</t>
    <phoneticPr fontId="37" type="noConversion"/>
  </si>
  <si>
    <t>鞍座BⅠ3200-FS</t>
    <phoneticPr fontId="37" type="noConversion"/>
  </si>
  <si>
    <t>鞍座BⅠ3400-FS</t>
    <phoneticPr fontId="37" type="noConversion"/>
  </si>
  <si>
    <t>鞍座BⅠ3600-FS</t>
    <phoneticPr fontId="37" type="noConversion"/>
  </si>
  <si>
    <t>鞍座BⅠ3800-FS</t>
    <phoneticPr fontId="37" type="noConversion"/>
  </si>
  <si>
    <t>鞍座BⅠ4000-FS</t>
    <phoneticPr fontId="37" type="noConversion"/>
  </si>
  <si>
    <t>鞍座BⅡ1000-FS</t>
    <phoneticPr fontId="37" type="noConversion"/>
  </si>
  <si>
    <t>鞍座BⅡ1100-FS</t>
    <phoneticPr fontId="37" type="noConversion"/>
  </si>
  <si>
    <t>鞍座BⅡ1200-FS</t>
    <phoneticPr fontId="37" type="noConversion"/>
  </si>
  <si>
    <t>鞍座BⅡ1300-FS</t>
    <phoneticPr fontId="37" type="noConversion"/>
  </si>
  <si>
    <t>鞍座BⅡ1400-FS</t>
    <phoneticPr fontId="37" type="noConversion"/>
  </si>
  <si>
    <t>鞍座BⅡ1500-FS</t>
    <phoneticPr fontId="37" type="noConversion"/>
  </si>
  <si>
    <t>鞍座BⅡ1600-FS</t>
    <phoneticPr fontId="37" type="noConversion"/>
  </si>
  <si>
    <t>鞍座BⅡ1700-FS</t>
    <phoneticPr fontId="37" type="noConversion"/>
  </si>
  <si>
    <t>鞍座BⅡ1800-FS</t>
    <phoneticPr fontId="37" type="noConversion"/>
  </si>
  <si>
    <t>鞍座BⅡ1900-FS</t>
    <phoneticPr fontId="37" type="noConversion"/>
  </si>
  <si>
    <t>鞍座BⅡ2000-FS</t>
    <phoneticPr fontId="37" type="noConversion"/>
  </si>
  <si>
    <t>鞍座BⅡ2100-FS</t>
    <phoneticPr fontId="37" type="noConversion"/>
  </si>
  <si>
    <t>鞍座BⅡ2200-FS</t>
    <phoneticPr fontId="37" type="noConversion"/>
  </si>
  <si>
    <t>鞍座BⅡ2300-FS</t>
    <phoneticPr fontId="37" type="noConversion"/>
  </si>
  <si>
    <t>鞍座BⅡ2400-FS</t>
    <phoneticPr fontId="37" type="noConversion"/>
  </si>
  <si>
    <t>鞍座BⅡ2600-FS</t>
    <phoneticPr fontId="37" type="noConversion"/>
  </si>
  <si>
    <t>鞍座BⅡ2800-FS</t>
    <phoneticPr fontId="37" type="noConversion"/>
  </si>
  <si>
    <t>鞍座BⅡ3000-FS</t>
    <phoneticPr fontId="37" type="noConversion"/>
  </si>
  <si>
    <t>鞍座BⅡ3200-FS</t>
    <phoneticPr fontId="37" type="noConversion"/>
  </si>
  <si>
    <t>鞍座BⅡ3400-FS</t>
    <phoneticPr fontId="37" type="noConversion"/>
  </si>
  <si>
    <t>鞍座BⅡ3600-FS</t>
    <phoneticPr fontId="37" type="noConversion"/>
  </si>
  <si>
    <t>鞍座BⅡ3800-FS</t>
    <phoneticPr fontId="37" type="noConversion"/>
  </si>
  <si>
    <t>鞍座BⅡ4000-FS</t>
    <phoneticPr fontId="37" type="noConversion"/>
  </si>
  <si>
    <t>鞍座BⅢ159-FS</t>
    <phoneticPr fontId="37" type="noConversion"/>
  </si>
  <si>
    <t>鞍座BⅢ219-FS</t>
    <phoneticPr fontId="37" type="noConversion"/>
  </si>
  <si>
    <t>鞍座BⅢ273-FS</t>
    <phoneticPr fontId="37" type="noConversion"/>
  </si>
  <si>
    <t>鞍座BⅢ325-FS</t>
    <phoneticPr fontId="37" type="noConversion"/>
  </si>
  <si>
    <t>鞍座BⅢ377-FS</t>
    <phoneticPr fontId="37" type="noConversion"/>
  </si>
  <si>
    <t>鞍座BⅢ426-FS</t>
    <phoneticPr fontId="37" type="noConversion"/>
  </si>
  <si>
    <t>鞍座BⅢ300-FS</t>
    <phoneticPr fontId="37" type="noConversion"/>
  </si>
  <si>
    <t>鞍座BⅢ350-FS</t>
    <phoneticPr fontId="37" type="noConversion"/>
  </si>
  <si>
    <t>鞍座BⅢ400-FS</t>
    <phoneticPr fontId="37" type="noConversion"/>
  </si>
  <si>
    <t>鞍座BⅢ450-FS</t>
    <phoneticPr fontId="37" type="noConversion"/>
  </si>
  <si>
    <t>鞍座BⅢ500-FS</t>
    <phoneticPr fontId="37" type="noConversion"/>
  </si>
  <si>
    <t>鞍座BⅢ550-FS</t>
    <phoneticPr fontId="37" type="noConversion"/>
  </si>
  <si>
    <t>鞍座BⅢ600-FS</t>
    <phoneticPr fontId="37" type="noConversion"/>
  </si>
  <si>
    <t>鞍座BⅢ650-FS</t>
    <phoneticPr fontId="37" type="noConversion"/>
  </si>
  <si>
    <t>鞍座BⅢ700-FS</t>
    <phoneticPr fontId="37" type="noConversion"/>
  </si>
  <si>
    <t>鞍座BⅢ800-FS</t>
    <phoneticPr fontId="37" type="noConversion"/>
  </si>
  <si>
    <t>鞍座BⅢ900-FS</t>
    <phoneticPr fontId="37" type="noConversion"/>
  </si>
  <si>
    <t>鞍座BⅣ159-FS</t>
    <phoneticPr fontId="37" type="noConversion"/>
  </si>
  <si>
    <t>鞍座BⅣ219-FS</t>
    <phoneticPr fontId="37" type="noConversion"/>
  </si>
  <si>
    <t>鞍座BⅣ273-FS</t>
    <phoneticPr fontId="37" type="noConversion"/>
  </si>
  <si>
    <t>鞍座BⅣ325-FS</t>
    <phoneticPr fontId="37" type="noConversion"/>
  </si>
  <si>
    <t>鞍座BⅣ377-FS</t>
    <phoneticPr fontId="37" type="noConversion"/>
  </si>
  <si>
    <t>鞍座BⅣ426-FS</t>
    <phoneticPr fontId="37" type="noConversion"/>
  </si>
  <si>
    <t>鞍座BⅣ300-FS</t>
    <phoneticPr fontId="37" type="noConversion"/>
  </si>
  <si>
    <t>鞍座BⅣ350-FS</t>
    <phoneticPr fontId="37" type="noConversion"/>
  </si>
  <si>
    <t>鞍座BⅣ400-FS</t>
    <phoneticPr fontId="37" type="noConversion"/>
  </si>
  <si>
    <t>鞍座BⅣ450-FS</t>
    <phoneticPr fontId="37" type="noConversion"/>
  </si>
  <si>
    <t>鞍座BⅣ500-FS</t>
    <phoneticPr fontId="37" type="noConversion"/>
  </si>
  <si>
    <t>鞍座BⅣ550-FS</t>
    <phoneticPr fontId="37" type="noConversion"/>
  </si>
  <si>
    <t>鞍座BⅣ600-FS</t>
    <phoneticPr fontId="37" type="noConversion"/>
  </si>
  <si>
    <t>鞍座BⅣ650-FS</t>
    <phoneticPr fontId="37" type="noConversion"/>
  </si>
  <si>
    <t>鞍座BⅣ700-FS</t>
    <phoneticPr fontId="37" type="noConversion"/>
  </si>
  <si>
    <t>鞍座BⅣ800-FS</t>
    <phoneticPr fontId="37" type="noConversion"/>
  </si>
  <si>
    <t>鞍座BⅣ900-FS</t>
    <phoneticPr fontId="37" type="noConversion"/>
  </si>
  <si>
    <t>鞍座BⅤ159-FS</t>
    <phoneticPr fontId="37" type="noConversion"/>
  </si>
  <si>
    <t>鞍座BⅤ219-FS</t>
    <phoneticPr fontId="37" type="noConversion"/>
  </si>
  <si>
    <t>鞍座BⅤ273-FS</t>
    <phoneticPr fontId="37" type="noConversion"/>
  </si>
  <si>
    <t>鞍座BⅤ325-FS</t>
    <phoneticPr fontId="37" type="noConversion"/>
  </si>
  <si>
    <t>鞍座BⅤ377-FS</t>
    <phoneticPr fontId="37" type="noConversion"/>
  </si>
  <si>
    <t>鞍座BⅤ426-FS</t>
    <phoneticPr fontId="37" type="noConversion"/>
  </si>
  <si>
    <t>鞍座BⅤ300-FS</t>
    <phoneticPr fontId="37" type="noConversion"/>
  </si>
  <si>
    <t>鞍座BⅤ350-FS</t>
    <phoneticPr fontId="37" type="noConversion"/>
  </si>
  <si>
    <t>鞍座BⅤ400-FS</t>
    <phoneticPr fontId="37" type="noConversion"/>
  </si>
  <si>
    <t>鞍座BⅤ450-FS</t>
    <phoneticPr fontId="37" type="noConversion"/>
  </si>
  <si>
    <t>鞍座BⅤ500-FS</t>
    <phoneticPr fontId="37" type="noConversion"/>
  </si>
  <si>
    <t>鞍座BⅤ550-FS</t>
    <phoneticPr fontId="37" type="noConversion"/>
  </si>
  <si>
    <t>鞍座BⅤ600-FS</t>
    <phoneticPr fontId="37" type="noConversion"/>
  </si>
  <si>
    <t>鞍座BⅤ650-FS</t>
    <phoneticPr fontId="37" type="noConversion"/>
  </si>
  <si>
    <t>鞍座BⅤ700-FS</t>
    <phoneticPr fontId="37" type="noConversion"/>
  </si>
  <si>
    <t>鞍座BⅤ800-FS</t>
    <phoneticPr fontId="37" type="noConversion"/>
  </si>
  <si>
    <t>鞍座BⅤ900-FS</t>
    <phoneticPr fontId="37" type="noConversion"/>
  </si>
  <si>
    <t>支座腹板</t>
    <phoneticPr fontId="5" type="noConversion"/>
  </si>
  <si>
    <t>垫板宽度</t>
    <phoneticPr fontId="37" type="noConversion"/>
  </si>
  <si>
    <t>垫板弧长</t>
    <phoneticPr fontId="37" type="noConversion"/>
  </si>
  <si>
    <t>厚度</t>
    <phoneticPr fontId="37" type="noConversion"/>
  </si>
  <si>
    <t>140/90</t>
  </si>
  <si>
    <t>鞍式支座</t>
    <phoneticPr fontId="5" type="noConversion"/>
  </si>
  <si>
    <t>腿式支座</t>
    <phoneticPr fontId="5" type="noConversion"/>
  </si>
  <si>
    <t>支承式支座</t>
    <phoneticPr fontId="5" type="noConversion"/>
  </si>
  <si>
    <t>估算</t>
    <phoneticPr fontId="5" type="noConversion"/>
  </si>
  <si>
    <t>法兰数量</t>
    <phoneticPr fontId="5" type="noConversion"/>
  </si>
  <si>
    <t>总重</t>
    <phoneticPr fontId="5" type="noConversion"/>
  </si>
  <si>
    <t>探伤</t>
    <phoneticPr fontId="5" type="noConversion"/>
  </si>
  <si>
    <r>
      <t>R</t>
    </r>
    <r>
      <rPr>
        <sz val="12"/>
        <rFont val="宋体"/>
        <family val="3"/>
        <charset val="134"/>
      </rPr>
      <t>T≥</t>
    </r>
    <r>
      <rPr>
        <sz val="12"/>
        <rFont val="宋体"/>
        <family val="3"/>
        <charset val="134"/>
      </rPr>
      <t>20%</t>
    </r>
    <phoneticPr fontId="5" type="noConversion"/>
  </si>
  <si>
    <r>
      <t>R</t>
    </r>
    <r>
      <rPr>
        <sz val="12"/>
        <rFont val="宋体"/>
        <family val="3"/>
        <charset val="134"/>
      </rPr>
      <t>T</t>
    </r>
    <r>
      <rPr>
        <sz val="12"/>
        <rFont val="宋体"/>
        <family val="3"/>
        <charset val="134"/>
      </rPr>
      <t>100%</t>
    </r>
    <phoneticPr fontId="5" type="noConversion"/>
  </si>
  <si>
    <t>垫板尺寸</t>
    <phoneticPr fontId="37" type="noConversion"/>
  </si>
  <si>
    <t>JB/T4712.2-2002</t>
  </si>
  <si>
    <t>JB/T4712.2-2003</t>
  </si>
  <si>
    <t>JB/T4712.2-2004</t>
  </si>
  <si>
    <t>JB/T4712.2-2005</t>
  </si>
  <si>
    <t>JB/T4712.2-2006</t>
  </si>
  <si>
    <r>
      <t>支腿AN-</t>
    </r>
    <r>
      <rPr>
        <sz val="12"/>
        <rFont val="宋体"/>
        <family val="3"/>
        <charset val="134"/>
      </rPr>
      <t>300</t>
    </r>
    <phoneticPr fontId="37" type="noConversion"/>
  </si>
  <si>
    <r>
      <t>支腿AN-</t>
    </r>
    <r>
      <rPr>
        <sz val="12"/>
        <rFont val="宋体"/>
        <family val="3"/>
        <charset val="134"/>
      </rPr>
      <t>400</t>
    </r>
    <phoneticPr fontId="37" type="noConversion"/>
  </si>
  <si>
    <r>
      <t>支腿AN-</t>
    </r>
    <r>
      <rPr>
        <sz val="12"/>
        <rFont val="宋体"/>
        <family val="3"/>
        <charset val="134"/>
      </rPr>
      <t>500</t>
    </r>
    <phoneticPr fontId="37" type="noConversion"/>
  </si>
  <si>
    <r>
      <t>支腿AN-</t>
    </r>
    <r>
      <rPr>
        <sz val="12"/>
        <rFont val="宋体"/>
        <family val="3"/>
        <charset val="134"/>
      </rPr>
      <t>600</t>
    </r>
    <phoneticPr fontId="37" type="noConversion"/>
  </si>
  <si>
    <r>
      <t>支腿AN-</t>
    </r>
    <r>
      <rPr>
        <sz val="12"/>
        <rFont val="宋体"/>
        <family val="3"/>
        <charset val="134"/>
      </rPr>
      <t>700</t>
    </r>
    <phoneticPr fontId="37" type="noConversion"/>
  </si>
  <si>
    <t>支腿AN-800</t>
    <phoneticPr fontId="37" type="noConversion"/>
  </si>
  <si>
    <r>
      <t>支腿AN-</t>
    </r>
    <r>
      <rPr>
        <sz val="12"/>
        <rFont val="宋体"/>
        <family val="3"/>
        <charset val="134"/>
      </rPr>
      <t>900</t>
    </r>
    <phoneticPr fontId="37" type="noConversion"/>
  </si>
  <si>
    <t>支腿AN-1000</t>
    <phoneticPr fontId="37" type="noConversion"/>
  </si>
  <si>
    <r>
      <t>支腿AN-1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00</t>
    </r>
    <phoneticPr fontId="37" type="noConversion"/>
  </si>
  <si>
    <t>支腿AN-1200</t>
    <phoneticPr fontId="37" type="noConversion"/>
  </si>
  <si>
    <r>
      <t>支腿AN-1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00</t>
    </r>
    <phoneticPr fontId="37" type="noConversion"/>
  </si>
  <si>
    <r>
      <t>支腿AN2-13</t>
    </r>
    <r>
      <rPr>
        <sz val="12"/>
        <rFont val="宋体"/>
        <family val="3"/>
        <charset val="134"/>
      </rPr>
      <t>00</t>
    </r>
    <phoneticPr fontId="37" type="noConversion"/>
  </si>
  <si>
    <t>垫板尺寸</t>
    <phoneticPr fontId="37" type="noConversion"/>
  </si>
  <si>
    <r>
      <t>支座B1（</t>
    </r>
    <r>
      <rPr>
        <sz val="12"/>
        <rFont val="宋体"/>
        <family val="3"/>
        <charset val="134"/>
      </rPr>
      <t>800-900）</t>
    </r>
    <phoneticPr fontId="37" type="noConversion"/>
  </si>
  <si>
    <t>支座B2（1000-1200）</t>
    <phoneticPr fontId="37" type="noConversion"/>
  </si>
  <si>
    <r>
      <t>支座B3（</t>
    </r>
    <r>
      <rPr>
        <sz val="12"/>
        <rFont val="宋体"/>
        <family val="3"/>
        <charset val="134"/>
      </rPr>
      <t>1300-1600）</t>
    </r>
    <phoneticPr fontId="37" type="noConversion"/>
  </si>
  <si>
    <r>
      <t>支座B4（</t>
    </r>
    <r>
      <rPr>
        <sz val="12"/>
        <rFont val="宋体"/>
        <family val="3"/>
        <charset val="134"/>
      </rPr>
      <t>1700-2200）</t>
    </r>
    <phoneticPr fontId="37" type="noConversion"/>
  </si>
  <si>
    <r>
      <t>支座B5（</t>
    </r>
    <r>
      <rPr>
        <sz val="12"/>
        <rFont val="宋体"/>
        <family val="3"/>
        <charset val="134"/>
      </rPr>
      <t>2400-2600</t>
    </r>
    <phoneticPr fontId="37" type="noConversion"/>
  </si>
  <si>
    <r>
      <t>支座B6（</t>
    </r>
    <r>
      <rPr>
        <sz val="12"/>
        <rFont val="宋体"/>
        <family val="3"/>
        <charset val="134"/>
      </rPr>
      <t>2800-3200）</t>
    </r>
    <phoneticPr fontId="37" type="noConversion"/>
  </si>
  <si>
    <r>
      <t>支座B7（</t>
    </r>
    <r>
      <rPr>
        <sz val="12"/>
        <rFont val="宋体"/>
        <family val="3"/>
        <charset val="134"/>
      </rPr>
      <t>3400-3600）</t>
    </r>
    <phoneticPr fontId="37" type="noConversion"/>
  </si>
  <si>
    <r>
      <t>支座B8（</t>
    </r>
    <r>
      <rPr>
        <sz val="12"/>
        <rFont val="宋体"/>
        <family val="3"/>
        <charset val="134"/>
      </rPr>
      <t>3800-4000）</t>
    </r>
    <phoneticPr fontId="37" type="noConversion"/>
  </si>
  <si>
    <t>底片单价</t>
    <phoneticPr fontId="5" type="noConversion"/>
  </si>
  <si>
    <t>BL</t>
  </si>
  <si>
    <t>SO</t>
  </si>
  <si>
    <t>FF</t>
  </si>
  <si>
    <r>
      <t>C</t>
    </r>
    <r>
      <rPr>
        <sz val="12"/>
        <rFont val="宋体"/>
        <family val="3"/>
        <charset val="134"/>
      </rPr>
      <t>L150</t>
    </r>
    <phoneticPr fontId="5" type="noConversion"/>
  </si>
  <si>
    <r>
      <t>C</t>
    </r>
    <r>
      <rPr>
        <sz val="12"/>
        <rFont val="宋体"/>
        <family val="3"/>
        <charset val="134"/>
      </rPr>
      <t>L300</t>
    </r>
    <phoneticPr fontId="5" type="noConversion"/>
  </si>
  <si>
    <r>
      <t>C</t>
    </r>
    <r>
      <rPr>
        <sz val="12"/>
        <rFont val="宋体"/>
        <family val="3"/>
        <charset val="134"/>
      </rPr>
      <t>L600</t>
    </r>
    <phoneticPr fontId="5" type="noConversion"/>
  </si>
  <si>
    <r>
      <t>C</t>
    </r>
    <r>
      <rPr>
        <sz val="12"/>
        <rFont val="宋体"/>
        <family val="3"/>
        <charset val="134"/>
      </rPr>
      <t>L900</t>
    </r>
    <phoneticPr fontId="5" type="noConversion"/>
  </si>
  <si>
    <t>PN6</t>
    <phoneticPr fontId="5" type="noConversion"/>
  </si>
  <si>
    <t>PN10</t>
    <phoneticPr fontId="5" type="noConversion"/>
  </si>
  <si>
    <t>PN16</t>
    <phoneticPr fontId="5" type="noConversion"/>
  </si>
  <si>
    <t>PN25</t>
    <phoneticPr fontId="5" type="noConversion"/>
  </si>
  <si>
    <t>PN40</t>
    <phoneticPr fontId="5" type="noConversion"/>
  </si>
  <si>
    <t>PN63</t>
    <phoneticPr fontId="5" type="noConversion"/>
  </si>
  <si>
    <t>PN2.5</t>
    <phoneticPr fontId="5" type="noConversion"/>
  </si>
  <si>
    <t>底片总量</t>
    <phoneticPr fontId="5" type="noConversion"/>
  </si>
  <si>
    <t>焊缝总长</t>
    <phoneticPr fontId="5" type="noConversion"/>
  </si>
  <si>
    <t>底片长度</t>
    <phoneticPr fontId="5" type="noConversion"/>
  </si>
  <si>
    <r>
      <t>R</t>
    </r>
    <r>
      <rPr>
        <sz val="12"/>
        <rFont val="宋体"/>
        <family val="3"/>
        <charset val="134"/>
      </rPr>
      <t>T≥</t>
    </r>
    <r>
      <rPr>
        <sz val="12"/>
        <rFont val="宋体"/>
        <family val="3"/>
        <charset val="134"/>
      </rPr>
      <t>50</t>
    </r>
    <r>
      <rPr>
        <sz val="12"/>
        <rFont val="宋体"/>
        <family val="3"/>
        <charset val="134"/>
      </rPr>
      <t>%</t>
    </r>
    <r>
      <rPr>
        <sz val="11"/>
        <color theme="1"/>
        <rFont val="等线"/>
        <family val="2"/>
        <charset val="134"/>
        <scheme val="minor"/>
      </rPr>
      <t/>
    </r>
    <phoneticPr fontId="5" type="noConversion"/>
  </si>
  <si>
    <t>封头1</t>
    <phoneticPr fontId="46" type="noConversion"/>
  </si>
  <si>
    <t>封头2</t>
    <phoneticPr fontId="46" type="noConversion"/>
  </si>
  <si>
    <t>筒体1</t>
    <phoneticPr fontId="46" type="noConversion"/>
  </si>
  <si>
    <t>筒体2</t>
    <phoneticPr fontId="46" type="noConversion"/>
  </si>
  <si>
    <t>折流板</t>
    <phoneticPr fontId="46" type="noConversion"/>
  </si>
  <si>
    <t>Q235B</t>
    <phoneticPr fontId="5" type="noConversion"/>
  </si>
  <si>
    <t>S30408</t>
  </si>
  <si>
    <t>图纸</t>
    <phoneticPr fontId="5" type="noConversion"/>
  </si>
  <si>
    <t>管板</t>
    <phoneticPr fontId="5" type="noConversion"/>
  </si>
  <si>
    <t>其他部件</t>
    <phoneticPr fontId="5" type="noConversion"/>
  </si>
  <si>
    <t>产品名称</t>
    <phoneticPr fontId="5" type="noConversion"/>
  </si>
  <si>
    <t>外形尺寸</t>
    <phoneticPr fontId="5" type="noConversion"/>
  </si>
  <si>
    <t>筒体1直径</t>
    <phoneticPr fontId="5" type="noConversion"/>
  </si>
  <si>
    <t>筒体2高度</t>
  </si>
  <si>
    <t>筒体1高度</t>
    <phoneticPr fontId="5" type="noConversion"/>
  </si>
  <si>
    <t>筒体1厚度</t>
    <phoneticPr fontId="5" type="noConversion"/>
  </si>
  <si>
    <t>筒体2直径</t>
  </si>
  <si>
    <t>筒体2厚度</t>
  </si>
  <si>
    <t>设备法兰</t>
    <phoneticPr fontId="5" type="noConversion"/>
  </si>
  <si>
    <t>设备法兰1</t>
    <phoneticPr fontId="5" type="noConversion"/>
  </si>
  <si>
    <t>设备法兰2</t>
    <phoneticPr fontId="5" type="noConversion"/>
  </si>
  <si>
    <t>主体材料</t>
    <phoneticPr fontId="5" type="noConversion"/>
  </si>
  <si>
    <t>部件名称</t>
    <phoneticPr fontId="5" type="noConversion"/>
  </si>
  <si>
    <t>材质</t>
    <phoneticPr fontId="5" type="noConversion"/>
  </si>
  <si>
    <t>材料类型</t>
    <phoneticPr fontId="5" type="noConversion"/>
  </si>
  <si>
    <t>主体材质1</t>
    <phoneticPr fontId="5" type="noConversion"/>
  </si>
  <si>
    <t>主体材质2</t>
    <phoneticPr fontId="5" type="noConversion"/>
  </si>
  <si>
    <t>厚</t>
    <phoneticPr fontId="5" type="noConversion"/>
  </si>
  <si>
    <t>单重</t>
    <phoneticPr fontId="5" type="noConversion"/>
  </si>
  <si>
    <t>备注</t>
    <phoneticPr fontId="5" type="noConversion"/>
  </si>
  <si>
    <t>型式</t>
    <phoneticPr fontId="5" type="noConversion"/>
  </si>
  <si>
    <t>内件</t>
    <phoneticPr fontId="5" type="noConversion"/>
  </si>
  <si>
    <t>压板</t>
    <phoneticPr fontId="5" type="noConversion"/>
  </si>
  <si>
    <t>加工费</t>
    <phoneticPr fontId="5" type="noConversion"/>
  </si>
  <si>
    <t>直径</t>
    <phoneticPr fontId="5" type="noConversion"/>
  </si>
  <si>
    <t>开孔数</t>
    <phoneticPr fontId="5" type="noConversion"/>
  </si>
  <si>
    <t>卡爪</t>
    <phoneticPr fontId="5" type="noConversion"/>
  </si>
  <si>
    <t>密封片</t>
    <phoneticPr fontId="5" type="noConversion"/>
  </si>
  <si>
    <t>型号</t>
    <phoneticPr fontId="5" type="noConversion"/>
  </si>
  <si>
    <t>无</t>
  </si>
  <si>
    <t>高</t>
    <phoneticPr fontId="5" type="noConversion"/>
  </si>
  <si>
    <t>接管
直径</t>
    <phoneticPr fontId="5" type="noConversion"/>
  </si>
  <si>
    <t>编号</t>
    <phoneticPr fontId="5" type="noConversion"/>
  </si>
  <si>
    <t>ZCHZ</t>
    <phoneticPr fontId="5" type="noConversion"/>
  </si>
  <si>
    <t>SBFL</t>
  </si>
  <si>
    <t>FLHZ</t>
  </si>
  <si>
    <t>JGHZ</t>
  </si>
  <si>
    <t>NJHZ</t>
  </si>
  <si>
    <t>LSHZ</t>
  </si>
  <si>
    <t>FJHZ</t>
    <phoneticPr fontId="5" type="noConversion"/>
  </si>
  <si>
    <t>主材汇总</t>
    <phoneticPr fontId="5" type="noConversion"/>
  </si>
  <si>
    <t>法兰汇总</t>
    <phoneticPr fontId="5" type="noConversion"/>
  </si>
  <si>
    <t>接管汇总</t>
    <phoneticPr fontId="5" type="noConversion"/>
  </si>
  <si>
    <t>内件汇总</t>
    <phoneticPr fontId="5" type="noConversion"/>
  </si>
  <si>
    <t>螺栓汇总</t>
    <phoneticPr fontId="5" type="noConversion"/>
  </si>
  <si>
    <t>附件汇总</t>
    <phoneticPr fontId="5" type="noConversion"/>
  </si>
  <si>
    <t>单元格名称</t>
    <phoneticPr fontId="5" type="noConversion"/>
  </si>
  <si>
    <t>设备法兰压力</t>
    <phoneticPr fontId="5" type="noConversion"/>
  </si>
  <si>
    <t>其他</t>
    <phoneticPr fontId="5" type="noConversion"/>
  </si>
  <si>
    <t>M</t>
  </si>
  <si>
    <t>L</t>
    <phoneticPr fontId="5" type="noConversion"/>
  </si>
  <si>
    <t>JB/T4701</t>
    <phoneticPr fontId="5" type="noConversion"/>
  </si>
  <si>
    <t>JB/T4702</t>
    <phoneticPr fontId="5" type="noConversion"/>
  </si>
  <si>
    <t>JB/T4703</t>
    <phoneticPr fontId="5" type="noConversion"/>
  </si>
  <si>
    <t>PN</t>
    <phoneticPr fontId="5" type="noConversion"/>
  </si>
  <si>
    <t>密封面</t>
    <phoneticPr fontId="5" type="noConversion"/>
  </si>
  <si>
    <t>FLANGWT</t>
    <phoneticPr fontId="5" type="noConversion"/>
  </si>
  <si>
    <t>螺栓数量</t>
    <phoneticPr fontId="5" type="noConversion"/>
  </si>
  <si>
    <t>螺栓规格</t>
    <phoneticPr fontId="5" type="noConversion"/>
  </si>
  <si>
    <t>接管法兰</t>
    <phoneticPr fontId="5" type="noConversion"/>
  </si>
  <si>
    <t>ZTWT</t>
    <phoneticPr fontId="5" type="noConversion"/>
  </si>
  <si>
    <t>ZFLWT</t>
    <phoneticPr fontId="5" type="noConversion"/>
  </si>
  <si>
    <t>FLWT</t>
    <phoneticPr fontId="5" type="noConversion"/>
  </si>
  <si>
    <t>JGWT</t>
    <phoneticPr fontId="5" type="noConversion"/>
  </si>
  <si>
    <t>平盖</t>
    <phoneticPr fontId="5" type="noConversion"/>
  </si>
  <si>
    <t>NJWT</t>
    <phoneticPr fontId="5" type="noConversion"/>
  </si>
  <si>
    <t>主材质量</t>
    <phoneticPr fontId="5" type="noConversion"/>
  </si>
  <si>
    <t>设备法兰质量</t>
    <phoneticPr fontId="5" type="noConversion"/>
  </si>
  <si>
    <t>接管质量</t>
    <phoneticPr fontId="5" type="noConversion"/>
  </si>
  <si>
    <t>内件质量</t>
    <phoneticPr fontId="5" type="noConversion"/>
  </si>
  <si>
    <t>附件质量</t>
    <phoneticPr fontId="5" type="noConversion"/>
  </si>
  <si>
    <t>网笼40"</t>
    <phoneticPr fontId="5" type="noConversion"/>
  </si>
  <si>
    <t>网笼60"</t>
    <phoneticPr fontId="5" type="noConversion"/>
  </si>
  <si>
    <t>滤芯座010K</t>
    <phoneticPr fontId="5" type="noConversion"/>
  </si>
  <si>
    <t>滤芯座045KM</t>
    <phoneticPr fontId="5" type="noConversion"/>
  </si>
  <si>
    <t>密封螺母010</t>
    <phoneticPr fontId="5" type="noConversion"/>
  </si>
  <si>
    <t>材料质量</t>
    <phoneticPr fontId="5" type="noConversion"/>
  </si>
  <si>
    <t>材料价格</t>
    <phoneticPr fontId="5" type="noConversion"/>
  </si>
  <si>
    <t>20Ⅱ</t>
    <phoneticPr fontId="5" type="noConversion"/>
  </si>
  <si>
    <r>
      <t>1</t>
    </r>
    <r>
      <rPr>
        <sz val="12"/>
        <rFont val="宋体"/>
        <family val="3"/>
        <charset val="134"/>
      </rPr>
      <t>0#</t>
    </r>
    <phoneticPr fontId="5" type="noConversion"/>
  </si>
  <si>
    <t>S30403G</t>
    <phoneticPr fontId="5" type="noConversion"/>
  </si>
  <si>
    <t>S30408G</t>
    <phoneticPr fontId="5" type="noConversion"/>
  </si>
  <si>
    <t>S31603G</t>
    <phoneticPr fontId="5" type="noConversion"/>
  </si>
  <si>
    <t>16MnⅡ</t>
    <phoneticPr fontId="5" type="noConversion"/>
  </si>
  <si>
    <t>S30408Ⅱ</t>
    <phoneticPr fontId="5" type="noConversion"/>
  </si>
  <si>
    <t>S31603Ⅱ</t>
    <phoneticPr fontId="5" type="noConversion"/>
  </si>
  <si>
    <t>板材</t>
    <phoneticPr fontId="5" type="noConversion"/>
  </si>
  <si>
    <t>管材</t>
    <phoneticPr fontId="5" type="noConversion"/>
  </si>
  <si>
    <t>成品</t>
    <phoneticPr fontId="5" type="noConversion"/>
  </si>
  <si>
    <t>含配对</t>
    <phoneticPr fontId="5" type="noConversion"/>
  </si>
  <si>
    <t>不含配对</t>
    <phoneticPr fontId="5" type="noConversion"/>
  </si>
  <si>
    <t>人孔</t>
    <phoneticPr fontId="5" type="noConversion"/>
  </si>
  <si>
    <t>人孔盖</t>
    <phoneticPr fontId="5" type="noConversion"/>
  </si>
  <si>
    <t>无法兰</t>
    <phoneticPr fontId="5" type="noConversion"/>
  </si>
  <si>
    <t>零割</t>
    <phoneticPr fontId="5" type="noConversion"/>
  </si>
  <si>
    <t>SCH</t>
    <phoneticPr fontId="5" type="noConversion"/>
  </si>
  <si>
    <r>
      <t>DN15 - DN1200 NPS1/2" - 48"</t>
    </r>
    <r>
      <rPr>
        <b/>
        <sz val="12"/>
        <color rgb="FF727272"/>
        <rFont val="Open Sans"/>
        <family val="2"/>
      </rPr>
      <t>美标管道Sch壁厚等级对应毫米(mm)</t>
    </r>
  </si>
  <si>
    <r>
      <t>D</t>
    </r>
    <r>
      <rPr>
        <b/>
        <sz val="12"/>
        <color rgb="FF727272"/>
        <rFont val="微软雅黑"/>
        <family val="2"/>
        <charset val="134"/>
      </rPr>
      <t>（外径</t>
    </r>
    <r>
      <rPr>
        <b/>
        <sz val="12"/>
        <color rgb="FF727272"/>
        <rFont val="Arial"/>
        <family val="2"/>
      </rPr>
      <t>)</t>
    </r>
    <phoneticPr fontId="52" type="noConversion"/>
  </si>
  <si>
    <t>SCH5s</t>
  </si>
  <si>
    <t>SCH10s</t>
  </si>
  <si>
    <t>SCH10</t>
  </si>
  <si>
    <t>SCH20</t>
  </si>
  <si>
    <t>SCH30</t>
  </si>
  <si>
    <t>STD</t>
  </si>
  <si>
    <t>SCH40</t>
  </si>
  <si>
    <t>SCH40s</t>
  </si>
  <si>
    <t>SCH60</t>
  </si>
  <si>
    <t>XS</t>
  </si>
  <si>
    <t>SCH80</t>
  </si>
  <si>
    <t>SCH100</t>
  </si>
  <si>
    <t>SCH120</t>
  </si>
  <si>
    <t>SCH140</t>
  </si>
  <si>
    <t>SCH160</t>
  </si>
  <si>
    <t>XXS</t>
  </si>
  <si>
    <t>1/2"</t>
  </si>
  <si>
    <t>3/4"</t>
  </si>
  <si>
    <t>1"</t>
  </si>
  <si>
    <t>1-1/4"</t>
  </si>
  <si>
    <t>1-1/2"</t>
  </si>
  <si>
    <t>2"</t>
  </si>
  <si>
    <t>2-1/2"</t>
  </si>
  <si>
    <t>3"</t>
  </si>
  <si>
    <t>3-1/2"</t>
  </si>
  <si>
    <t>4"</t>
  </si>
  <si>
    <t>5"</t>
  </si>
  <si>
    <t>6"</t>
  </si>
  <si>
    <t>8"</t>
  </si>
  <si>
    <t>10"</t>
  </si>
  <si>
    <t>3.40 </t>
  </si>
  <si>
    <t>12"</t>
  </si>
  <si>
    <t>14"</t>
  </si>
  <si>
    <t>16"</t>
  </si>
  <si>
    <t>18"</t>
  </si>
  <si>
    <t>20"</t>
  </si>
  <si>
    <t>22"</t>
  </si>
  <si>
    <t>24"</t>
  </si>
  <si>
    <t>26"</t>
  </si>
  <si>
    <t>28"</t>
  </si>
  <si>
    <t>30"</t>
  </si>
  <si>
    <t>32"</t>
  </si>
  <si>
    <t>34"</t>
  </si>
  <si>
    <t>36"</t>
  </si>
  <si>
    <t>38"</t>
  </si>
  <si>
    <t>40"</t>
  </si>
  <si>
    <t>42"</t>
  </si>
  <si>
    <t>44"</t>
  </si>
  <si>
    <t>46"</t>
  </si>
  <si>
    <t>48"</t>
  </si>
  <si>
    <t>理论厚度</t>
    <phoneticPr fontId="5" type="noConversion"/>
  </si>
  <si>
    <t>35CrMoA</t>
    <phoneticPr fontId="5" type="noConversion"/>
  </si>
  <si>
    <r>
      <t>M3</t>
    </r>
    <r>
      <rPr>
        <sz val="12"/>
        <rFont val="宋体"/>
        <family val="3"/>
        <charset val="134"/>
      </rPr>
      <t>6</t>
    </r>
    <phoneticPr fontId="5" type="noConversion"/>
  </si>
  <si>
    <t>M39</t>
    <phoneticPr fontId="5" type="noConversion"/>
  </si>
  <si>
    <t>M42</t>
    <phoneticPr fontId="5" type="noConversion"/>
  </si>
  <si>
    <t>支座B4（1700-2200）</t>
  </si>
  <si>
    <t>长</t>
    <phoneticPr fontId="5" type="noConversion"/>
  </si>
  <si>
    <t>常压人孔</t>
    <phoneticPr fontId="5" type="noConversion"/>
  </si>
  <si>
    <t>代号</t>
    <phoneticPr fontId="5" type="noConversion"/>
  </si>
  <si>
    <t>单件重量</t>
    <phoneticPr fontId="5" type="noConversion"/>
  </si>
  <si>
    <t>回转盖板式平焊法兰人孔</t>
    <phoneticPr fontId="5" type="noConversion"/>
  </si>
  <si>
    <t>回转盖带颈平焊法兰人孔</t>
    <phoneticPr fontId="5" type="noConversion"/>
  </si>
  <si>
    <t>回转盖带颈对焊法兰人孔</t>
    <phoneticPr fontId="5" type="noConversion"/>
  </si>
  <si>
    <t>垂直吊盖板式平焊法兰人孔</t>
    <phoneticPr fontId="5" type="noConversion"/>
  </si>
  <si>
    <t>垂直吊盖带颈平焊法兰人孔</t>
    <phoneticPr fontId="5" type="noConversion"/>
  </si>
  <si>
    <t>垂直吊盖带颈对焊法兰人孔</t>
    <phoneticPr fontId="5" type="noConversion"/>
  </si>
  <si>
    <t>水平吊盖板式平焊法兰人孔</t>
    <phoneticPr fontId="5" type="noConversion"/>
  </si>
  <si>
    <t>水平吊盖带颈平焊法兰人孔</t>
    <phoneticPr fontId="5" type="noConversion"/>
  </si>
  <si>
    <t>水平吊盖带颈对焊法兰人孔</t>
    <phoneticPr fontId="5" type="noConversion"/>
  </si>
  <si>
    <t>常压旋柄快开人孔</t>
    <phoneticPr fontId="5" type="noConversion"/>
  </si>
  <si>
    <t>回转拱盖快开人孔</t>
    <phoneticPr fontId="5" type="noConversion"/>
  </si>
  <si>
    <t>人孔(A-XB350) 400</t>
    <phoneticPr fontId="5" type="noConversion"/>
  </si>
  <si>
    <t>HG/T21515-2005</t>
    <phoneticPr fontId="5" type="noConversion"/>
  </si>
  <si>
    <t>人孔 400-0.6</t>
    <phoneticPr fontId="5" type="noConversion"/>
  </si>
  <si>
    <t>HG/T21516-2005</t>
    <phoneticPr fontId="5" type="noConversion"/>
  </si>
  <si>
    <t>人孔RF 400-1.0</t>
    <phoneticPr fontId="5" type="noConversion"/>
  </si>
  <si>
    <t>HG/T21517-2005</t>
    <phoneticPr fontId="5" type="noConversion"/>
  </si>
  <si>
    <t>人孔RF 400-2.5</t>
    <phoneticPr fontId="5" type="noConversion"/>
  </si>
  <si>
    <t>HG/T21518-2005</t>
    <phoneticPr fontId="5" type="noConversion"/>
  </si>
  <si>
    <t>人孔 450-0.6</t>
    <phoneticPr fontId="5" type="noConversion"/>
  </si>
  <si>
    <t>HG/T21519-2005</t>
    <phoneticPr fontId="5" type="noConversion"/>
  </si>
  <si>
    <t>人孔RF 450-1.0</t>
    <phoneticPr fontId="5" type="noConversion"/>
  </si>
  <si>
    <t>HG/T21520-2005</t>
    <phoneticPr fontId="5" type="noConversion"/>
  </si>
  <si>
    <t>人孔RF 450-2.5</t>
    <phoneticPr fontId="5" type="noConversion"/>
  </si>
  <si>
    <t>HG/T21521-2005</t>
    <phoneticPr fontId="5" type="noConversion"/>
  </si>
  <si>
    <t>HG/T21522-2005</t>
    <phoneticPr fontId="5" type="noConversion"/>
  </si>
  <si>
    <t>HG/T21523-2005</t>
    <phoneticPr fontId="5" type="noConversion"/>
  </si>
  <si>
    <t>HG/T21524-2005</t>
    <phoneticPr fontId="5" type="noConversion"/>
  </si>
  <si>
    <t>人孔 400</t>
    <phoneticPr fontId="5" type="noConversion"/>
  </si>
  <si>
    <t>HG/T21525-2005</t>
    <phoneticPr fontId="5" type="noConversion"/>
  </si>
  <si>
    <t>人孔FS 400-0.6</t>
    <phoneticPr fontId="5" type="noConversion"/>
  </si>
  <si>
    <t>HG/T21527-2005</t>
    <phoneticPr fontId="5" type="noConversion"/>
  </si>
  <si>
    <t>人孔(A-XB350) 450</t>
    <phoneticPr fontId="5" type="noConversion"/>
  </si>
  <si>
    <t>人孔 500-0.6</t>
    <phoneticPr fontId="5" type="noConversion"/>
  </si>
  <si>
    <t>人孔RF 500-1.0</t>
    <phoneticPr fontId="5" type="noConversion"/>
  </si>
  <si>
    <t>人孔RF 500-2.5</t>
    <phoneticPr fontId="5" type="noConversion"/>
  </si>
  <si>
    <t>人孔 450</t>
    <phoneticPr fontId="5" type="noConversion"/>
  </si>
  <si>
    <t>人孔FS 450-0.6</t>
    <phoneticPr fontId="5" type="noConversion"/>
  </si>
  <si>
    <t>人孔(A-XB350) 500</t>
    <phoneticPr fontId="5" type="noConversion"/>
  </si>
  <si>
    <t>人孔 600-0.6</t>
    <phoneticPr fontId="5" type="noConversion"/>
  </si>
  <si>
    <t>人孔RF 600-1.0</t>
    <phoneticPr fontId="5" type="noConversion"/>
  </si>
  <si>
    <t>人孔RF 600-2.5</t>
    <phoneticPr fontId="5" type="noConversion"/>
  </si>
  <si>
    <t>人孔 500</t>
    <phoneticPr fontId="5" type="noConversion"/>
  </si>
  <si>
    <t>人孔FS 500-0.6</t>
    <phoneticPr fontId="5" type="noConversion"/>
  </si>
  <si>
    <t>人孔(A-XB350) 600</t>
    <phoneticPr fontId="5" type="noConversion"/>
  </si>
  <si>
    <t>人孔RF 450-1.6</t>
    <phoneticPr fontId="5" type="noConversion"/>
  </si>
  <si>
    <t>人孔RF 450-4.0</t>
    <phoneticPr fontId="5" type="noConversion"/>
  </si>
  <si>
    <t>人孔TG 400-0.6</t>
    <phoneticPr fontId="5" type="noConversion"/>
  </si>
  <si>
    <t>人孔RF 400-1.6</t>
    <phoneticPr fontId="5" type="noConversion"/>
  </si>
  <si>
    <t>人孔RF 400-4.0</t>
    <phoneticPr fontId="5" type="noConversion"/>
  </si>
  <si>
    <t>人孔RF 500-1.6</t>
    <phoneticPr fontId="5" type="noConversion"/>
  </si>
  <si>
    <t>人孔RF 500-4.0</t>
    <phoneticPr fontId="5" type="noConversion"/>
  </si>
  <si>
    <t>人孔TG 450-0.6</t>
    <phoneticPr fontId="5" type="noConversion"/>
  </si>
  <si>
    <t>人孔RF 600-1.6</t>
    <phoneticPr fontId="5" type="noConversion"/>
  </si>
  <si>
    <t>人孔RF 600-4.0</t>
    <phoneticPr fontId="5" type="noConversion"/>
  </si>
  <si>
    <t>人孔TG 500-0.6</t>
    <phoneticPr fontId="5" type="noConversion"/>
  </si>
  <si>
    <t>人孔MFM 450-1.0</t>
    <phoneticPr fontId="5" type="noConversion"/>
  </si>
  <si>
    <t>人孔MFM 450-2.5</t>
    <phoneticPr fontId="5" type="noConversion"/>
  </si>
  <si>
    <t>人孔MFM 500-1.0</t>
    <phoneticPr fontId="5" type="noConversion"/>
  </si>
  <si>
    <t>人孔MFM 500-2.5</t>
    <phoneticPr fontId="5" type="noConversion"/>
  </si>
  <si>
    <t>人孔MFM 400-1.0</t>
    <phoneticPr fontId="5" type="noConversion"/>
  </si>
  <si>
    <t>人孔MFM 400-2.5</t>
    <phoneticPr fontId="5" type="noConversion"/>
  </si>
  <si>
    <t>人孔MFM 600-1.0</t>
    <phoneticPr fontId="5" type="noConversion"/>
  </si>
  <si>
    <t>人孔MFM 600-2.5</t>
    <phoneticPr fontId="5" type="noConversion"/>
  </si>
  <si>
    <t>人孔MFM 450-1.6</t>
    <phoneticPr fontId="5" type="noConversion"/>
  </si>
  <si>
    <t>人孔MFM 450-4.0</t>
    <phoneticPr fontId="5" type="noConversion"/>
  </si>
  <si>
    <t>人孔MFM 500-1.6</t>
    <phoneticPr fontId="5" type="noConversion"/>
  </si>
  <si>
    <t>人孔MFM 500-4.0</t>
    <phoneticPr fontId="5" type="noConversion"/>
  </si>
  <si>
    <t>人孔MFM 600-1.6</t>
    <phoneticPr fontId="5" type="noConversion"/>
  </si>
  <si>
    <t>人孔MFM 600-4.0</t>
    <phoneticPr fontId="5" type="noConversion"/>
  </si>
  <si>
    <t>人孔MFM 400-1.6</t>
    <phoneticPr fontId="5" type="noConversion"/>
  </si>
  <si>
    <t>人孔MFM 400-4.0</t>
    <phoneticPr fontId="5" type="noConversion"/>
  </si>
  <si>
    <t>人孔TG 450-2.5</t>
    <phoneticPr fontId="5" type="noConversion"/>
  </si>
  <si>
    <t>人孔TG 450-1.6</t>
    <phoneticPr fontId="5" type="noConversion"/>
  </si>
  <si>
    <t>人孔TG 500-2.5</t>
    <phoneticPr fontId="5" type="noConversion"/>
  </si>
  <si>
    <t>人孔TG 500-1.6</t>
    <phoneticPr fontId="5" type="noConversion"/>
  </si>
  <si>
    <t>人孔TG 450-4.0</t>
    <phoneticPr fontId="5" type="noConversion"/>
  </si>
  <si>
    <t>人孔TG 500-4.0</t>
    <phoneticPr fontId="5" type="noConversion"/>
  </si>
  <si>
    <t>人孔TG 400-1.6</t>
    <phoneticPr fontId="5" type="noConversion"/>
  </si>
  <si>
    <t>人孔MFM 400-6.3</t>
    <phoneticPr fontId="5" type="noConversion"/>
  </si>
  <si>
    <t>人孔TG 400-2.5</t>
    <phoneticPr fontId="5" type="noConversion"/>
  </si>
  <si>
    <t>人孔TG 400-4.0</t>
    <phoneticPr fontId="5" type="noConversion"/>
  </si>
  <si>
    <t>人孔TG 400-6.3</t>
    <phoneticPr fontId="5" type="noConversion"/>
  </si>
  <si>
    <t>人孔RJ 400-6.3</t>
    <phoneticPr fontId="5" type="noConversion"/>
  </si>
  <si>
    <t>法兰用六角螺栓</t>
    <phoneticPr fontId="5" type="noConversion"/>
  </si>
  <si>
    <t>重量kg</t>
    <phoneticPr fontId="5" type="noConversion"/>
  </si>
  <si>
    <t>法兰用双头螺柱</t>
    <phoneticPr fontId="5" type="noConversion"/>
  </si>
  <si>
    <t>法兰用螺母</t>
    <phoneticPr fontId="5" type="noConversion"/>
  </si>
  <si>
    <t>Ⅰ型六角螺母kg</t>
    <phoneticPr fontId="5" type="noConversion"/>
  </si>
  <si>
    <t>Ⅱ型六角螺母kg</t>
    <phoneticPr fontId="5" type="noConversion"/>
  </si>
  <si>
    <t>M10X40</t>
    <phoneticPr fontId="5" type="noConversion"/>
  </si>
  <si>
    <t>HG20613-2009</t>
    <phoneticPr fontId="5" type="noConversion"/>
  </si>
  <si>
    <t>M10X55</t>
    <phoneticPr fontId="5" type="noConversion"/>
  </si>
  <si>
    <t>M10X45</t>
    <phoneticPr fontId="5" type="noConversion"/>
  </si>
  <si>
    <t>M10X60</t>
    <phoneticPr fontId="5" type="noConversion"/>
  </si>
  <si>
    <t>M12X50</t>
    <phoneticPr fontId="5" type="noConversion"/>
  </si>
  <si>
    <t>M12X70</t>
    <phoneticPr fontId="5" type="noConversion"/>
  </si>
  <si>
    <t>M12X55</t>
    <phoneticPr fontId="5" type="noConversion"/>
  </si>
  <si>
    <t>M16X85</t>
    <phoneticPr fontId="5" type="noConversion"/>
  </si>
  <si>
    <t>M16X60</t>
    <phoneticPr fontId="5" type="noConversion"/>
  </si>
  <si>
    <t>M16X90</t>
    <phoneticPr fontId="5" type="noConversion"/>
  </si>
  <si>
    <t>M16X65</t>
    <phoneticPr fontId="5" type="noConversion"/>
  </si>
  <si>
    <t>M16X95</t>
    <phoneticPr fontId="5" type="noConversion"/>
  </si>
  <si>
    <t>M16X70</t>
    <phoneticPr fontId="5" type="noConversion"/>
  </si>
  <si>
    <t>M20X105</t>
    <phoneticPr fontId="5" type="noConversion"/>
  </si>
  <si>
    <t>M16X75</t>
    <phoneticPr fontId="5" type="noConversion"/>
  </si>
  <si>
    <t>M20X110</t>
    <phoneticPr fontId="5" type="noConversion"/>
  </si>
  <si>
    <t>M20X80</t>
    <phoneticPr fontId="5" type="noConversion"/>
  </si>
  <si>
    <t>M20X115</t>
    <phoneticPr fontId="5" type="noConversion"/>
  </si>
  <si>
    <t>M36X3</t>
    <phoneticPr fontId="5" type="noConversion"/>
  </si>
  <si>
    <t>M20X85</t>
    <phoneticPr fontId="5" type="noConversion"/>
  </si>
  <si>
    <t>M20X120</t>
    <phoneticPr fontId="5" type="noConversion"/>
  </si>
  <si>
    <t>M39X3</t>
    <phoneticPr fontId="5" type="noConversion"/>
  </si>
  <si>
    <t>M20X90</t>
    <phoneticPr fontId="5" type="noConversion"/>
  </si>
  <si>
    <t>M24X120</t>
    <phoneticPr fontId="5" type="noConversion"/>
  </si>
  <si>
    <t>M45X4</t>
    <phoneticPr fontId="5" type="noConversion"/>
  </si>
  <si>
    <t>M24X90</t>
    <phoneticPr fontId="5" type="noConversion"/>
  </si>
  <si>
    <t>M24X125</t>
    <phoneticPr fontId="5" type="noConversion"/>
  </si>
  <si>
    <t>M48X4</t>
    <phoneticPr fontId="5" type="noConversion"/>
  </si>
  <si>
    <t>M24X100</t>
    <phoneticPr fontId="5" type="noConversion"/>
  </si>
  <si>
    <t>M24X130</t>
    <phoneticPr fontId="5" type="noConversion"/>
  </si>
  <si>
    <t>M52X4</t>
    <phoneticPr fontId="5" type="noConversion"/>
  </si>
  <si>
    <t>M24X105</t>
    <phoneticPr fontId="5" type="noConversion"/>
  </si>
  <si>
    <t>M24X135</t>
    <phoneticPr fontId="5" type="noConversion"/>
  </si>
  <si>
    <t>M56X4</t>
    <phoneticPr fontId="5" type="noConversion"/>
  </si>
  <si>
    <t>M27X95</t>
    <phoneticPr fontId="5" type="noConversion"/>
  </si>
  <si>
    <t>M24X140</t>
    <phoneticPr fontId="5" type="noConversion"/>
  </si>
  <si>
    <t>M27X100</t>
    <phoneticPr fontId="5" type="noConversion"/>
  </si>
  <si>
    <t>M27X145</t>
    <phoneticPr fontId="5" type="noConversion"/>
  </si>
  <si>
    <t>M27X115</t>
    <phoneticPr fontId="5" type="noConversion"/>
  </si>
  <si>
    <t>M27X150</t>
    <phoneticPr fontId="5" type="noConversion"/>
  </si>
  <si>
    <t>M27X120</t>
    <phoneticPr fontId="5" type="noConversion"/>
  </si>
  <si>
    <t>M27X165</t>
    <phoneticPr fontId="5" type="noConversion"/>
  </si>
  <si>
    <t>M27X125</t>
    <phoneticPr fontId="5" type="noConversion"/>
  </si>
  <si>
    <t>M27X155</t>
    <phoneticPr fontId="5" type="noConversion"/>
  </si>
  <si>
    <t>M27X135</t>
    <phoneticPr fontId="5" type="noConversion"/>
  </si>
  <si>
    <t>M27X160</t>
    <phoneticPr fontId="5" type="noConversion"/>
  </si>
  <si>
    <t>M27X140</t>
    <phoneticPr fontId="5" type="noConversion"/>
  </si>
  <si>
    <t>M27X170</t>
    <phoneticPr fontId="5" type="noConversion"/>
  </si>
  <si>
    <t>M27X180</t>
    <phoneticPr fontId="5" type="noConversion"/>
  </si>
  <si>
    <t>M27X185</t>
    <phoneticPr fontId="5" type="noConversion"/>
  </si>
  <si>
    <t>M30X105</t>
    <phoneticPr fontId="5" type="noConversion"/>
  </si>
  <si>
    <t>M27X190</t>
    <phoneticPr fontId="5" type="noConversion"/>
  </si>
  <si>
    <t>M30X110</t>
    <phoneticPr fontId="5" type="noConversion"/>
  </si>
  <si>
    <t>M30X165</t>
    <phoneticPr fontId="5" type="noConversion"/>
  </si>
  <si>
    <t>M30X145</t>
    <phoneticPr fontId="5" type="noConversion"/>
  </si>
  <si>
    <t>M30X175</t>
    <phoneticPr fontId="5" type="noConversion"/>
  </si>
  <si>
    <t>M33X115</t>
    <phoneticPr fontId="5" type="noConversion"/>
  </si>
  <si>
    <t>M30X185</t>
    <phoneticPr fontId="5" type="noConversion"/>
  </si>
  <si>
    <t>M36X3X125</t>
    <phoneticPr fontId="5" type="noConversion"/>
  </si>
  <si>
    <t>M33X155</t>
    <phoneticPr fontId="5" type="noConversion"/>
  </si>
  <si>
    <t>M39X3X135</t>
    <phoneticPr fontId="5" type="noConversion"/>
  </si>
  <si>
    <t>M33X200</t>
    <phoneticPr fontId="5" type="noConversion"/>
  </si>
  <si>
    <t>M45X3X145</t>
    <phoneticPr fontId="5" type="noConversion"/>
  </si>
  <si>
    <t>M36X3X165</t>
    <phoneticPr fontId="5" type="noConversion"/>
  </si>
  <si>
    <t>M45X3X155</t>
    <phoneticPr fontId="5" type="noConversion"/>
  </si>
  <si>
    <t>M36X3X210</t>
    <phoneticPr fontId="5" type="noConversion"/>
  </si>
  <si>
    <t>M45X3X160</t>
    <phoneticPr fontId="5" type="noConversion"/>
  </si>
  <si>
    <t>M36X3X225</t>
    <phoneticPr fontId="5" type="noConversion"/>
  </si>
  <si>
    <t>M39X3X185</t>
    <phoneticPr fontId="5" type="noConversion"/>
  </si>
  <si>
    <t>M39X3X245</t>
    <phoneticPr fontId="5" type="noConversion"/>
  </si>
  <si>
    <t>M45X3X210</t>
    <phoneticPr fontId="5" type="noConversion"/>
  </si>
  <si>
    <t>M45X3X215</t>
    <phoneticPr fontId="5" type="noConversion"/>
  </si>
  <si>
    <t>M45X3X290</t>
    <phoneticPr fontId="5" type="noConversion"/>
  </si>
  <si>
    <t>S22053Ⅱ</t>
    <phoneticPr fontId="5" type="noConversion"/>
  </si>
  <si>
    <t>耳座</t>
    <phoneticPr fontId="5" type="noConversion"/>
  </si>
  <si>
    <t>耳式支座A1-Ⅰ</t>
  </si>
  <si>
    <t>方箱高</t>
    <phoneticPr fontId="5" type="noConversion"/>
  </si>
  <si>
    <t>方箱长</t>
    <phoneticPr fontId="5" type="noConversion"/>
  </si>
  <si>
    <t>方箱宽</t>
    <phoneticPr fontId="5" type="noConversion"/>
  </si>
  <si>
    <t>壁厚</t>
    <phoneticPr fontId="5" type="noConversion"/>
  </si>
  <si>
    <t>底厚</t>
    <phoneticPr fontId="5" type="noConversion"/>
  </si>
  <si>
    <t>顶厚</t>
    <phoneticPr fontId="5" type="noConversion"/>
  </si>
  <si>
    <t>方箱顶</t>
    <phoneticPr fontId="5" type="noConversion"/>
  </si>
  <si>
    <t>方箱底</t>
    <phoneticPr fontId="5" type="noConversion"/>
  </si>
  <si>
    <t>方箱壁1</t>
    <phoneticPr fontId="5" type="noConversion"/>
  </si>
  <si>
    <t>方箱壁2</t>
  </si>
  <si>
    <t>S25073</t>
    <phoneticPr fontId="5" type="noConversion"/>
  </si>
  <si>
    <t>S25073G</t>
    <phoneticPr fontId="5" type="noConversion"/>
  </si>
  <si>
    <t>S39042G</t>
    <phoneticPr fontId="5" type="noConversion"/>
  </si>
  <si>
    <t>管板</t>
  </si>
  <si>
    <t>氦检漏</t>
    <phoneticPr fontId="5" type="noConversion"/>
  </si>
  <si>
    <t>封头1</t>
  </si>
  <si>
    <t>配套阀门</t>
    <phoneticPr fontId="5" type="noConversion"/>
  </si>
  <si>
    <t>1/4"球阀</t>
    <phoneticPr fontId="5" type="noConversion"/>
  </si>
  <si>
    <t>双联</t>
    <phoneticPr fontId="5" type="noConversion"/>
  </si>
  <si>
    <t>单套成本</t>
    <phoneticPr fontId="5" type="noConversion"/>
  </si>
  <si>
    <t>不包含差压变送器</t>
    <phoneticPr fontId="5" type="noConversion"/>
  </si>
  <si>
    <t>3/4"球阀</t>
    <phoneticPr fontId="5" type="noConversion"/>
  </si>
  <si>
    <t>10#</t>
  </si>
  <si>
    <t>油漆</t>
    <phoneticPr fontId="5" type="noConversion"/>
  </si>
  <si>
    <t>需要</t>
  </si>
  <si>
    <t>滤芯座045SM</t>
    <phoneticPr fontId="5" type="noConversion"/>
  </si>
  <si>
    <t>滤芯座049KM</t>
    <phoneticPr fontId="5" type="noConversion"/>
  </si>
  <si>
    <t>滤芯座049SM</t>
    <phoneticPr fontId="5" type="noConversion"/>
  </si>
  <si>
    <t>密封螺母SUN004K</t>
    <phoneticPr fontId="5" type="noConversion"/>
  </si>
  <si>
    <t>密封螺母SUN004S</t>
    <phoneticPr fontId="5" type="noConversion"/>
  </si>
  <si>
    <t>芯杆K</t>
    <phoneticPr fontId="5" type="noConversion"/>
  </si>
  <si>
    <t>芯杆S</t>
    <phoneticPr fontId="5" type="noConversion"/>
  </si>
  <si>
    <t>密封螺母SUN011K</t>
    <phoneticPr fontId="5" type="noConversion"/>
  </si>
  <si>
    <t>密封螺母SUN011S</t>
    <phoneticPr fontId="5" type="noConversion"/>
  </si>
  <si>
    <t>Q235R</t>
    <phoneticPr fontId="5" type="noConversion"/>
  </si>
  <si>
    <t>板材</t>
  </si>
  <si>
    <t>S30408Ⅱ</t>
  </si>
  <si>
    <t>WN</t>
  </si>
  <si>
    <t>CL150</t>
  </si>
  <si>
    <t>S30408G</t>
  </si>
  <si>
    <t>压板</t>
  </si>
  <si>
    <t>筒体1件</t>
    <phoneticPr fontId="5" type="noConversion"/>
  </si>
  <si>
    <t>CL600</t>
  </si>
  <si>
    <t>筒体1</t>
  </si>
  <si>
    <t>主体法兰紧固件1套，含备件</t>
    <phoneticPr fontId="5" type="noConversion"/>
  </si>
  <si>
    <t>有</t>
  </si>
  <si>
    <t>替代压板紧固件</t>
    <phoneticPr fontId="5" type="noConversion"/>
  </si>
  <si>
    <t>压板1件</t>
    <phoneticPr fontId="5" type="noConversion"/>
  </si>
  <si>
    <t>管板1件</t>
    <phoneticPr fontId="5" type="noConversion"/>
  </si>
  <si>
    <t>支腿AN-1000</t>
  </si>
  <si>
    <t>Q245R</t>
    <phoneticPr fontId="5" type="noConversion"/>
  </si>
  <si>
    <t>封头2件，压制费350元/件</t>
    <phoneticPr fontId="5" type="noConversion"/>
  </si>
  <si>
    <t>支撑板1件</t>
    <phoneticPr fontId="5" type="noConversion"/>
  </si>
  <si>
    <t>S30403G</t>
  </si>
  <si>
    <t>RT≥20%</t>
  </si>
  <si>
    <t>PTFE，含备件</t>
    <phoneticPr fontId="5" type="noConversion"/>
  </si>
  <si>
    <t>主体法兰2件</t>
    <phoneticPr fontId="5" type="noConversion"/>
  </si>
  <si>
    <t>进出口法兰2件</t>
    <phoneticPr fontId="5" type="noConversion"/>
  </si>
  <si>
    <t>氮气进口法兰1件</t>
    <phoneticPr fontId="5" type="noConversion"/>
  </si>
  <si>
    <t>网笼60"</t>
  </si>
  <si>
    <t>网笼底板</t>
    <phoneticPr fontId="5" type="noConversion"/>
  </si>
  <si>
    <t>接地板、吊耳、保温圈、铭牌座、铭牌、吊臂等</t>
    <phoneticPr fontId="5" type="noConversion"/>
  </si>
  <si>
    <t>内外酸洗钝化，内脱脂除油</t>
    <phoneticPr fontId="5" type="noConversion"/>
  </si>
  <si>
    <t>堵盖10件</t>
    <phoneticPr fontId="5" type="noConversion"/>
  </si>
  <si>
    <t>排净、压力表法兰4件</t>
    <phoneticPr fontId="5" type="noConversion"/>
  </si>
  <si>
    <t>工作液再生器后一级过滤器</t>
    <phoneticPr fontId="5" type="noConversion"/>
  </si>
  <si>
    <t>鞍座BⅠ600-FS</t>
  </si>
  <si>
    <t>S30403</t>
    <phoneticPr fontId="5" type="noConversion"/>
  </si>
  <si>
    <t>小计</t>
    <phoneticPr fontId="5" type="noConversion"/>
  </si>
  <si>
    <t>材料合计</t>
    <phoneticPr fontId="5" type="noConversion"/>
  </si>
  <si>
    <t>加工费合计</t>
    <phoneticPr fontId="5" type="noConversion"/>
  </si>
  <si>
    <t>仪表阀门</t>
    <phoneticPr fontId="5" type="noConversion"/>
  </si>
  <si>
    <t>酸洗钝化</t>
    <phoneticPr fontId="5" type="noConversion"/>
  </si>
  <si>
    <t>喷砂</t>
    <phoneticPr fontId="5" type="noConversion"/>
  </si>
  <si>
    <t>衬胶、衬塑</t>
    <phoneticPr fontId="5" type="noConversion"/>
  </si>
  <si>
    <t>电解抛光</t>
    <phoneticPr fontId="5" type="noConversion"/>
  </si>
  <si>
    <t>抛光</t>
    <phoneticPr fontId="5" type="noConversion"/>
  </si>
  <si>
    <t>包装</t>
    <phoneticPr fontId="5" type="noConversion"/>
  </si>
  <si>
    <t>WX26060-1</t>
    <phoneticPr fontId="5" type="noConversion"/>
  </si>
  <si>
    <t>无锡博泛特工程设备有限公司
(Wuxi Perfectech Enginnering &amp; Equipment Co., Ltd)
王凯淼/18721869766/yangnj@perfectsh.com</t>
  </si>
  <si>
    <t>设备成本表  
 QUOTATION SHEET</t>
  </si>
  <si>
    <t>2025 Revision</t>
  </si>
  <si>
    <t>报价单号
Quotation No.</t>
  </si>
  <si>
    <t>BFT26-</t>
  </si>
  <si>
    <t>版次
Rev.</t>
  </si>
  <si>
    <t>报价日期
Date</t>
  </si>
  <si>
    <t>2026.07.14</t>
  </si>
  <si>
    <t>采购报价单编号：</t>
  </si>
  <si>
    <t>客户名称
To</t>
  </si>
  <si>
    <t>PALL（CHINA) CO.,LTD.</t>
  </si>
  <si>
    <t>项目名称
Project Name</t>
  </si>
  <si>
    <t>PALL</t>
  </si>
  <si>
    <t>PART-1: Vessel Price</t>
  </si>
  <si>
    <t>序号
Item</t>
  </si>
  <si>
    <t>设备描述
P/N</t>
  </si>
  <si>
    <t>数量
Qty.</t>
  </si>
  <si>
    <t>设备规格                 Sizes</t>
  </si>
  <si>
    <t>设备材质
Material</t>
  </si>
  <si>
    <t>设备重量（Kg）
Weight</t>
  </si>
  <si>
    <t>设备单价（CNY）
Unit Price</t>
  </si>
  <si>
    <t>设备总价
（CNY）
Total Price</t>
  </si>
  <si>
    <t>备注
Remark</t>
  </si>
  <si>
    <t>设备成本单价</t>
  </si>
  <si>
    <t>设备成本总价</t>
  </si>
  <si>
    <t>销售费用-运费</t>
  </si>
  <si>
    <t>管理费用</t>
  </si>
  <si>
    <t>商务成本</t>
  </si>
  <si>
    <t>利润系数</t>
  </si>
  <si>
    <t>QA</t>
  </si>
  <si>
    <t>合计                                                                               Total</t>
  </si>
  <si>
    <t>CNY</t>
  </si>
  <si>
    <r>
      <t xml:space="preserve">PART-2: </t>
    </r>
    <r>
      <rPr>
        <b/>
        <sz val="10"/>
        <rFont val="微软雅黑 Light"/>
        <family val="2"/>
      </rPr>
      <t>偏离或澄清</t>
    </r>
    <r>
      <rPr>
        <b/>
        <sz val="10"/>
        <rFont val="Microsoft YaHei Light"/>
        <family val="2"/>
      </rPr>
      <t>（默认为无偏离或澄清）</t>
    </r>
  </si>
  <si>
    <t>说明：</t>
  </si>
  <si>
    <t>1. 交货期：图纸确认后（按工作周计算）</t>
  </si>
  <si>
    <t>周</t>
  </si>
  <si>
    <t>（本项必填）</t>
  </si>
  <si>
    <t>2.质保期：设备全部交货后36个月或者装置运行后18个月，以较晚者为准。在质保期内，供应商应履行颇尔要求的必要的货物维修等职责。</t>
  </si>
  <si>
    <t>3. 以上报价为含税13%价格，报价满足询价要求。</t>
  </si>
  <si>
    <t>4. 报价有效期：30日历日。</t>
  </si>
  <si>
    <t>5. 交付方式：EXW，客户自提。</t>
  </si>
  <si>
    <t>6. 付款方式：NT90</t>
  </si>
  <si>
    <t>报价人：</t>
  </si>
  <si>
    <t>王凯淼</t>
  </si>
  <si>
    <t>审核人：</t>
  </si>
  <si>
    <t>总则：成本表包含内容设备成本（材料成本、制造成本、加工成本）、配套仪器阀门成本、运费、商务成本、管理成本，根据利润系数要求，提供建议报价，由指定报价单编制人跟销售人员沟通后，按照报价权限范围进行审批。
报价要求（决议）：马格报价原则上利润系数为0.7，</t>
  </si>
  <si>
    <t>报价核算（设备成本/利润系数+商务成本）</t>
    <phoneticPr fontId="5" type="noConversion"/>
  </si>
  <si>
    <t>WX26060-2</t>
    <phoneticPr fontId="5" type="noConversion"/>
  </si>
  <si>
    <t>人工成本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</si>
</sst>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.0"/>
    <numFmt numFmtId="177" formatCode="0.0_ "/>
    <numFmt numFmtId="178" formatCode="0.00_ "/>
    <numFmt numFmtId="179" formatCode="0.000_ "/>
    <numFmt numFmtId="180" formatCode="0_ "/>
    <numFmt numFmtId="181" formatCode="0_);[Red]\(0\)"/>
    <numFmt numFmtId="182" formatCode="0.0000"/>
    <numFmt numFmtId="183" formatCode="0.0000_ "/>
    <numFmt numFmtId="184" formatCode="0.00_);[Red]\(0.00\)"/>
    <numFmt numFmtId="185" formatCode="\¥#,##0.00;\¥\-#,##0.00"/>
  </numFmts>
  <fonts count="71">
    <font>
      <sz val="12"/>
      <name val="宋体"/>
      <charset val="134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2"/>
      <name val="宋体"/>
      <family val="3"/>
      <charset val="134"/>
    </font>
    <font>
      <b/>
      <sz val="16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12"/>
      <color indexed="10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color indexed="15"/>
      <name val="宋体"/>
      <family val="3"/>
      <charset val="134"/>
    </font>
    <font>
      <sz val="12"/>
      <color indexed="53"/>
      <name val="Times New Roman"/>
      <family val="1"/>
    </font>
    <font>
      <sz val="12"/>
      <color indexed="10"/>
      <name val="Times New Roman"/>
      <family val="1"/>
    </font>
    <font>
      <b/>
      <sz val="14"/>
      <name val="Times New Roman"/>
      <family val="1"/>
    </font>
    <font>
      <b/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Times New Roman"/>
      <family val="1"/>
    </font>
    <font>
      <sz val="12"/>
      <color indexed="53"/>
      <name val="宋体"/>
      <family val="3"/>
      <charset val="134"/>
    </font>
    <font>
      <b/>
      <sz val="16"/>
      <color indexed="8"/>
      <name val="宋体"/>
      <family val="3"/>
      <charset val="134"/>
    </font>
    <font>
      <b/>
      <sz val="16"/>
      <color indexed="8"/>
      <name val="Times New Roman"/>
      <family val="1"/>
    </font>
    <font>
      <b/>
      <sz val="16"/>
      <name val="Times New Roman"/>
      <family val="1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name val="Times New Roman"/>
      <family val="1"/>
    </font>
    <font>
      <b/>
      <sz val="20"/>
      <name val="Times New Roman"/>
      <family val="1"/>
    </font>
    <font>
      <b/>
      <sz val="20"/>
      <name val="宋体"/>
      <family val="3"/>
      <charset val="134"/>
    </font>
    <font>
      <vertAlign val="subscript"/>
      <sz val="12"/>
      <name val="Times New Roman"/>
      <family val="1"/>
    </font>
    <font>
      <vertAlign val="subscript"/>
      <sz val="12"/>
      <name val="宋体"/>
      <family val="3"/>
      <charset val="134"/>
    </font>
    <font>
      <vertAlign val="subscript"/>
      <sz val="10"/>
      <name val="宋体"/>
      <family val="3"/>
      <charset val="134"/>
    </font>
    <font>
      <sz val="10"/>
      <name val="Arial"/>
      <family val="2"/>
    </font>
    <font>
      <sz val="14"/>
      <name val="宋体"/>
      <family val="3"/>
      <charset val="134"/>
    </font>
    <font>
      <vertAlign val="subscript"/>
      <sz val="14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宋体"/>
      <family val="3"/>
      <charset val="134"/>
    </font>
    <font>
      <sz val="6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b/>
      <sz val="12"/>
      <color rgb="FF727272"/>
      <name val="Open Sans"/>
      <family val="2"/>
    </font>
    <font>
      <b/>
      <sz val="12"/>
      <color rgb="FF727272"/>
      <name val="Open Sans"/>
      <family val="2"/>
    </font>
    <font>
      <b/>
      <sz val="12"/>
      <color rgb="FF727272"/>
      <name val="微软雅黑"/>
      <family val="2"/>
      <charset val="134"/>
    </font>
    <font>
      <b/>
      <sz val="12"/>
      <color rgb="FF727272"/>
      <name val="Arial"/>
      <family val="2"/>
    </font>
    <font>
      <sz val="9"/>
      <name val="等线"/>
      <family val="2"/>
      <charset val="134"/>
      <scheme val="minor"/>
    </font>
    <font>
      <sz val="11"/>
      <color rgb="FF727272"/>
      <name val="Open Sans"/>
      <family val="2"/>
    </font>
    <font>
      <sz val="12"/>
      <color indexed="48"/>
      <name val="宋体"/>
      <family val="3"/>
      <charset val="134"/>
    </font>
    <font>
      <sz val="10"/>
      <name val="Microsoft YaHei UI"/>
      <family val="2"/>
      <charset val="134"/>
    </font>
    <font>
      <sz val="12"/>
      <color theme="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等线"/>
      <family val="3"/>
      <charset val="134"/>
    </font>
    <font>
      <b/>
      <sz val="11"/>
      <color indexed="8"/>
      <name val="微软雅黑 Light"/>
      <family val="2"/>
      <charset val="134"/>
    </font>
    <font>
      <b/>
      <sz val="10"/>
      <color indexed="8"/>
      <name val="微软雅黑 Light"/>
      <family val="2"/>
      <charset val="134"/>
    </font>
    <font>
      <b/>
      <sz val="16"/>
      <name val="微软雅黑 Light"/>
      <family val="2"/>
      <charset val="134"/>
    </font>
    <font>
      <b/>
      <sz val="7"/>
      <color indexed="8"/>
      <name val="宋体"/>
      <family val="3"/>
      <charset val="134"/>
    </font>
    <font>
      <b/>
      <sz val="10"/>
      <name val="微软雅黑 Light"/>
      <family val="2"/>
      <charset val="134"/>
    </font>
    <font>
      <sz val="10"/>
      <name val="微软雅黑 Light"/>
      <family val="2"/>
      <charset val="134"/>
    </font>
    <font>
      <sz val="11"/>
      <color indexed="9"/>
      <name val="等线"/>
      <family val="3"/>
      <charset val="134"/>
    </font>
    <font>
      <sz val="10"/>
      <name val="Calibri"/>
      <family val="2"/>
    </font>
    <font>
      <sz val="9"/>
      <color indexed="8"/>
      <name val="微软雅黑 Light"/>
      <family val="2"/>
      <charset val="134"/>
    </font>
    <font>
      <sz val="10"/>
      <color indexed="30"/>
      <name val="微软雅黑 Light"/>
      <family val="2"/>
      <charset val="134"/>
    </font>
    <font>
      <b/>
      <sz val="10"/>
      <name val="微软雅黑 Light"/>
      <family val="2"/>
    </font>
    <font>
      <b/>
      <sz val="10"/>
      <name val="Microsoft YaHei Light"/>
      <family val="2"/>
    </font>
  </fonts>
  <fills count="1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24BC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59999389629810485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1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0" fontId="3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40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76" fontId="7" fillId="2" borderId="5" xfId="0" applyNumberFormat="1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177" fontId="8" fillId="3" borderId="4" xfId="0" applyNumberFormat="1" applyFont="1" applyFill="1" applyBorder="1" applyAlignment="1">
      <alignment horizontal="center" vertical="center"/>
    </xf>
    <xf numFmtId="178" fontId="8" fillId="3" borderId="4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79" fontId="8" fillId="3" borderId="1" xfId="0" applyNumberFormat="1" applyFont="1" applyFill="1" applyBorder="1" applyAlignment="1">
      <alignment horizontal="center" vertical="center"/>
    </xf>
    <xf numFmtId="178" fontId="8" fillId="3" borderId="1" xfId="0" applyNumberFormat="1" applyFont="1" applyFill="1" applyBorder="1" applyAlignment="1">
      <alignment horizontal="center" vertical="center"/>
    </xf>
    <xf numFmtId="180" fontId="7" fillId="2" borderId="1" xfId="0" applyNumberFormat="1" applyFont="1" applyFill="1" applyBorder="1" applyAlignment="1">
      <alignment horizontal="center" vertical="center"/>
    </xf>
    <xf numFmtId="177" fontId="8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8" fontId="0" fillId="0" borderId="0" xfId="0" applyNumberFormat="1"/>
    <xf numFmtId="0" fontId="9" fillId="0" borderId="0" xfId="0" applyFont="1"/>
    <xf numFmtId="0" fontId="6" fillId="0" borderId="1" xfId="0" applyFont="1" applyBorder="1" applyAlignment="1">
      <alignment horizontal="center" vertical="center"/>
    </xf>
    <xf numFmtId="49" fontId="10" fillId="2" borderId="1" xfId="0" applyNumberFormat="1" applyFont="1" applyFill="1" applyBorder="1" applyAlignment="1">
      <alignment horizontal="center" vertical="center"/>
    </xf>
    <xf numFmtId="177" fontId="0" fillId="0" borderId="0" xfId="0" applyNumberFormat="1"/>
    <xf numFmtId="0" fontId="10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9" fontId="9" fillId="0" borderId="0" xfId="0" applyNumberFormat="1" applyFont="1"/>
    <xf numFmtId="178" fontId="8" fillId="0" borderId="1" xfId="0" applyNumberFormat="1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178" fontId="14" fillId="0" borderId="1" xfId="0" applyNumberFormat="1" applyFont="1" applyBorder="1" applyAlignment="1">
      <alignment horizontal="center" vertical="center"/>
    </xf>
    <xf numFmtId="178" fontId="7" fillId="2" borderId="1" xfId="0" applyNumberFormat="1" applyFont="1" applyFill="1" applyBorder="1" applyAlignment="1">
      <alignment horizontal="center" vertical="center"/>
    </xf>
    <xf numFmtId="177" fontId="7" fillId="2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7" fillId="0" borderId="0" xfId="0" applyFont="1"/>
    <xf numFmtId="0" fontId="0" fillId="0" borderId="4" xfId="0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center" vertical="center"/>
    </xf>
    <xf numFmtId="178" fontId="0" fillId="0" borderId="7" xfId="0" applyNumberFormat="1" applyBorder="1"/>
    <xf numFmtId="181" fontId="16" fillId="0" borderId="0" xfId="0" applyNumberFormat="1" applyFont="1" applyAlignment="1">
      <alignment horizontal="center"/>
    </xf>
    <xf numFmtId="178" fontId="7" fillId="0" borderId="0" xfId="0" applyNumberFormat="1" applyFont="1"/>
    <xf numFmtId="0" fontId="0" fillId="0" borderId="1" xfId="0" applyBorder="1" applyAlignment="1">
      <alignment horizontal="center" vertical="center" wrapText="1"/>
    </xf>
    <xf numFmtId="2" fontId="8" fillId="3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2" fontId="0" fillId="0" borderId="1" xfId="0" applyNumberFormat="1" applyBorder="1" applyAlignment="1">
      <alignment horizontal="center" vertical="center"/>
    </xf>
    <xf numFmtId="181" fontId="10" fillId="2" borderId="1" xfId="0" applyNumberFormat="1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77" fontId="7" fillId="0" borderId="0" xfId="0" applyNumberFormat="1" applyFont="1"/>
    <xf numFmtId="0" fontId="0" fillId="0" borderId="0" xfId="0" applyAlignment="1">
      <alignment horizontal="center"/>
    </xf>
    <xf numFmtId="182" fontId="0" fillId="3" borderId="1" xfId="0" applyNumberForma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83" fontId="0" fillId="3" borderId="1" xfId="0" applyNumberFormat="1" applyFill="1" applyBorder="1" applyAlignment="1">
      <alignment horizontal="center" vertical="center"/>
    </xf>
    <xf numFmtId="0" fontId="6" fillId="0" borderId="6" xfId="0" applyFont="1" applyBorder="1"/>
    <xf numFmtId="0" fontId="3" fillId="0" borderId="0" xfId="0" applyFont="1"/>
    <xf numFmtId="0" fontId="20" fillId="0" borderId="1" xfId="0" applyFont="1" applyBorder="1" applyAlignment="1">
      <alignment horizontal="center" vertical="center"/>
    </xf>
    <xf numFmtId="180" fontId="0" fillId="3" borderId="1" xfId="0" applyNumberForma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right"/>
    </xf>
    <xf numFmtId="0" fontId="3" fillId="0" borderId="0" xfId="0" applyFont="1" applyAlignment="1">
      <alignment horizontal="justify"/>
    </xf>
    <xf numFmtId="0" fontId="6" fillId="0" borderId="1" xfId="0" applyFont="1" applyBorder="1" applyAlignment="1">
      <alignment horizontal="center"/>
    </xf>
    <xf numFmtId="2" fontId="7" fillId="0" borderId="1" xfId="0" quotePrefix="1" applyNumberFormat="1" applyFont="1" applyBorder="1" applyAlignment="1">
      <alignment horizontal="center" vertical="center"/>
    </xf>
    <xf numFmtId="0" fontId="7" fillId="0" borderId="1" xfId="0" quotePrefix="1" applyFont="1" applyBorder="1" applyAlignment="1">
      <alignment horizontal="center" vertical="center"/>
    </xf>
    <xf numFmtId="0" fontId="0" fillId="2" borderId="1" xfId="0" quotePrefix="1" applyFill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176" fontId="0" fillId="0" borderId="1" xfId="0" quotePrefix="1" applyNumberFormat="1" applyBorder="1" applyAlignment="1">
      <alignment horizontal="center" vertical="center"/>
    </xf>
    <xf numFmtId="0" fontId="0" fillId="0" borderId="7" xfId="0" applyBorder="1"/>
    <xf numFmtId="0" fontId="0" fillId="0" borderId="9" xfId="0" quotePrefix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5" borderId="10" xfId="0" applyFont="1" applyFill="1" applyBorder="1" applyAlignment="1">
      <alignment horizontal="center"/>
    </xf>
    <xf numFmtId="0" fontId="20" fillId="5" borderId="11" xfId="0" applyFont="1" applyFill="1" applyBorder="1" applyAlignment="1">
      <alignment horizontal="center"/>
    </xf>
    <xf numFmtId="0" fontId="20" fillId="5" borderId="12" xfId="0" applyFont="1" applyFill="1" applyBorder="1" applyAlignment="1">
      <alignment horizontal="center"/>
    </xf>
    <xf numFmtId="0" fontId="20" fillId="5" borderId="13" xfId="0" applyFont="1" applyFill="1" applyBorder="1" applyAlignment="1">
      <alignment horizontal="center"/>
    </xf>
    <xf numFmtId="0" fontId="20" fillId="5" borderId="14" xfId="0" applyFont="1" applyFill="1" applyBorder="1" applyAlignment="1">
      <alignment horizontal="center"/>
    </xf>
    <xf numFmtId="0" fontId="20" fillId="5" borderId="5" xfId="0" applyFont="1" applyFill="1" applyBorder="1" applyAlignment="1">
      <alignment horizontal="center"/>
    </xf>
    <xf numFmtId="0" fontId="20" fillId="5" borderId="15" xfId="0" applyFont="1" applyFill="1" applyBorder="1" applyAlignment="1">
      <alignment horizontal="center"/>
    </xf>
    <xf numFmtId="0" fontId="28" fillId="5" borderId="14" xfId="0" applyFont="1" applyFill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5" borderId="16" xfId="0" applyFont="1" applyFill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29" fillId="0" borderId="0" xfId="0" applyFont="1" applyAlignment="1">
      <alignment horizontal="justify"/>
    </xf>
    <xf numFmtId="0" fontId="20" fillId="0" borderId="5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177" fontId="0" fillId="0" borderId="9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81" fontId="1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180" fontId="11" fillId="2" borderId="1" xfId="0" applyNumberFormat="1" applyFont="1" applyFill="1" applyBorder="1" applyAlignment="1">
      <alignment horizontal="center" vertical="center"/>
    </xf>
    <xf numFmtId="178" fontId="0" fillId="3" borderId="1" xfId="0" applyNumberFormat="1" applyFill="1" applyBorder="1" applyAlignment="1">
      <alignment horizontal="center" vertical="center"/>
    </xf>
    <xf numFmtId="180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4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0" fillId="6" borderId="1" xfId="0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7" borderId="1" xfId="0" applyFill="1" applyBorder="1" applyAlignment="1">
      <alignment vertical="center"/>
    </xf>
    <xf numFmtId="178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180" fontId="0" fillId="0" borderId="0" xfId="0" applyNumberFormat="1" applyAlignmen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19" xfId="0" applyBorder="1"/>
    <xf numFmtId="0" fontId="0" fillId="0" borderId="28" xfId="0" applyBorder="1"/>
    <xf numFmtId="0" fontId="7" fillId="0" borderId="1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81" fontId="0" fillId="0" borderId="39" xfId="0" applyNumberForma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0" fontId="0" fillId="6" borderId="19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38" fillId="0" borderId="1" xfId="0" applyFont="1" applyBorder="1" applyAlignment="1">
      <alignment horizontal="center" vertical="center"/>
    </xf>
    <xf numFmtId="0" fontId="38" fillId="0" borderId="19" xfId="0" applyFont="1" applyBorder="1" applyAlignment="1">
      <alignment horizontal="center" vertical="center"/>
    </xf>
    <xf numFmtId="0" fontId="38" fillId="0" borderId="20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42" fillId="0" borderId="0" xfId="0" applyFont="1" applyAlignment="1">
      <alignment vertical="center"/>
    </xf>
    <xf numFmtId="9" fontId="42" fillId="0" borderId="0" xfId="0" applyNumberFormat="1" applyFont="1" applyAlignment="1">
      <alignment vertical="center"/>
    </xf>
    <xf numFmtId="9" fontId="0" fillId="0" borderId="0" xfId="0" applyNumberForma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1" xfId="0" applyFont="1" applyBorder="1" applyAlignment="1">
      <alignment vertical="center"/>
    </xf>
    <xf numFmtId="0" fontId="0" fillId="6" borderId="1" xfId="0" applyFill="1" applyBorder="1" applyAlignment="1">
      <alignment vertical="center"/>
    </xf>
    <xf numFmtId="180" fontId="0" fillId="6" borderId="1" xfId="0" applyNumberFormat="1" applyFill="1" applyBorder="1" applyAlignment="1">
      <alignment vertical="center"/>
    </xf>
    <xf numFmtId="9" fontId="44" fillId="0" borderId="0" xfId="0" applyNumberFormat="1" applyFont="1" applyAlignment="1">
      <alignment vertical="center"/>
    </xf>
    <xf numFmtId="9" fontId="0" fillId="0" borderId="0" xfId="0" applyNumberFormat="1" applyAlignment="1">
      <alignment vertical="center"/>
    </xf>
    <xf numFmtId="0" fontId="0" fillId="0" borderId="1" xfId="0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7" fillId="7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8" fontId="0" fillId="9" borderId="1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49" fillId="10" borderId="1" xfId="0" applyFont="1" applyFill="1" applyBorder="1" applyAlignment="1">
      <alignment horizontal="center" vertical="center" wrapText="1"/>
    </xf>
    <xf numFmtId="0" fontId="53" fillId="10" borderId="1" xfId="0" applyFont="1" applyFill="1" applyBorder="1" applyAlignment="1">
      <alignment vertical="center" wrapText="1"/>
    </xf>
    <xf numFmtId="0" fontId="53" fillId="10" borderId="1" xfId="0" applyFont="1" applyFill="1" applyBorder="1" applyAlignment="1">
      <alignment horizontal="right" vertical="center" wrapText="1"/>
    </xf>
    <xf numFmtId="0" fontId="0" fillId="0" borderId="1" xfId="0" applyBorder="1" applyAlignment="1">
      <alignment horizontal="right" vertical="center" wrapText="1"/>
    </xf>
    <xf numFmtId="0" fontId="54" fillId="0" borderId="1" xfId="0" applyFont="1" applyBorder="1" applyAlignment="1">
      <alignment horizontal="center"/>
    </xf>
    <xf numFmtId="0" fontId="0" fillId="0" borderId="9" xfId="0" applyBorder="1" applyAlignment="1">
      <alignment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6" borderId="1" xfId="0" quotePrefix="1" applyFill="1" applyBorder="1" applyAlignment="1">
      <alignment horizontal="center" vertical="center"/>
    </xf>
    <xf numFmtId="0" fontId="3" fillId="6" borderId="1" xfId="0" quotePrefix="1" applyFont="1" applyFill="1" applyBorder="1" applyAlignment="1">
      <alignment horizontal="center" vertical="center"/>
    </xf>
    <xf numFmtId="9" fontId="0" fillId="6" borderId="1" xfId="0" applyNumberFormat="1" applyFill="1" applyBorder="1" applyAlignment="1">
      <alignment vertical="center"/>
    </xf>
    <xf numFmtId="9" fontId="3" fillId="6" borderId="1" xfId="0" applyNumberFormat="1" applyFont="1" applyFill="1" applyBorder="1" applyAlignment="1">
      <alignment vertical="center"/>
    </xf>
    <xf numFmtId="185" fontId="55" fillId="11" borderId="1" xfId="0" applyNumberFormat="1" applyFont="1" applyFill="1" applyBorder="1" applyAlignment="1" applyProtection="1">
      <alignment horizontal="center" vertical="center"/>
      <protection locked="0"/>
    </xf>
    <xf numFmtId="0" fontId="3" fillId="6" borderId="19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 wrapText="1"/>
    </xf>
    <xf numFmtId="0" fontId="31" fillId="0" borderId="6" xfId="2" applyNumberFormat="1" applyFill="1" applyBorder="1" applyAlignment="1" applyProtection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20" fillId="0" borderId="36" xfId="1" applyFont="1" applyBorder="1" applyAlignment="1">
      <alignment horizontal="center" vertical="center" wrapText="1"/>
    </xf>
    <xf numFmtId="0" fontId="20" fillId="0" borderId="32" xfId="1" applyFont="1" applyBorder="1" applyAlignment="1">
      <alignment horizontal="center" vertical="center" wrapText="1"/>
    </xf>
    <xf numFmtId="0" fontId="20" fillId="0" borderId="7" xfId="1" applyFont="1" applyBorder="1" applyAlignment="1">
      <alignment horizontal="center" vertical="center" wrapText="1"/>
    </xf>
    <xf numFmtId="0" fontId="20" fillId="0" borderId="35" xfId="1" applyFont="1" applyBorder="1" applyAlignment="1">
      <alignment horizontal="center" vertical="center" wrapText="1"/>
    </xf>
    <xf numFmtId="0" fontId="20" fillId="0" borderId="34" xfId="1" applyFont="1" applyBorder="1" applyAlignment="1">
      <alignment horizontal="center" vertical="center" wrapText="1"/>
    </xf>
    <xf numFmtId="0" fontId="20" fillId="0" borderId="5" xfId="1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20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0" fontId="32" fillId="0" borderId="36" xfId="1" applyFont="1" applyBorder="1" applyAlignment="1">
      <alignment horizontal="center" vertical="center" wrapText="1"/>
    </xf>
    <xf numFmtId="0" fontId="32" fillId="0" borderId="8" xfId="1" applyFont="1" applyBorder="1" applyAlignment="1">
      <alignment horizontal="center" vertical="center" wrapText="1"/>
    </xf>
    <xf numFmtId="0" fontId="32" fillId="0" borderId="32" xfId="1" applyFont="1" applyBorder="1" applyAlignment="1">
      <alignment horizontal="center" vertical="center" wrapText="1"/>
    </xf>
    <xf numFmtId="0" fontId="32" fillId="0" borderId="34" xfId="1" applyFont="1" applyBorder="1" applyAlignment="1">
      <alignment horizontal="center" vertical="center" wrapText="1"/>
    </xf>
    <xf numFmtId="0" fontId="32" fillId="0" borderId="6" xfId="1" applyFont="1" applyBorder="1" applyAlignment="1">
      <alignment horizontal="center" vertical="center" wrapText="1"/>
    </xf>
    <xf numFmtId="0" fontId="32" fillId="0" borderId="5" xfId="1" applyFont="1" applyBorder="1" applyAlignment="1">
      <alignment horizontal="center" vertical="center" wrapText="1"/>
    </xf>
    <xf numFmtId="0" fontId="17" fillId="0" borderId="6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19" fillId="0" borderId="6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3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0" fillId="0" borderId="3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0" fillId="5" borderId="37" xfId="0" applyFont="1" applyFill="1" applyBorder="1" applyAlignment="1">
      <alignment horizontal="center"/>
    </xf>
    <xf numFmtId="0" fontId="20" fillId="5" borderId="38" xfId="0" applyFont="1" applyFill="1" applyBorder="1" applyAlignment="1">
      <alignment horizontal="center"/>
    </xf>
    <xf numFmtId="0" fontId="20" fillId="5" borderId="12" xfId="0" applyFont="1" applyFill="1" applyBorder="1" applyAlignment="1">
      <alignment horizontal="center"/>
    </xf>
    <xf numFmtId="0" fontId="12" fillId="0" borderId="33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0" fillId="12" borderId="19" xfId="0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1" xfId="0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41" fillId="12" borderId="1" xfId="0" applyFont="1" applyFill="1" applyBorder="1" applyAlignment="1">
      <alignment vertical="center"/>
    </xf>
    <xf numFmtId="0" fontId="3" fillId="12" borderId="19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3" fillId="12" borderId="19" xfId="0" applyFont="1" applyFill="1" applyBorder="1" applyAlignment="1">
      <alignment horizontal="center" vertical="center"/>
    </xf>
    <xf numFmtId="0" fontId="0" fillId="12" borderId="1" xfId="0" applyFill="1" applyBorder="1" applyAlignment="1" applyProtection="1">
      <alignment vertical="center"/>
      <protection hidden="1"/>
    </xf>
    <xf numFmtId="184" fontId="0" fillId="12" borderId="1" xfId="0" applyNumberFormat="1" applyFill="1" applyBorder="1" applyAlignment="1">
      <alignment vertical="center"/>
    </xf>
    <xf numFmtId="178" fontId="0" fillId="12" borderId="1" xfId="0" applyNumberFormat="1" applyFill="1" applyBorder="1" applyAlignment="1">
      <alignment vertical="center"/>
    </xf>
    <xf numFmtId="0" fontId="0" fillId="12" borderId="20" xfId="0" applyFill="1" applyBorder="1" applyAlignment="1">
      <alignment horizontal="center" vertical="center"/>
    </xf>
    <xf numFmtId="0" fontId="36" fillId="12" borderId="1" xfId="0" applyFont="1" applyFill="1" applyBorder="1" applyAlignment="1">
      <alignment vertical="center"/>
    </xf>
    <xf numFmtId="178" fontId="0" fillId="12" borderId="1" xfId="0" applyNumberFormat="1" applyFill="1" applyBorder="1" applyAlignment="1" applyProtection="1">
      <alignment vertical="center"/>
      <protection hidden="1"/>
    </xf>
    <xf numFmtId="0" fontId="0" fillId="12" borderId="4" xfId="0" applyFill="1" applyBorder="1" applyAlignment="1">
      <alignment horizontal="center" vertical="center"/>
    </xf>
    <xf numFmtId="0" fontId="3" fillId="12" borderId="1" xfId="0" applyFont="1" applyFill="1" applyBorder="1" applyAlignment="1">
      <alignment vertical="center"/>
    </xf>
    <xf numFmtId="0" fontId="0" fillId="12" borderId="19" xfId="0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12" borderId="9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3" fillId="12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6" fillId="13" borderId="19" xfId="0" applyFont="1" applyFill="1" applyBorder="1" applyAlignment="1">
      <alignment vertical="center"/>
    </xf>
    <xf numFmtId="0" fontId="56" fillId="13" borderId="3" xfId="0" applyFont="1" applyFill="1" applyBorder="1" applyAlignment="1">
      <alignment vertical="center"/>
    </xf>
    <xf numFmtId="178" fontId="56" fillId="13" borderId="1" xfId="0" applyNumberFormat="1" applyFont="1" applyFill="1" applyBorder="1" applyAlignment="1">
      <alignment horizontal="right" vertical="center"/>
    </xf>
    <xf numFmtId="178" fontId="56" fillId="13" borderId="1" xfId="0" applyNumberFormat="1" applyFont="1" applyFill="1" applyBorder="1" applyAlignment="1">
      <alignment vertical="center"/>
    </xf>
    <xf numFmtId="0" fontId="56" fillId="13" borderId="1" xfId="0" applyFont="1" applyFill="1" applyBorder="1" applyAlignment="1">
      <alignment horizontal="right" vertical="center"/>
    </xf>
    <xf numFmtId="180" fontId="56" fillId="13" borderId="1" xfId="0" applyNumberFormat="1" applyFont="1" applyFill="1" applyBorder="1" applyAlignment="1">
      <alignment vertical="center"/>
    </xf>
    <xf numFmtId="0" fontId="56" fillId="13" borderId="1" xfId="0" applyFont="1" applyFill="1" applyBorder="1" applyAlignment="1">
      <alignment vertical="center"/>
    </xf>
    <xf numFmtId="0" fontId="56" fillId="13" borderId="1" xfId="0" applyFont="1" applyFill="1" applyBorder="1" applyAlignment="1" applyProtection="1">
      <alignment vertical="center"/>
      <protection hidden="1"/>
    </xf>
    <xf numFmtId="180" fontId="56" fillId="13" borderId="19" xfId="0" applyNumberFormat="1" applyFont="1" applyFill="1" applyBorder="1" applyAlignment="1">
      <alignment vertical="center"/>
    </xf>
    <xf numFmtId="0" fontId="56" fillId="13" borderId="2" xfId="0" applyFont="1" applyFill="1" applyBorder="1" applyAlignment="1">
      <alignment vertical="center"/>
    </xf>
    <xf numFmtId="9" fontId="56" fillId="13" borderId="1" xfId="0" applyNumberFormat="1" applyFont="1" applyFill="1" applyBorder="1" applyAlignment="1">
      <alignment vertical="center"/>
    </xf>
    <xf numFmtId="0" fontId="56" fillId="12" borderId="1" xfId="0" applyFont="1" applyFill="1" applyBorder="1" applyAlignment="1">
      <alignment vertical="center"/>
    </xf>
    <xf numFmtId="0" fontId="56" fillId="12" borderId="19" xfId="0" applyFont="1" applyFill="1" applyBorder="1" applyAlignment="1">
      <alignment vertical="center"/>
    </xf>
    <xf numFmtId="0" fontId="56" fillId="12" borderId="3" xfId="0" applyFont="1" applyFill="1" applyBorder="1" applyAlignment="1">
      <alignment vertical="center"/>
    </xf>
    <xf numFmtId="0" fontId="56" fillId="12" borderId="2" xfId="0" applyFont="1" applyFill="1" applyBorder="1" applyAlignment="1">
      <alignment vertical="center"/>
    </xf>
    <xf numFmtId="9" fontId="56" fillId="12" borderId="1" xfId="0" applyNumberFormat="1" applyFont="1" applyFill="1" applyBorder="1" applyAlignment="1">
      <alignment vertical="center"/>
    </xf>
    <xf numFmtId="180" fontId="56" fillId="12" borderId="1" xfId="0" applyNumberFormat="1" applyFont="1" applyFill="1" applyBorder="1" applyAlignment="1">
      <alignment vertical="center"/>
    </xf>
    <xf numFmtId="9" fontId="0" fillId="6" borderId="1" xfId="0" applyNumberFormat="1" applyFill="1" applyBorder="1" applyAlignment="1" applyProtection="1">
      <alignment vertical="center"/>
      <protection hidden="1"/>
    </xf>
    <xf numFmtId="180" fontId="0" fillId="6" borderId="19" xfId="0" applyNumberFormat="1" applyFill="1" applyBorder="1" applyAlignment="1">
      <alignment vertical="center"/>
    </xf>
    <xf numFmtId="9" fontId="0" fillId="6" borderId="1" xfId="0" applyNumberFormat="1" applyFill="1" applyBorder="1" applyAlignment="1" applyProtection="1">
      <alignment horizontal="center" vertical="center"/>
      <protection hidden="1"/>
    </xf>
    <xf numFmtId="49" fontId="3" fillId="6" borderId="1" xfId="0" quotePrefix="1" applyNumberFormat="1" applyFont="1" applyFill="1" applyBorder="1" applyAlignment="1">
      <alignment horizontal="center" vertical="center"/>
    </xf>
    <xf numFmtId="180" fontId="3" fillId="6" borderId="1" xfId="0" applyNumberFormat="1" applyFont="1" applyFill="1" applyBorder="1" applyAlignment="1">
      <alignment vertical="center"/>
    </xf>
    <xf numFmtId="0" fontId="3" fillId="6" borderId="1" xfId="0" applyFont="1" applyFill="1" applyBorder="1" applyAlignment="1" applyProtection="1">
      <alignment vertical="center"/>
      <protection hidden="1"/>
    </xf>
    <xf numFmtId="0" fontId="58" fillId="0" borderId="0" xfId="0" applyNumberFormat="1" applyFont="1" applyFill="1" applyBorder="1" applyAlignment="1" applyProtection="1"/>
    <xf numFmtId="0" fontId="58" fillId="0" borderId="0" xfId="0" applyNumberFormat="1" applyFont="1" applyFill="1" applyBorder="1" applyAlignment="1" applyProtection="1">
      <alignment horizontal="center"/>
    </xf>
    <xf numFmtId="0" fontId="59" fillId="10" borderId="0" xfId="0" applyNumberFormat="1" applyFont="1" applyFill="1" applyBorder="1" applyAlignment="1" applyProtection="1">
      <alignment vertical="center"/>
      <protection locked="0"/>
    </xf>
    <xf numFmtId="0" fontId="60" fillId="0" borderId="0" xfId="0" applyNumberFormat="1" applyFont="1" applyFill="1" applyBorder="1" applyAlignment="1" applyProtection="1">
      <alignment horizontal="right" vertical="center" wrapText="1"/>
      <protection locked="0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57" fillId="10" borderId="0" xfId="0" applyNumberFormat="1" applyFont="1" applyFill="1" applyBorder="1" applyAlignment="1" applyProtection="1">
      <alignment horizontal="left" vertical="center"/>
    </xf>
    <xf numFmtId="0" fontId="61" fillId="0" borderId="0" xfId="0" applyNumberFormat="1" applyFont="1" applyFill="1" applyBorder="1" applyAlignment="1" applyProtection="1">
      <alignment horizontal="center" vertical="center" wrapText="1"/>
    </xf>
    <xf numFmtId="0" fontId="62" fillId="10" borderId="40" xfId="0" applyNumberFormat="1" applyFont="1" applyFill="1" applyBorder="1" applyAlignment="1" applyProtection="1">
      <alignment horizontal="right" vertical="center"/>
    </xf>
    <xf numFmtId="0" fontId="63" fillId="0" borderId="41" xfId="0" applyNumberFormat="1" applyFont="1" applyFill="1" applyBorder="1" applyAlignment="1" applyProtection="1">
      <alignment horizontal="center" vertical="center" wrapText="1"/>
    </xf>
    <xf numFmtId="0" fontId="63" fillId="0" borderId="43" xfId="0" applyNumberFormat="1" applyFont="1" applyFill="1" applyBorder="1" applyAlignment="1" applyProtection="1">
      <alignment horizontal="center" vertical="center" wrapText="1"/>
    </xf>
    <xf numFmtId="0" fontId="63" fillId="0" borderId="44" xfId="0" applyNumberFormat="1" applyFont="1" applyFill="1" applyBorder="1" applyAlignment="1" applyProtection="1">
      <alignment horizontal="center" vertical="center" wrapText="1"/>
    </xf>
    <xf numFmtId="0" fontId="63" fillId="0" borderId="43" xfId="0" applyNumberFormat="1" applyFont="1" applyFill="1" applyBorder="1" applyAlignment="1" applyProtection="1">
      <alignment horizontal="center" vertical="center" wrapText="1"/>
    </xf>
    <xf numFmtId="0" fontId="64" fillId="10" borderId="43" xfId="0" applyNumberFormat="1" applyFont="1" applyFill="1" applyBorder="1" applyAlignment="1" applyProtection="1">
      <alignment horizontal="center" vertical="center"/>
    </xf>
    <xf numFmtId="0" fontId="63" fillId="0" borderId="41" xfId="0" applyNumberFormat="1" applyFont="1" applyFill="1" applyBorder="1" applyAlignment="1" applyProtection="1">
      <alignment vertical="center" wrapText="1"/>
    </xf>
    <xf numFmtId="0" fontId="58" fillId="0" borderId="41" xfId="0" applyNumberFormat="1" applyFont="1" applyFill="1" applyBorder="1" applyAlignment="1" applyProtection="1">
      <alignment horizontal="center"/>
    </xf>
    <xf numFmtId="0" fontId="63" fillId="0" borderId="48" xfId="0" applyNumberFormat="1" applyFont="1" applyFill="1" applyBorder="1" applyAlignment="1" applyProtection="1">
      <alignment horizontal="center" vertical="center" wrapText="1"/>
    </xf>
    <xf numFmtId="0" fontId="63" fillId="0" borderId="49" xfId="0" applyNumberFormat="1" applyFont="1" applyFill="1" applyBorder="1" applyAlignment="1" applyProtection="1">
      <alignment horizontal="center" vertical="center" wrapText="1"/>
    </xf>
    <xf numFmtId="0" fontId="63" fillId="14" borderId="48" xfId="0" applyNumberFormat="1" applyFont="1" applyFill="1" applyBorder="1" applyAlignment="1" applyProtection="1">
      <alignment horizontal="center" vertical="center" wrapText="1"/>
      <protection locked="0"/>
    </xf>
    <xf numFmtId="0" fontId="63" fillId="14" borderId="50" xfId="0" applyNumberFormat="1" applyFont="1" applyFill="1" applyBorder="1" applyAlignment="1" applyProtection="1">
      <alignment horizontal="center" vertical="center" wrapText="1"/>
      <protection locked="0"/>
    </xf>
    <xf numFmtId="0" fontId="28" fillId="0" borderId="51" xfId="0" applyNumberFormat="1" applyFont="1" applyFill="1" applyBorder="1" applyAlignment="1" applyProtection="1">
      <alignment horizontal="left" vertical="center" wrapText="1"/>
    </xf>
    <xf numFmtId="0" fontId="28" fillId="0" borderId="52" xfId="0" applyNumberFormat="1" applyFont="1" applyFill="1" applyBorder="1" applyAlignment="1" applyProtection="1">
      <alignment horizontal="left" vertical="center" wrapText="1"/>
    </xf>
    <xf numFmtId="0" fontId="28" fillId="0" borderId="53" xfId="0" applyNumberFormat="1" applyFont="1" applyFill="1" applyBorder="1" applyAlignment="1" applyProtection="1">
      <alignment horizontal="left" vertical="center" wrapText="1"/>
    </xf>
    <xf numFmtId="0" fontId="28" fillId="0" borderId="40" xfId="0" applyNumberFormat="1" applyFont="1" applyFill="1" applyBorder="1" applyAlignment="1" applyProtection="1">
      <alignment horizontal="left" vertical="center" wrapText="1"/>
    </xf>
    <xf numFmtId="0" fontId="63" fillId="0" borderId="45" xfId="0" applyNumberFormat="1" applyFont="1" applyFill="1" applyBorder="1" applyAlignment="1" applyProtection="1">
      <alignment horizontal="center" vertical="center" wrapText="1"/>
    </xf>
    <xf numFmtId="0" fontId="63" fillId="0" borderId="51" xfId="0" applyNumberFormat="1" applyFont="1" applyFill="1" applyBorder="1" applyAlignment="1" applyProtection="1">
      <alignment horizontal="center" vertical="center" wrapText="1"/>
    </xf>
    <xf numFmtId="0" fontId="63" fillId="0" borderId="54" xfId="0" applyNumberFormat="1" applyFont="1" applyFill="1" applyBorder="1" applyAlignment="1" applyProtection="1">
      <alignment horizontal="center" vertical="center" wrapText="1"/>
    </xf>
    <xf numFmtId="0" fontId="65" fillId="15" borderId="41" xfId="0" applyNumberFormat="1" applyFont="1" applyFill="1" applyBorder="1" applyAlignment="1" applyProtection="1">
      <alignment horizontal="center" vertical="center"/>
    </xf>
    <xf numFmtId="0" fontId="65" fillId="15" borderId="41" xfId="0" applyNumberFormat="1" applyFont="1" applyFill="1" applyBorder="1" applyAlignment="1" applyProtection="1">
      <alignment horizontal="center" vertical="center" wrapText="1"/>
    </xf>
    <xf numFmtId="0" fontId="55" fillId="0" borderId="41" xfId="0" applyNumberFormat="1" applyFont="1" applyFill="1" applyBorder="1" applyAlignment="1" applyProtection="1">
      <alignment horizontal="center" vertical="center"/>
      <protection locked="0"/>
    </xf>
    <xf numFmtId="0" fontId="55" fillId="14" borderId="43" xfId="0" applyNumberFormat="1" applyFont="1" applyFill="1" applyBorder="1" applyAlignment="1" applyProtection="1">
      <alignment horizontal="center" vertical="center" wrapText="1" shrinkToFit="1"/>
      <protection locked="0"/>
    </xf>
    <xf numFmtId="0" fontId="55" fillId="14" borderId="44" xfId="0" applyNumberFormat="1" applyFont="1" applyFill="1" applyBorder="1" applyAlignment="1" applyProtection="1">
      <alignment horizontal="center" vertical="center" wrapText="1" shrinkToFit="1"/>
      <protection locked="0"/>
    </xf>
    <xf numFmtId="0" fontId="55" fillId="14" borderId="45" xfId="0" applyNumberFormat="1" applyFont="1" applyFill="1" applyBorder="1" applyAlignment="1" applyProtection="1">
      <alignment horizontal="center" vertical="center" wrapText="1" shrinkToFit="1"/>
      <protection locked="0"/>
    </xf>
    <xf numFmtId="0" fontId="55" fillId="14" borderId="43" xfId="0" applyNumberFormat="1" applyFont="1" applyFill="1" applyBorder="1" applyAlignment="1" applyProtection="1">
      <alignment horizontal="center" vertical="center"/>
      <protection locked="0"/>
    </xf>
    <xf numFmtId="0" fontId="66" fillId="14" borderId="43" xfId="0" applyNumberFormat="1" applyFont="1" applyFill="1" applyBorder="1" applyAlignment="1" applyProtection="1">
      <alignment horizontal="center" vertical="center" shrinkToFit="1"/>
      <protection locked="0"/>
    </xf>
    <xf numFmtId="0" fontId="55" fillId="14" borderId="41" xfId="0" applyNumberFormat="1" applyFont="1" applyFill="1" applyBorder="1" applyAlignment="1" applyProtection="1">
      <alignment horizontal="center" vertical="center"/>
      <protection locked="0"/>
    </xf>
    <xf numFmtId="185" fontId="55" fillId="14" borderId="41" xfId="0" applyNumberFormat="1" applyFont="1" applyFill="1" applyBorder="1" applyAlignment="1" applyProtection="1">
      <alignment horizontal="center" vertical="center"/>
      <protection locked="0"/>
    </xf>
    <xf numFmtId="185" fontId="55" fillId="14" borderId="41" xfId="0" applyNumberFormat="1" applyFont="1" applyFill="1" applyBorder="1" applyAlignment="1" applyProtection="1">
      <alignment horizontal="center" vertical="center"/>
    </xf>
    <xf numFmtId="176" fontId="55" fillId="14" borderId="43" xfId="0" applyNumberFormat="1" applyFont="1" applyFill="1" applyBorder="1" applyAlignment="1" applyProtection="1">
      <alignment horizontal="center" vertical="center"/>
      <protection locked="0"/>
    </xf>
    <xf numFmtId="0" fontId="55" fillId="14" borderId="43" xfId="0" applyNumberFormat="1" applyFont="1" applyFill="1" applyBorder="1" applyAlignment="1" applyProtection="1">
      <alignment horizontal="center" vertical="center" shrinkToFit="1"/>
      <protection locked="0"/>
    </xf>
    <xf numFmtId="0" fontId="55" fillId="14" borderId="44" xfId="0" applyNumberFormat="1" applyFont="1" applyFill="1" applyBorder="1" applyAlignment="1" applyProtection="1">
      <alignment horizontal="center" vertical="center" shrinkToFit="1"/>
      <protection locked="0"/>
    </xf>
    <xf numFmtId="0" fontId="55" fillId="14" borderId="45" xfId="0" applyNumberFormat="1" applyFont="1" applyFill="1" applyBorder="1" applyAlignment="1" applyProtection="1">
      <alignment horizontal="center" vertical="center" shrinkToFit="1"/>
      <protection locked="0"/>
    </xf>
    <xf numFmtId="0" fontId="64" fillId="0" borderId="46" xfId="0" applyNumberFormat="1" applyFont="1" applyFill="1" applyBorder="1" applyAlignment="1" applyProtection="1">
      <alignment horizontal="center" vertical="center" wrapText="1"/>
    </xf>
    <xf numFmtId="0" fontId="64" fillId="0" borderId="47" xfId="0" applyNumberFormat="1" applyFont="1" applyFill="1" applyBorder="1" applyAlignment="1" applyProtection="1">
      <alignment horizontal="center" vertical="center" wrapText="1"/>
    </xf>
    <xf numFmtId="0" fontId="64" fillId="0" borderId="47" xfId="0" applyNumberFormat="1" applyFont="1" applyFill="1" applyBorder="1" applyAlignment="1" applyProtection="1">
      <alignment horizontal="center" wrapText="1"/>
    </xf>
    <xf numFmtId="0" fontId="64" fillId="0" borderId="47" xfId="0" applyNumberFormat="1" applyFont="1" applyFill="1" applyBorder="1" applyAlignment="1" applyProtection="1">
      <alignment wrapText="1"/>
    </xf>
    <xf numFmtId="0" fontId="64" fillId="0" borderId="55" xfId="0" applyNumberFormat="1" applyFont="1" applyFill="1" applyBorder="1" applyAlignment="1" applyProtection="1">
      <alignment wrapText="1"/>
    </xf>
    <xf numFmtId="185" fontId="67" fillId="16" borderId="46" xfId="0" applyNumberFormat="1" applyFont="1" applyFill="1" applyBorder="1" applyAlignment="1" applyProtection="1">
      <alignment horizontal="right" vertical="center"/>
    </xf>
    <xf numFmtId="185" fontId="67" fillId="16" borderId="55" xfId="0" applyNumberFormat="1" applyFont="1" applyFill="1" applyBorder="1" applyAlignment="1" applyProtection="1">
      <alignment horizontal="right" vertical="center"/>
    </xf>
    <xf numFmtId="0" fontId="64" fillId="0" borderId="46" xfId="0" applyNumberFormat="1" applyFont="1" applyFill="1" applyBorder="1" applyAlignment="1" applyProtection="1">
      <alignment horizontal="center" vertical="center"/>
    </xf>
    <xf numFmtId="0" fontId="64" fillId="0" borderId="42" xfId="0" applyNumberFormat="1" applyFont="1" applyFill="1" applyBorder="1" applyAlignment="1" applyProtection="1">
      <alignment vertical="center"/>
    </xf>
    <xf numFmtId="0" fontId="64" fillId="0" borderId="0" xfId="0" applyNumberFormat="1" applyFont="1" applyFill="1" applyBorder="1" applyAlignment="1" applyProtection="1"/>
    <xf numFmtId="0" fontId="64" fillId="0" borderId="56" xfId="0" applyNumberFormat="1" applyFont="1" applyFill="1" applyBorder="1" applyAlignment="1" applyProtection="1"/>
    <xf numFmtId="0" fontId="64" fillId="0" borderId="42" xfId="0" applyNumberFormat="1" applyFont="1" applyFill="1" applyBorder="1" applyAlignment="1" applyProtection="1"/>
    <xf numFmtId="0" fontId="68" fillId="0" borderId="0" xfId="0" applyNumberFormat="1" applyFont="1" applyFill="1" applyBorder="1" applyAlignment="1" applyProtection="1">
      <alignment horizontal="center"/>
      <protection locked="0"/>
    </xf>
    <xf numFmtId="0" fontId="64" fillId="0" borderId="43" xfId="0" applyNumberFormat="1" applyFont="1" applyFill="1" applyBorder="1" applyAlignment="1" applyProtection="1">
      <alignment horizontal="center" vertical="center"/>
    </xf>
    <xf numFmtId="0" fontId="64" fillId="0" borderId="44" xfId="0" applyNumberFormat="1" applyFont="1" applyFill="1" applyBorder="1" applyAlignment="1" applyProtection="1">
      <alignment horizontal="center" vertical="center"/>
    </xf>
    <xf numFmtId="0" fontId="64" fillId="0" borderId="45" xfId="0" applyNumberFormat="1" applyFont="1" applyFill="1" applyBorder="1" applyAlignment="1" applyProtection="1">
      <alignment horizontal="center" vertical="center"/>
    </xf>
    <xf numFmtId="0" fontId="55" fillId="14" borderId="43" xfId="0" applyNumberFormat="1" applyFont="1" applyFill="1" applyBorder="1" applyAlignment="1" applyProtection="1">
      <alignment horizontal="center"/>
      <protection locked="0"/>
    </xf>
    <xf numFmtId="0" fontId="55" fillId="14" borderId="45" xfId="0" applyNumberFormat="1" applyFont="1" applyFill="1" applyBorder="1" applyAlignment="1" applyProtection="1">
      <alignment horizontal="center"/>
      <protection locked="0"/>
    </xf>
    <xf numFmtId="0" fontId="55" fillId="14" borderId="44" xfId="0" applyNumberFormat="1" applyFont="1" applyFill="1" applyBorder="1" applyAlignment="1" applyProtection="1">
      <alignment horizontal="center"/>
      <protection locked="0"/>
    </xf>
    <xf numFmtId="0" fontId="58" fillId="6" borderId="0" xfId="0" applyNumberFormat="1" applyFont="1" applyFill="1" applyBorder="1" applyAlignment="1" applyProtection="1">
      <alignment horizontal="left" vertical="center" wrapText="1"/>
    </xf>
    <xf numFmtId="0" fontId="56" fillId="17" borderId="19" xfId="0" applyFont="1" applyFill="1" applyBorder="1" applyAlignment="1">
      <alignment vertical="center"/>
    </xf>
    <xf numFmtId="0" fontId="56" fillId="17" borderId="3" xfId="0" applyFont="1" applyFill="1" applyBorder="1" applyAlignment="1">
      <alignment vertical="center"/>
    </xf>
    <xf numFmtId="178" fontId="56" fillId="17" borderId="1" xfId="0" applyNumberFormat="1" applyFont="1" applyFill="1" applyBorder="1" applyAlignment="1">
      <alignment horizontal="right" vertical="center"/>
    </xf>
    <xf numFmtId="178" fontId="56" fillId="17" borderId="1" xfId="0" applyNumberFormat="1" applyFont="1" applyFill="1" applyBorder="1" applyAlignment="1">
      <alignment vertical="center"/>
    </xf>
    <xf numFmtId="0" fontId="56" fillId="17" borderId="1" xfId="0" applyFont="1" applyFill="1" applyBorder="1" applyAlignment="1">
      <alignment horizontal="right" vertical="center"/>
    </xf>
    <xf numFmtId="180" fontId="56" fillId="17" borderId="1" xfId="0" applyNumberFormat="1" applyFont="1" applyFill="1" applyBorder="1" applyAlignment="1">
      <alignment vertical="center"/>
    </xf>
    <xf numFmtId="0" fontId="56" fillId="17" borderId="1" xfId="0" applyFont="1" applyFill="1" applyBorder="1" applyAlignment="1">
      <alignment vertical="center"/>
    </xf>
    <xf numFmtId="0" fontId="68" fillId="18" borderId="0" xfId="0" applyNumberFormat="1" applyFont="1" applyFill="1" applyBorder="1" applyAlignment="1" applyProtection="1">
      <alignment horizontal="center"/>
      <protection locked="0"/>
    </xf>
    <xf numFmtId="0" fontId="55" fillId="18" borderId="43" xfId="0" applyNumberFormat="1" applyFont="1" applyFill="1" applyBorder="1" applyAlignment="1" applyProtection="1">
      <alignment horizontal="left" vertical="center"/>
      <protection locked="0"/>
    </xf>
    <xf numFmtId="0" fontId="55" fillId="18" borderId="45" xfId="0" applyNumberFormat="1" applyFont="1" applyFill="1" applyBorder="1" applyAlignment="1" applyProtection="1">
      <alignment horizontal="left" vertical="center"/>
      <protection locked="0"/>
    </xf>
    <xf numFmtId="0" fontId="55" fillId="18" borderId="48" xfId="0" applyNumberFormat="1" applyFont="1" applyFill="1" applyBorder="1" applyAlignment="1" applyProtection="1">
      <alignment horizontal="center" vertical="center" wrapText="1"/>
    </xf>
    <xf numFmtId="0" fontId="55" fillId="18" borderId="50" xfId="0" applyNumberFormat="1" applyFont="1" applyFill="1" applyBorder="1" applyAlignment="1" applyProtection="1">
      <alignment horizontal="center" vertical="center" wrapText="1"/>
    </xf>
    <xf numFmtId="0" fontId="55" fillId="18" borderId="49" xfId="0" applyNumberFormat="1" applyFont="1" applyFill="1" applyBorder="1" applyAlignment="1" applyProtection="1">
      <alignment horizontal="center" vertical="center" wrapText="1"/>
    </xf>
    <xf numFmtId="14" fontId="55" fillId="18" borderId="43" xfId="0" applyNumberFormat="1" applyFont="1" applyFill="1" applyBorder="1" applyAlignment="1" applyProtection="1">
      <alignment horizontal="center" vertical="center" wrapText="1"/>
      <protection locked="0"/>
    </xf>
    <xf numFmtId="14" fontId="55" fillId="18" borderId="44" xfId="0" applyNumberFormat="1" applyFont="1" applyFill="1" applyBorder="1" applyAlignment="1" applyProtection="1">
      <alignment horizontal="center" vertical="center" wrapText="1"/>
      <protection locked="0"/>
    </xf>
    <xf numFmtId="0" fontId="63" fillId="18" borderId="48" xfId="0" applyNumberFormat="1" applyFont="1" applyFill="1" applyBorder="1" applyAlignment="1" applyProtection="1">
      <alignment horizontal="center" vertical="center" wrapText="1"/>
      <protection locked="0"/>
    </xf>
    <xf numFmtId="0" fontId="63" fillId="18" borderId="50" xfId="0" applyNumberFormat="1" applyFont="1" applyFill="1" applyBorder="1" applyAlignment="1" applyProtection="1">
      <alignment horizontal="center" vertical="center" wrapText="1"/>
      <protection locked="0"/>
    </xf>
    <xf numFmtId="14" fontId="55" fillId="18" borderId="41" xfId="0" applyNumberFormat="1" applyFont="1" applyFill="1" applyBorder="1" applyAlignment="1" applyProtection="1">
      <alignment vertical="center" wrapText="1"/>
      <protection locked="0"/>
    </xf>
  </cellXfs>
  <cellStyles count="4">
    <cellStyle name="常规" xfId="0" builtinId="0"/>
    <cellStyle name="常规 2" xfId="1" xr:uid="{00000000-0005-0000-0000-000001000000}"/>
    <cellStyle name="常规 3" xfId="3" xr:uid="{F01AF5AF-46FE-410E-B4A6-4093E5BBAF2B}"/>
    <cellStyle name="超链接" xfId="2" builtinId="8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11</xdr:col>
      <xdr:colOff>9525</xdr:colOff>
      <xdr:row>21</xdr:row>
      <xdr:rowOff>0</xdr:rowOff>
    </xdr:to>
    <xdr:pic>
      <xdr:nvPicPr>
        <xdr:cNvPr id="1390" name="Picture 1" descr="1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23950"/>
          <a:ext cx="7543800" cy="3076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13</xdr:col>
      <xdr:colOff>9525</xdr:colOff>
      <xdr:row>45</xdr:row>
      <xdr:rowOff>9525</xdr:rowOff>
    </xdr:to>
    <xdr:pic>
      <xdr:nvPicPr>
        <xdr:cNvPr id="1391" name="Picture 2" descr="2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24475"/>
          <a:ext cx="8858250" cy="3629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17</xdr:col>
      <xdr:colOff>9525</xdr:colOff>
      <xdr:row>75</xdr:row>
      <xdr:rowOff>0</xdr:rowOff>
    </xdr:to>
    <xdr:pic>
      <xdr:nvPicPr>
        <xdr:cNvPr id="1392" name="Picture 3" descr="3">
          <a:extLst>
            <a:ext uri="{FF2B5EF4-FFF2-40B4-BE49-F238E27FC236}">
              <a16:creationId xmlns:a16="http://schemas.microsoft.com/office/drawing/2014/main" id="{00000000-0008-0000-05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01275"/>
          <a:ext cx="11515725" cy="4705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17</xdr:col>
      <xdr:colOff>9525</xdr:colOff>
      <xdr:row>101</xdr:row>
      <xdr:rowOff>9525</xdr:rowOff>
    </xdr:to>
    <xdr:pic>
      <xdr:nvPicPr>
        <xdr:cNvPr id="1393" name="Picture 4" descr="4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63925"/>
          <a:ext cx="11515725" cy="399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6</xdr:col>
      <xdr:colOff>9525</xdr:colOff>
      <xdr:row>122</xdr:row>
      <xdr:rowOff>0</xdr:rowOff>
    </xdr:to>
    <xdr:pic>
      <xdr:nvPicPr>
        <xdr:cNvPr id="1394" name="Picture 5" descr="5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650325"/>
          <a:ext cx="4257675" cy="289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6</xdr:col>
      <xdr:colOff>9525</xdr:colOff>
      <xdr:row>143</xdr:row>
      <xdr:rowOff>0</xdr:rowOff>
    </xdr:to>
    <xdr:pic>
      <xdr:nvPicPr>
        <xdr:cNvPr id="1395" name="Picture 6" descr="6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50875"/>
          <a:ext cx="4257675" cy="289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16</xdr:col>
      <xdr:colOff>9525</xdr:colOff>
      <xdr:row>168</xdr:row>
      <xdr:rowOff>9525</xdr:rowOff>
    </xdr:to>
    <xdr:pic>
      <xdr:nvPicPr>
        <xdr:cNvPr id="1396" name="Picture 7" descr="7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51425"/>
          <a:ext cx="10829925" cy="3629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173</xdr:row>
      <xdr:rowOff>0</xdr:rowOff>
    </xdr:from>
    <xdr:to>
      <xdr:col>16</xdr:col>
      <xdr:colOff>0</xdr:colOff>
      <xdr:row>191</xdr:row>
      <xdr:rowOff>0</xdr:rowOff>
    </xdr:to>
    <xdr:pic>
      <xdr:nvPicPr>
        <xdr:cNvPr id="1397" name="Picture 13" descr="未命名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575875"/>
          <a:ext cx="10820400" cy="325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9"/>
  <sheetViews>
    <sheetView zoomScaleNormal="100" workbookViewId="0">
      <selection activeCell="K11" sqref="K11"/>
    </sheetView>
  </sheetViews>
  <sheetFormatPr defaultRowHeight="15.75"/>
  <cols>
    <col min="1" max="1" width="31.125" style="28" customWidth="1"/>
    <col min="2" max="2" width="17.375" style="28" customWidth="1"/>
    <col min="3" max="3" width="8.875" style="28" customWidth="1"/>
    <col min="4" max="4" width="11.75" style="28" customWidth="1"/>
    <col min="5" max="5" width="9.5" style="28" bestFit="1" customWidth="1"/>
    <col min="6" max="6" width="6.875" style="28" customWidth="1"/>
    <col min="7" max="7" width="11" style="28" customWidth="1"/>
    <col min="8" max="8" width="33.875" style="28" customWidth="1"/>
    <col min="9" max="9" width="5.625" style="28" customWidth="1"/>
    <col min="10" max="10" width="10.875" style="28" customWidth="1"/>
    <col min="11" max="11" width="5.625" style="28" customWidth="1"/>
    <col min="12" max="12" width="9.5625" style="28" customWidth="1"/>
    <col min="13" max="13" width="7" style="28" customWidth="1"/>
    <col min="14" max="14" width="4.625" style="28" customWidth="1"/>
    <col min="15" max="15" width="2.25" style="28" customWidth="1"/>
    <col min="16" max="16" width="8.5" style="28" customWidth="1"/>
    <col min="17" max="17" width="5" style="28" customWidth="1"/>
    <col min="18" max="18" width="2.5" style="28" customWidth="1"/>
    <col min="19" max="19" width="7.75" style="28" customWidth="1"/>
    <col min="20" max="20" width="4.625" style="28" customWidth="1"/>
    <col min="21" max="16384" width="9" style="28"/>
  </cols>
  <sheetData>
    <row r="1" spans="1:20">
      <c r="A1" s="28" t="s">
        <v>1163</v>
      </c>
      <c r="M1" s="109"/>
    </row>
    <row r="2" spans="1:20" s="68" customFormat="1" ht="20.100000000000001" customHeight="1">
      <c r="A2" s="1" t="s">
        <v>1164</v>
      </c>
      <c r="B2" s="1" t="s">
        <v>1165</v>
      </c>
      <c r="C2" s="1" t="s">
        <v>98</v>
      </c>
      <c r="D2" s="1" t="s">
        <v>1166</v>
      </c>
      <c r="E2" s="10" t="s">
        <v>1898</v>
      </c>
      <c r="F2" s="1" t="s">
        <v>5</v>
      </c>
      <c r="G2" s="1" t="s">
        <v>1167</v>
      </c>
      <c r="H2" s="1" t="s">
        <v>1168</v>
      </c>
      <c r="J2" s="4" t="s">
        <v>1169</v>
      </c>
      <c r="K2" s="36"/>
      <c r="L2" s="106" t="s">
        <v>1648</v>
      </c>
      <c r="M2" s="104" t="s">
        <v>1170</v>
      </c>
      <c r="N2" s="104"/>
      <c r="O2" s="28"/>
      <c r="P2" s="28"/>
      <c r="Q2" s="28"/>
      <c r="R2" s="28"/>
      <c r="S2" s="28"/>
      <c r="T2" s="28"/>
    </row>
    <row r="3" spans="1:20" ht="20.100000000000001" customHeight="1">
      <c r="A3" s="185" t="e">
        <f>#REF!&amp;#REF!</f>
        <v>#REF!</v>
      </c>
      <c r="B3" s="108" t="e">
        <f>#REF!&amp;"x"&amp;#REF!</f>
        <v>#REF!</v>
      </c>
      <c r="C3" s="165" t="e">
        <f>#REF!</f>
        <v>#REF!</v>
      </c>
      <c r="D3" s="165" t="e">
        <f>#REF!</f>
        <v>#REF!</v>
      </c>
      <c r="E3" s="103" t="e">
        <f>D3*2</f>
        <v>#REF!</v>
      </c>
      <c r="F3" s="104">
        <v>1</v>
      </c>
      <c r="G3" s="103" t="e">
        <f t="shared" ref="G3:G10" si="0">E3*F3</f>
        <v>#REF!</v>
      </c>
      <c r="H3" s="105" t="s">
        <v>1897</v>
      </c>
      <c r="J3" s="10" t="s">
        <v>1171</v>
      </c>
      <c r="K3" s="10" t="s">
        <v>1172</v>
      </c>
      <c r="M3" s="107" t="s">
        <v>115</v>
      </c>
      <c r="N3" s="107" t="s">
        <v>1172</v>
      </c>
    </row>
    <row r="4" spans="1:20" ht="20.100000000000001" customHeight="1">
      <c r="A4" s="186"/>
      <c r="B4" s="171"/>
      <c r="C4" s="165"/>
      <c r="D4" s="165"/>
      <c r="E4" s="103"/>
      <c r="F4" s="104"/>
      <c r="G4" s="103"/>
      <c r="H4" s="105"/>
      <c r="J4" s="10" t="s">
        <v>1549</v>
      </c>
      <c r="K4" s="108">
        <v>5</v>
      </c>
      <c r="L4" s="28">
        <f>K4*1.6</f>
        <v>8</v>
      </c>
      <c r="M4" s="10" t="s">
        <v>86</v>
      </c>
      <c r="N4" s="108">
        <v>3</v>
      </c>
    </row>
    <row r="5" spans="1:20" ht="20.100000000000001" customHeight="1">
      <c r="A5" s="185" t="e">
        <f>#REF!&amp;#REF!</f>
        <v>#REF!</v>
      </c>
      <c r="B5" s="108" t="e">
        <f>#REF!&amp;"x"&amp;#REF!</f>
        <v>#REF!</v>
      </c>
      <c r="C5" s="165" t="e">
        <f>#REF!</f>
        <v>#REF!</v>
      </c>
      <c r="D5" s="165" t="e">
        <f>#REF!</f>
        <v>#REF!</v>
      </c>
      <c r="E5" s="103" t="e">
        <f>D5*2</f>
        <v>#REF!</v>
      </c>
      <c r="F5" s="104">
        <v>1</v>
      </c>
      <c r="G5" s="103" t="e">
        <f t="shared" si="0"/>
        <v>#REF!</v>
      </c>
      <c r="H5" s="105" t="s">
        <v>1897</v>
      </c>
      <c r="J5" s="10" t="s">
        <v>1913</v>
      </c>
      <c r="K5" s="108">
        <v>4.45</v>
      </c>
      <c r="L5" s="28">
        <f>K5*1.6</f>
        <v>7.120000000000001</v>
      </c>
      <c r="M5" s="10" t="s">
        <v>1174</v>
      </c>
      <c r="N5" s="108">
        <v>4.5</v>
      </c>
    </row>
    <row r="6" spans="1:20" ht="20.100000000000001" customHeight="1">
      <c r="A6" s="183" t="s">
        <v>1895</v>
      </c>
      <c r="B6" s="10" t="s">
        <v>1896</v>
      </c>
      <c r="C6" s="103"/>
      <c r="D6" s="103">
        <v>100</v>
      </c>
      <c r="E6" s="103">
        <f>D6*5</f>
        <v>500</v>
      </c>
      <c r="F6" s="104">
        <v>1</v>
      </c>
      <c r="G6" s="103">
        <f t="shared" si="0"/>
        <v>500</v>
      </c>
      <c r="H6" s="105" t="s">
        <v>1899</v>
      </c>
      <c r="J6" s="10" t="s">
        <v>1929</v>
      </c>
      <c r="K6" s="108">
        <v>6.5</v>
      </c>
      <c r="L6" s="28">
        <f>K6*1.6</f>
        <v>10.4</v>
      </c>
      <c r="M6" s="10" t="s">
        <v>1176</v>
      </c>
      <c r="N6" s="108">
        <v>5.5</v>
      </c>
    </row>
    <row r="7" spans="1:20" ht="20.100000000000001" customHeight="1">
      <c r="A7" s="64" t="e">
        <f>#REF!&amp;#REF!</f>
        <v>#REF!</v>
      </c>
      <c r="B7" s="1" t="e">
        <f>#REF!&amp;"x"&amp;#REF!</f>
        <v>#REF!</v>
      </c>
      <c r="C7" s="103" t="e">
        <f>#REF!</f>
        <v>#REF!</v>
      </c>
      <c r="D7" s="103" t="e">
        <f>#REF!</f>
        <v>#REF!</v>
      </c>
      <c r="E7" s="103" t="e">
        <f>D7*2</f>
        <v>#REF!</v>
      </c>
      <c r="F7" s="104">
        <v>1</v>
      </c>
      <c r="G7" s="103" t="e">
        <f t="shared" si="0"/>
        <v>#REF!</v>
      </c>
      <c r="H7" s="105" t="s">
        <v>1897</v>
      </c>
      <c r="J7" s="10" t="s">
        <v>1173</v>
      </c>
      <c r="K7" s="108">
        <v>6.5</v>
      </c>
      <c r="L7" s="28">
        <f t="shared" ref="L7:L12" si="1">K7*1.6</f>
        <v>10.4</v>
      </c>
      <c r="M7" s="10" t="s">
        <v>1178</v>
      </c>
      <c r="N7" s="108">
        <v>8</v>
      </c>
    </row>
    <row r="8" spans="1:20" ht="20.100000000000001" customHeight="1">
      <c r="A8" s="183" t="s">
        <v>1895</v>
      </c>
      <c r="B8" s="10" t="s">
        <v>1900</v>
      </c>
      <c r="C8" s="103"/>
      <c r="D8" s="103">
        <v>100</v>
      </c>
      <c r="E8" s="103">
        <f>D8*7</f>
        <v>700</v>
      </c>
      <c r="F8" s="104">
        <v>1</v>
      </c>
      <c r="G8" s="103">
        <f t="shared" si="0"/>
        <v>700</v>
      </c>
      <c r="H8" s="105" t="s">
        <v>1899</v>
      </c>
      <c r="J8" s="10" t="s">
        <v>1889</v>
      </c>
      <c r="K8" s="108">
        <v>50</v>
      </c>
      <c r="L8" s="28">
        <f t="shared" si="1"/>
        <v>80</v>
      </c>
      <c r="M8" s="10" t="s">
        <v>1179</v>
      </c>
      <c r="N8" s="108">
        <v>10</v>
      </c>
    </row>
    <row r="9" spans="1:20" ht="20.100000000000001" customHeight="1">
      <c r="A9" s="64" t="e">
        <f>#REF!&amp;#REF!</f>
        <v>#REF!</v>
      </c>
      <c r="B9" s="1" t="e">
        <f>#REF!&amp;"x"&amp;#REF!</f>
        <v>#REF!</v>
      </c>
      <c r="C9" s="103" t="e">
        <f>#REF!</f>
        <v>#REF!</v>
      </c>
      <c r="D9" s="103" t="e">
        <f>#REF!</f>
        <v>#REF!</v>
      </c>
      <c r="E9" s="103" t="e">
        <f>D9*2</f>
        <v>#REF!</v>
      </c>
      <c r="F9" s="104">
        <v>1</v>
      </c>
      <c r="G9" s="103" t="e">
        <f t="shared" si="0"/>
        <v>#REF!</v>
      </c>
      <c r="H9" s="105" t="s">
        <v>1897</v>
      </c>
      <c r="J9" s="10" t="s">
        <v>1175</v>
      </c>
      <c r="K9" s="108">
        <v>17</v>
      </c>
      <c r="L9" s="28">
        <f t="shared" si="1"/>
        <v>27.200000000000003</v>
      </c>
      <c r="M9" s="10" t="s">
        <v>1180</v>
      </c>
      <c r="N9" s="108">
        <v>25</v>
      </c>
    </row>
    <row r="10" spans="1:20" ht="20.100000000000001" customHeight="1">
      <c r="A10" s="183" t="s">
        <v>1895</v>
      </c>
      <c r="B10" s="10" t="s">
        <v>1900</v>
      </c>
      <c r="C10" s="103"/>
      <c r="D10" s="103">
        <v>100</v>
      </c>
      <c r="E10" s="103">
        <f>D10*5</f>
        <v>500</v>
      </c>
      <c r="F10" s="104">
        <v>1</v>
      </c>
      <c r="G10" s="103">
        <f t="shared" si="0"/>
        <v>500</v>
      </c>
      <c r="H10" s="105" t="s">
        <v>1899</v>
      </c>
      <c r="J10" s="10" t="s">
        <v>1177</v>
      </c>
      <c r="K10" s="108">
        <v>25</v>
      </c>
      <c r="L10" s="28">
        <f t="shared" si="1"/>
        <v>40</v>
      </c>
      <c r="M10" s="10" t="s">
        <v>1181</v>
      </c>
      <c r="N10" s="108">
        <v>32</v>
      </c>
    </row>
    <row r="11" spans="1:20" ht="20.100000000000001" customHeight="1">
      <c r="J11" s="10" t="s">
        <v>1946</v>
      </c>
      <c r="K11" s="108">
        <v>19</v>
      </c>
      <c r="L11" s="28">
        <f t="shared" si="1"/>
        <v>30.400000000000002</v>
      </c>
      <c r="M11" s="10" t="s">
        <v>1182</v>
      </c>
      <c r="N11" s="108">
        <v>44</v>
      </c>
    </row>
    <row r="12" spans="1:20" ht="20.100000000000001" customHeight="1">
      <c r="A12" s="106"/>
      <c r="C12" s="167"/>
      <c r="D12" s="187">
        <v>0.1</v>
      </c>
      <c r="E12" s="165" t="e">
        <f>D3/(1-$D$12)</f>
        <v>#REF!</v>
      </c>
      <c r="J12" s="10"/>
      <c r="K12" s="108"/>
      <c r="L12" s="28">
        <f t="shared" si="1"/>
        <v>0</v>
      </c>
      <c r="M12" s="10" t="s">
        <v>1704</v>
      </c>
      <c r="N12" s="108">
        <v>54</v>
      </c>
    </row>
    <row r="13" spans="1:20" ht="20.100000000000001" customHeight="1">
      <c r="D13" s="187"/>
      <c r="E13" s="165">
        <f t="shared" ref="E13" si="2">D4/(1-$D$12)</f>
        <v>0</v>
      </c>
      <c r="G13" s="114"/>
      <c r="J13" s="10" t="s">
        <v>1633</v>
      </c>
      <c r="K13" s="108">
        <v>9</v>
      </c>
      <c r="L13" s="28">
        <f>K13</f>
        <v>9</v>
      </c>
      <c r="M13" s="10" t="s">
        <v>1705</v>
      </c>
      <c r="N13" s="108">
        <v>68</v>
      </c>
    </row>
    <row r="14" spans="1:20" ht="20.100000000000001" customHeight="1">
      <c r="D14" s="188">
        <v>0.2</v>
      </c>
      <c r="E14" s="165" t="e">
        <f>D5/(1-$D$14)</f>
        <v>#REF!</v>
      </c>
      <c r="G14" s="114"/>
      <c r="J14" s="10" t="s">
        <v>1890</v>
      </c>
      <c r="K14" s="108">
        <v>56</v>
      </c>
      <c r="L14" s="28">
        <f t="shared" ref="L14:L24" si="3">K14</f>
        <v>56</v>
      </c>
      <c r="M14" s="10" t="s">
        <v>1706</v>
      </c>
      <c r="N14" s="108">
        <v>105</v>
      </c>
    </row>
    <row r="15" spans="1:20" ht="20.100000000000001" customHeight="1">
      <c r="E15" s="114"/>
      <c r="G15" s="114"/>
      <c r="J15" s="10" t="s">
        <v>1634</v>
      </c>
      <c r="K15" s="108">
        <v>28</v>
      </c>
      <c r="L15" s="28">
        <f t="shared" si="3"/>
        <v>28</v>
      </c>
    </row>
    <row r="16" spans="1:20" ht="20.100000000000001" customHeight="1">
      <c r="A16" s="106"/>
      <c r="E16" s="114"/>
      <c r="G16" s="114"/>
      <c r="J16" s="10" t="s">
        <v>1635</v>
      </c>
      <c r="K16" s="108">
        <v>29</v>
      </c>
      <c r="L16" s="28">
        <f t="shared" si="3"/>
        <v>29</v>
      </c>
    </row>
    <row r="17" spans="1:12" ht="20.100000000000001" customHeight="1">
      <c r="A17" s="106"/>
      <c r="B17" s="110"/>
      <c r="E17" s="114"/>
      <c r="J17" s="10" t="s">
        <v>1636</v>
      </c>
      <c r="K17" s="108">
        <v>31</v>
      </c>
      <c r="L17" s="28">
        <f t="shared" si="3"/>
        <v>31</v>
      </c>
    </row>
    <row r="18" spans="1:12" ht="20.100000000000001" customHeight="1">
      <c r="A18" s="106"/>
      <c r="B18" s="106"/>
      <c r="E18" s="114"/>
      <c r="J18" s="10" t="s">
        <v>1891</v>
      </c>
      <c r="K18" s="108">
        <v>105</v>
      </c>
      <c r="L18" s="28">
        <f t="shared" si="3"/>
        <v>105</v>
      </c>
    </row>
    <row r="19" spans="1:12" ht="20.100000000000001" customHeight="1">
      <c r="A19" s="106"/>
      <c r="B19" s="106"/>
      <c r="C19" s="167">
        <v>0.15</v>
      </c>
      <c r="D19" s="189">
        <v>109300</v>
      </c>
      <c r="E19" s="114">
        <f>D19/(1-C19)</f>
        <v>128588.23529411765</v>
      </c>
      <c r="J19" s="10"/>
      <c r="K19" s="108"/>
      <c r="L19" s="28">
        <f t="shared" si="3"/>
        <v>0</v>
      </c>
    </row>
    <row r="20" spans="1:12" ht="20.100000000000001" customHeight="1">
      <c r="A20" s="106"/>
      <c r="B20" s="106"/>
      <c r="C20" s="167">
        <v>0.15</v>
      </c>
      <c r="D20" s="189">
        <v>109300</v>
      </c>
      <c r="E20" s="114">
        <f t="shared" ref="E20:E21" si="4">D20/(1-C20)</f>
        <v>128588.23529411765</v>
      </c>
      <c r="J20" s="10" t="s">
        <v>1632</v>
      </c>
      <c r="K20" s="108">
        <v>17</v>
      </c>
      <c r="L20" s="28">
        <f t="shared" si="3"/>
        <v>17</v>
      </c>
    </row>
    <row r="21" spans="1:12" ht="20.100000000000001" customHeight="1">
      <c r="A21" s="106"/>
      <c r="C21" s="167">
        <v>0.15</v>
      </c>
      <c r="D21" s="189">
        <v>52780</v>
      </c>
      <c r="E21" s="114">
        <f t="shared" si="4"/>
        <v>62094.117647058825</v>
      </c>
      <c r="J21" s="10" t="s">
        <v>1637</v>
      </c>
      <c r="K21" s="108">
        <v>18</v>
      </c>
      <c r="L21" s="28">
        <f t="shared" si="3"/>
        <v>18</v>
      </c>
    </row>
    <row r="22" spans="1:12" ht="20.100000000000001" customHeight="1">
      <c r="A22" s="106"/>
      <c r="C22" s="167">
        <v>0.15</v>
      </c>
      <c r="D22" s="189">
        <v>52780</v>
      </c>
      <c r="E22" s="114">
        <f t="shared" ref="E22:E39" si="5">D22/(1-C22)</f>
        <v>62094.117647058825</v>
      </c>
      <c r="J22" s="10" t="s">
        <v>1638</v>
      </c>
      <c r="K22" s="108">
        <v>35</v>
      </c>
      <c r="L22" s="28">
        <f t="shared" si="3"/>
        <v>35</v>
      </c>
    </row>
    <row r="23" spans="1:12" ht="20.100000000000001" customHeight="1">
      <c r="A23" s="106"/>
      <c r="C23" s="167">
        <v>0.15</v>
      </c>
      <c r="D23" s="189">
        <v>100000</v>
      </c>
      <c r="E23" s="114">
        <f t="shared" si="5"/>
        <v>117647.05882352941</v>
      </c>
      <c r="J23" s="10" t="s">
        <v>1639</v>
      </c>
      <c r="K23" s="108">
        <v>45</v>
      </c>
      <c r="L23" s="28">
        <f t="shared" si="3"/>
        <v>45</v>
      </c>
    </row>
    <row r="24" spans="1:12" ht="20.100000000000001" customHeight="1">
      <c r="C24" s="167">
        <v>0.15</v>
      </c>
      <c r="D24" s="189">
        <v>8300</v>
      </c>
      <c r="E24" s="114">
        <f t="shared" si="5"/>
        <v>9764.7058823529405</v>
      </c>
      <c r="J24" s="10" t="s">
        <v>1876</v>
      </c>
      <c r="K24" s="108">
        <v>58</v>
      </c>
      <c r="L24" s="28">
        <f t="shared" si="3"/>
        <v>58</v>
      </c>
    </row>
    <row r="25" spans="1:12">
      <c r="C25" s="167">
        <v>0.15</v>
      </c>
      <c r="D25" s="189">
        <v>99520</v>
      </c>
      <c r="E25" s="114">
        <f t="shared" si="5"/>
        <v>117082.35294117648</v>
      </c>
      <c r="J25" s="10"/>
      <c r="K25" s="108"/>
    </row>
    <row r="26" spans="1:12">
      <c r="C26" s="167">
        <v>0.15</v>
      </c>
      <c r="D26" s="189">
        <v>32700</v>
      </c>
      <c r="E26" s="114">
        <f t="shared" si="5"/>
        <v>38470.588235294119</v>
      </c>
    </row>
    <row r="27" spans="1:12">
      <c r="C27" s="167">
        <v>0.15</v>
      </c>
      <c r="D27" s="189">
        <v>76000</v>
      </c>
      <c r="E27" s="114">
        <f t="shared" si="5"/>
        <v>89411.76470588235</v>
      </c>
    </row>
    <row r="28" spans="1:12">
      <c r="C28" s="167">
        <v>0.15</v>
      </c>
      <c r="D28" s="189">
        <v>76000</v>
      </c>
      <c r="E28" s="114">
        <f t="shared" si="5"/>
        <v>89411.76470588235</v>
      </c>
    </row>
    <row r="29" spans="1:12">
      <c r="C29" s="167">
        <v>0.15</v>
      </c>
      <c r="D29" s="189">
        <v>15280</v>
      </c>
      <c r="E29" s="114">
        <f t="shared" si="5"/>
        <v>17976.470588235294</v>
      </c>
    </row>
    <row r="30" spans="1:12">
      <c r="C30" s="167">
        <v>0.15</v>
      </c>
      <c r="D30" s="189">
        <v>42670</v>
      </c>
      <c r="E30" s="114">
        <f t="shared" si="5"/>
        <v>50200</v>
      </c>
    </row>
    <row r="31" spans="1:12">
      <c r="C31" s="167">
        <v>0.15</v>
      </c>
      <c r="D31" s="189">
        <v>42670</v>
      </c>
      <c r="E31" s="114">
        <f t="shared" si="5"/>
        <v>50200</v>
      </c>
    </row>
    <row r="32" spans="1:12">
      <c r="C32" s="167">
        <v>0.15</v>
      </c>
      <c r="D32" s="189">
        <v>17230</v>
      </c>
      <c r="E32" s="114">
        <f t="shared" si="5"/>
        <v>20270.588235294119</v>
      </c>
    </row>
    <row r="33" spans="3:5">
      <c r="C33" s="167">
        <v>0.15</v>
      </c>
      <c r="D33" s="189">
        <v>17230</v>
      </c>
      <c r="E33" s="114">
        <f t="shared" si="5"/>
        <v>20270.588235294119</v>
      </c>
    </row>
    <row r="34" spans="3:5">
      <c r="C34" s="167">
        <v>0.15</v>
      </c>
      <c r="D34" s="189">
        <v>15280</v>
      </c>
      <c r="E34" s="114">
        <f t="shared" si="5"/>
        <v>17976.470588235294</v>
      </c>
    </row>
    <row r="35" spans="3:5">
      <c r="C35" s="167">
        <v>0.15</v>
      </c>
      <c r="D35" s="189">
        <v>17230</v>
      </c>
      <c r="E35" s="114">
        <f t="shared" si="5"/>
        <v>20270.588235294119</v>
      </c>
    </row>
    <row r="36" spans="3:5">
      <c r="C36" s="167">
        <v>0.15</v>
      </c>
      <c r="D36" s="189">
        <v>17230</v>
      </c>
      <c r="E36" s="114">
        <f t="shared" si="5"/>
        <v>20270.588235294119</v>
      </c>
    </row>
    <row r="37" spans="3:5">
      <c r="C37" s="167">
        <v>0.15</v>
      </c>
      <c r="D37" s="189">
        <v>17230</v>
      </c>
      <c r="E37" s="114">
        <f t="shared" si="5"/>
        <v>20270.588235294119</v>
      </c>
    </row>
    <row r="38" spans="3:5">
      <c r="C38" s="167">
        <v>0.15</v>
      </c>
      <c r="D38" s="189">
        <v>45760</v>
      </c>
      <c r="E38" s="114">
        <f t="shared" si="5"/>
        <v>53835.294117647063</v>
      </c>
    </row>
    <row r="39" spans="3:5">
      <c r="C39" s="167">
        <v>0.15</v>
      </c>
      <c r="D39" s="28">
        <v>286744</v>
      </c>
      <c r="E39" s="114">
        <f t="shared" si="5"/>
        <v>337345.8823529412</v>
      </c>
    </row>
  </sheetData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14673-2F88-4774-8E08-4CC0F5E19116}">
  <dimension ref="A1:S41"/>
  <sheetViews>
    <sheetView tabSelected="1" workbookViewId="0">
      <selection activeCell="M10" sqref="M10"/>
    </sheetView>
  </sheetViews>
  <sheetFormatPr defaultRowHeight="15.75"/>
  <cols>
    <col min="1" max="6" width="9" style="327"/>
    <col min="7" max="7" width="20.3125" style="327" customWidth="1"/>
    <col min="8" max="12" width="9" style="327"/>
    <col min="13" max="19" width="16.8125" style="328" customWidth="1"/>
  </cols>
  <sheetData>
    <row r="1" spans="1:19">
      <c r="A1" s="329"/>
      <c r="B1" s="329"/>
      <c r="C1" s="329"/>
      <c r="D1" s="329"/>
      <c r="E1" s="329"/>
      <c r="F1" s="329"/>
      <c r="G1" s="330" t="s">
        <v>1958</v>
      </c>
      <c r="H1" s="330"/>
      <c r="I1" s="330"/>
      <c r="J1" s="330"/>
      <c r="K1" s="330"/>
      <c r="L1" s="330"/>
    </row>
    <row r="2" spans="1:19">
      <c r="A2" s="329"/>
      <c r="B2" s="329"/>
      <c r="C2" s="329"/>
      <c r="D2" s="329"/>
      <c r="E2" s="329"/>
      <c r="F2" s="329"/>
      <c r="G2" s="331"/>
      <c r="H2" s="331"/>
      <c r="I2" s="331"/>
      <c r="J2" s="331"/>
      <c r="K2" s="331"/>
      <c r="L2" s="331"/>
    </row>
    <row r="3" spans="1:19">
      <c r="A3" s="332"/>
      <c r="B3" s="332"/>
      <c r="C3" s="332"/>
      <c r="D3" s="332"/>
      <c r="E3" s="332"/>
      <c r="F3" s="332"/>
      <c r="G3" s="332"/>
      <c r="H3" s="332"/>
      <c r="I3" s="332"/>
      <c r="J3" s="332"/>
      <c r="K3" s="332"/>
      <c r="L3" s="332"/>
    </row>
    <row r="4" spans="1:19" ht="23.65">
      <c r="A4" s="333" t="s">
        <v>1959</v>
      </c>
      <c r="B4" s="333"/>
      <c r="C4" s="333"/>
      <c r="D4" s="333"/>
      <c r="E4" s="333"/>
      <c r="F4" s="333"/>
      <c r="G4" s="333"/>
      <c r="H4" s="333"/>
      <c r="I4" s="333"/>
      <c r="J4" s="333"/>
      <c r="K4" s="333"/>
      <c r="L4" s="333"/>
    </row>
    <row r="5" spans="1:19">
      <c r="A5" s="332"/>
      <c r="B5" s="332"/>
      <c r="C5" s="332"/>
      <c r="D5" s="332"/>
      <c r="E5" s="332"/>
      <c r="F5" s="332"/>
      <c r="G5" s="332"/>
      <c r="H5" s="332"/>
      <c r="I5" s="332"/>
      <c r="J5" s="332"/>
      <c r="K5" s="334" t="s">
        <v>1960</v>
      </c>
      <c r="L5" s="334"/>
    </row>
    <row r="6" spans="1:19" ht="27.75">
      <c r="A6" s="336" t="s">
        <v>1961</v>
      </c>
      <c r="B6" s="337"/>
      <c r="C6" s="338" t="s">
        <v>1962</v>
      </c>
      <c r="D6" s="396" t="str">
        <f>'WX26060-1'!B1</f>
        <v>WX26060-1</v>
      </c>
      <c r="E6" s="397"/>
      <c r="F6" s="336" t="s">
        <v>1963</v>
      </c>
      <c r="G6" s="337"/>
      <c r="H6" s="339" t="str">
        <f>E10</f>
        <v>QA</v>
      </c>
      <c r="I6" s="336" t="s">
        <v>1964</v>
      </c>
      <c r="J6" s="337"/>
      <c r="K6" s="401" t="s">
        <v>1965</v>
      </c>
      <c r="L6" s="402"/>
      <c r="M6" s="340" t="s">
        <v>1966</v>
      </c>
      <c r="N6" s="405" t="str">
        <f>'WX26060-1'!B1</f>
        <v>WX26060-1</v>
      </c>
      <c r="O6" s="341"/>
      <c r="P6" s="341"/>
      <c r="Q6" s="341"/>
      <c r="R6" s="341"/>
      <c r="S6" s="341"/>
    </row>
    <row r="7" spans="1:19" ht="16.149999999999999" thickBot="1">
      <c r="A7" s="342" t="s">
        <v>1967</v>
      </c>
      <c r="B7" s="343"/>
      <c r="C7" s="398" t="s">
        <v>1968</v>
      </c>
      <c r="D7" s="399"/>
      <c r="E7" s="400"/>
      <c r="F7" s="342" t="s">
        <v>1969</v>
      </c>
      <c r="G7" s="343"/>
      <c r="H7" s="403" t="s">
        <v>1970</v>
      </c>
      <c r="I7" s="404"/>
      <c r="J7" s="404"/>
      <c r="K7" s="404"/>
      <c r="L7" s="404"/>
      <c r="M7" s="341"/>
      <c r="N7" s="341"/>
      <c r="O7" s="341"/>
      <c r="P7" s="341"/>
      <c r="Q7" s="341"/>
      <c r="R7" s="341"/>
      <c r="S7" s="341"/>
    </row>
    <row r="8" spans="1:19" ht="16.149999999999999" thickTop="1">
      <c r="A8" s="346" t="s">
        <v>1971</v>
      </c>
      <c r="B8" s="349"/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1"/>
      <c r="N8" s="341"/>
      <c r="O8" s="341"/>
      <c r="P8" s="341"/>
      <c r="Q8" s="341"/>
      <c r="R8" s="341"/>
      <c r="S8" s="341"/>
    </row>
    <row r="9" spans="1:19" ht="55.5">
      <c r="A9" s="335" t="s">
        <v>1972</v>
      </c>
      <c r="B9" s="336" t="s">
        <v>1973</v>
      </c>
      <c r="C9" s="350"/>
      <c r="D9" s="337"/>
      <c r="E9" s="338" t="s">
        <v>1963</v>
      </c>
      <c r="F9" s="351" t="s">
        <v>1974</v>
      </c>
      <c r="G9" s="352" t="s">
        <v>1975</v>
      </c>
      <c r="H9" s="352" t="s">
        <v>1976</v>
      </c>
      <c r="I9" s="352" t="s">
        <v>1977</v>
      </c>
      <c r="J9" s="352" t="s">
        <v>1978</v>
      </c>
      <c r="K9" s="352" t="s">
        <v>1979</v>
      </c>
      <c r="L9" s="338" t="s">
        <v>1980</v>
      </c>
      <c r="M9" s="353" t="s">
        <v>1981</v>
      </c>
      <c r="N9" s="353" t="s">
        <v>1982</v>
      </c>
      <c r="O9" s="353" t="s">
        <v>1983</v>
      </c>
      <c r="P9" s="353" t="s">
        <v>1984</v>
      </c>
      <c r="Q9" s="353" t="s">
        <v>1985</v>
      </c>
      <c r="R9" s="353" t="s">
        <v>1986</v>
      </c>
      <c r="S9" s="354" t="s">
        <v>2004</v>
      </c>
    </row>
    <row r="10" spans="1:19" ht="28.9" customHeight="1">
      <c r="A10" s="355">
        <v>1</v>
      </c>
      <c r="B10" s="356" t="str">
        <f>'WX26060-1'!B1</f>
        <v>WX26060-1</v>
      </c>
      <c r="C10" s="358"/>
      <c r="D10" s="357"/>
      <c r="E10" s="359" t="s">
        <v>1987</v>
      </c>
      <c r="F10" s="359">
        <v>1</v>
      </c>
      <c r="G10" s="360" t="str">
        <f>"Φ"&amp;'WX26060-1'!C3&amp;"×"&amp;'WX26060-1'!H3&amp;"mm"</f>
        <v>Φ600×4mm</v>
      </c>
      <c r="H10" s="359" t="str">
        <f>'WX26060-1'!I1</f>
        <v>S30408</v>
      </c>
      <c r="I10" s="361">
        <f>ROUNDUP('WX26060-1'!J81/1000,1)*1000</f>
        <v>799.99999999999989</v>
      </c>
      <c r="J10" s="362"/>
      <c r="K10" s="363" t="str">
        <f>IF(J10=0,"",J10*F10)</f>
        <v/>
      </c>
      <c r="L10" s="364"/>
      <c r="M10" s="341">
        <f>'WX26060-1'!L100</f>
        <v>41134.32</v>
      </c>
      <c r="N10" s="341">
        <f>F10*(M10)</f>
        <v>41134.32</v>
      </c>
      <c r="O10" s="341"/>
      <c r="P10" s="341"/>
      <c r="Q10" s="341">
        <f>IFERROR(K10*0.06*1.25+K10*0.035,0)</f>
        <v>0</v>
      </c>
      <c r="R10" s="341">
        <v>0.85</v>
      </c>
      <c r="S10" s="341">
        <f>ROUND(N10/R10+Q10+O10,0)</f>
        <v>48393</v>
      </c>
    </row>
    <row r="11" spans="1:19">
      <c r="A11" s="355">
        <v>2</v>
      </c>
      <c r="B11" s="365" t="str">
        <f>'WX26060-2'!B1</f>
        <v>WX26060-2</v>
      </c>
      <c r="C11" s="367"/>
      <c r="D11" s="366"/>
      <c r="E11" s="359" t="s">
        <v>1987</v>
      </c>
      <c r="F11" s="359">
        <v>1</v>
      </c>
      <c r="G11" s="360" t="str">
        <f>"Φ"&amp;'WX26060-2'!C3&amp;"×"&amp;'WX26060-2'!H3&amp;"mm"</f>
        <v>Φ600×4mm</v>
      </c>
      <c r="H11" s="359" t="str">
        <f>'WX26060-2'!I1</f>
        <v>S30408</v>
      </c>
      <c r="I11" s="361">
        <f>ROUNDUP('WX26060-2'!J81/1000,1)*1000</f>
        <v>799.99999999999989</v>
      </c>
      <c r="J11" s="362"/>
      <c r="K11" s="363" t="str">
        <f>IF(J11=0,"",J11*F11)</f>
        <v/>
      </c>
      <c r="L11" s="364"/>
      <c r="M11" s="341">
        <f>'WX26060-2'!L100</f>
        <v>41134.32</v>
      </c>
      <c r="N11" s="341">
        <f>F11*(M11)</f>
        <v>41134.32</v>
      </c>
      <c r="O11" s="341"/>
      <c r="P11" s="341"/>
      <c r="Q11" s="341">
        <f>IFERROR(K11*0.06*1.25+K11*0.035,0)</f>
        <v>0</v>
      </c>
      <c r="R11" s="341">
        <v>0.88</v>
      </c>
      <c r="S11" s="341">
        <f>ROUND(N11/R11+Q11+O11,0)</f>
        <v>46744</v>
      </c>
    </row>
    <row r="12" spans="1:19">
      <c r="A12" s="355">
        <v>3</v>
      </c>
      <c r="B12" s="365"/>
      <c r="C12" s="367"/>
      <c r="D12" s="366"/>
      <c r="E12" s="359"/>
      <c r="F12" s="359"/>
      <c r="G12" s="360"/>
      <c r="H12" s="359"/>
      <c r="I12" s="361"/>
      <c r="J12" s="362"/>
      <c r="K12" s="363" t="str">
        <f>IF(J12=0,"",J12*F12)</f>
        <v/>
      </c>
      <c r="L12" s="364"/>
      <c r="M12" s="341"/>
      <c r="N12" s="341">
        <f>F12*(M12)</f>
        <v>0</v>
      </c>
      <c r="O12" s="341"/>
      <c r="P12" s="341"/>
      <c r="Q12" s="341">
        <f>IFERROR(K12*0.06*1.25+K12*0.035,0)</f>
        <v>0</v>
      </c>
      <c r="R12" s="341"/>
      <c r="S12" s="341">
        <f>ROUND(N12/0.85+Q12+O12,0)</f>
        <v>0</v>
      </c>
    </row>
    <row r="13" spans="1:19">
      <c r="A13" s="355">
        <v>4</v>
      </c>
      <c r="B13" s="365"/>
      <c r="C13" s="367"/>
      <c r="D13" s="366"/>
      <c r="E13" s="359"/>
      <c r="F13" s="359"/>
      <c r="G13" s="360"/>
      <c r="H13" s="359"/>
      <c r="I13" s="361"/>
      <c r="J13" s="362"/>
      <c r="K13" s="363" t="str">
        <f>IF(J13=0,"",J13*F13)</f>
        <v/>
      </c>
      <c r="L13" s="364"/>
      <c r="M13" s="341"/>
      <c r="N13" s="341">
        <f>F13*(M13)</f>
        <v>0</v>
      </c>
      <c r="O13" s="341"/>
      <c r="P13" s="341"/>
      <c r="Q13" s="341">
        <f>IFERROR(K13*0.06*1.25+K13*0.035,0)</f>
        <v>0</v>
      </c>
      <c r="R13" s="341"/>
      <c r="S13" s="341">
        <f>ROUND(N13/0.85+Q13+O13,0)</f>
        <v>0</v>
      </c>
    </row>
    <row r="14" spans="1:19">
      <c r="A14" s="355">
        <v>5</v>
      </c>
      <c r="B14" s="365"/>
      <c r="C14" s="367"/>
      <c r="D14" s="366"/>
      <c r="E14" s="359"/>
      <c r="F14" s="359"/>
      <c r="G14" s="360"/>
      <c r="H14" s="359"/>
      <c r="I14" s="361"/>
      <c r="J14" s="362"/>
      <c r="K14" s="363" t="str">
        <f>IF(J14=0,"",J14*F14)</f>
        <v/>
      </c>
      <c r="L14" s="364"/>
      <c r="M14" s="341"/>
      <c r="N14" s="341">
        <f>F14*(M14)</f>
        <v>0</v>
      </c>
      <c r="O14" s="341"/>
      <c r="P14" s="341"/>
      <c r="Q14" s="341">
        <f>IFERROR(K14*0.06*1.25+K14*0.035,0)</f>
        <v>0</v>
      </c>
      <c r="R14" s="341"/>
      <c r="S14" s="341">
        <f>ROUND(N14/0.85+Q14+O14,0)</f>
        <v>0</v>
      </c>
    </row>
    <row r="15" spans="1:19">
      <c r="A15" s="355">
        <v>6</v>
      </c>
      <c r="B15" s="365"/>
      <c r="C15" s="367"/>
      <c r="D15" s="366"/>
      <c r="E15" s="359"/>
      <c r="F15" s="359"/>
      <c r="G15" s="360"/>
      <c r="H15" s="359"/>
      <c r="I15" s="361"/>
      <c r="J15" s="362"/>
      <c r="K15" s="363" t="str">
        <f>IF(J15=0,"",J15*F15)</f>
        <v/>
      </c>
      <c r="L15" s="364"/>
      <c r="M15" s="341"/>
      <c r="N15" s="341">
        <f>F15*(M15)</f>
        <v>0</v>
      </c>
      <c r="O15" s="341"/>
      <c r="P15" s="341"/>
      <c r="Q15" s="341">
        <f>IFERROR(K15*0.06*1.25+K15*0.035,0)</f>
        <v>0</v>
      </c>
      <c r="R15" s="341"/>
      <c r="S15" s="341">
        <f>ROUND(N15/0.85+Q15+O15,0)</f>
        <v>0</v>
      </c>
    </row>
    <row r="16" spans="1:19">
      <c r="A16" s="355">
        <v>7</v>
      </c>
      <c r="B16" s="365"/>
      <c r="C16" s="367"/>
      <c r="D16" s="366"/>
      <c r="E16" s="359"/>
      <c r="F16" s="359"/>
      <c r="G16" s="360"/>
      <c r="H16" s="359"/>
      <c r="I16" s="361"/>
      <c r="J16" s="362"/>
      <c r="K16" s="363" t="str">
        <f>IF(J16=0,"",J16*F16)</f>
        <v/>
      </c>
      <c r="L16" s="364"/>
      <c r="M16" s="341"/>
      <c r="N16" s="341">
        <f>F16*(M16)</f>
        <v>0</v>
      </c>
      <c r="O16" s="341"/>
      <c r="P16" s="341"/>
      <c r="Q16" s="341">
        <f>IFERROR(K16*0.06*1.25+K16*0.035,0)</f>
        <v>0</v>
      </c>
      <c r="R16" s="341"/>
      <c r="S16" s="341">
        <f>ROUND(N16/0.85+Q16+O16,0)</f>
        <v>0</v>
      </c>
    </row>
    <row r="17" spans="1:19">
      <c r="A17" s="355">
        <v>8</v>
      </c>
      <c r="B17" s="365"/>
      <c r="C17" s="367"/>
      <c r="D17" s="366"/>
      <c r="E17" s="359"/>
      <c r="F17" s="359"/>
      <c r="G17" s="360"/>
      <c r="H17" s="359"/>
      <c r="I17" s="361"/>
      <c r="J17" s="362"/>
      <c r="K17" s="363" t="str">
        <f>IF(J17=0,"",J17*F17)</f>
        <v/>
      </c>
      <c r="L17" s="364"/>
      <c r="M17" s="341"/>
      <c r="N17" s="341">
        <f>F17*(M17)</f>
        <v>0</v>
      </c>
      <c r="O17" s="341"/>
      <c r="P17" s="341"/>
      <c r="Q17" s="341">
        <f>IFERROR(K17*0.06*1.25+K17*0.035,0)</f>
        <v>0</v>
      </c>
      <c r="R17" s="341"/>
      <c r="S17" s="341">
        <f>ROUND(N17/0.85+Q17+O17,0)</f>
        <v>0</v>
      </c>
    </row>
    <row r="18" spans="1:19">
      <c r="A18" s="355">
        <v>9</v>
      </c>
      <c r="B18" s="365"/>
      <c r="C18" s="367"/>
      <c r="D18" s="366"/>
      <c r="E18" s="359"/>
      <c r="F18" s="359"/>
      <c r="G18" s="360"/>
      <c r="H18" s="359"/>
      <c r="I18" s="361"/>
      <c r="J18" s="362"/>
      <c r="K18" s="363" t="str">
        <f>IF(J18=0,"",J18*F18)</f>
        <v/>
      </c>
      <c r="L18" s="364"/>
      <c r="M18" s="341"/>
      <c r="N18" s="341">
        <f>F18*(M18)</f>
        <v>0</v>
      </c>
      <c r="O18" s="341"/>
      <c r="P18" s="341"/>
      <c r="Q18" s="341">
        <f>IFERROR(K18*0.06*1.25+K18*0.035,0)</f>
        <v>0</v>
      </c>
      <c r="R18" s="341"/>
      <c r="S18" s="341">
        <f>ROUND(N18/0.85+Q18+O18,0)</f>
        <v>0</v>
      </c>
    </row>
    <row r="19" spans="1:19">
      <c r="A19" s="355">
        <v>10</v>
      </c>
      <c r="B19" s="365"/>
      <c r="C19" s="367"/>
      <c r="D19" s="366"/>
      <c r="E19" s="359"/>
      <c r="F19" s="359"/>
      <c r="G19" s="360"/>
      <c r="H19" s="359"/>
      <c r="I19" s="361"/>
      <c r="J19" s="362"/>
      <c r="K19" s="363" t="str">
        <f>IF(J19=0,"",J19*F19)</f>
        <v/>
      </c>
      <c r="L19" s="364"/>
      <c r="M19" s="341"/>
      <c r="N19" s="341">
        <f>F19*(M19)</f>
        <v>0</v>
      </c>
      <c r="O19" s="341"/>
      <c r="P19" s="341"/>
      <c r="Q19" s="341">
        <f>IFERROR(K19*0.06*1.25+K19*0.035,0)</f>
        <v>0</v>
      </c>
      <c r="R19" s="341"/>
      <c r="S19" s="341">
        <f>ROUND(N19/0.85+Q19+O19,0)</f>
        <v>0</v>
      </c>
    </row>
    <row r="20" spans="1:19">
      <c r="A20" s="355">
        <v>11</v>
      </c>
      <c r="B20" s="365"/>
      <c r="C20" s="367"/>
      <c r="D20" s="366"/>
      <c r="E20" s="359"/>
      <c r="F20" s="359"/>
      <c r="G20" s="360"/>
      <c r="H20" s="359"/>
      <c r="I20" s="361"/>
      <c r="J20" s="362"/>
      <c r="K20" s="363" t="str">
        <f>IF(J20=0,"",J20*F20)</f>
        <v/>
      </c>
      <c r="L20" s="364"/>
      <c r="M20" s="341"/>
      <c r="N20" s="341">
        <f>F20*(M20)</f>
        <v>0</v>
      </c>
      <c r="O20" s="341"/>
      <c r="P20" s="341"/>
      <c r="Q20" s="341">
        <f>IFERROR(K20*0.06*1.25+K20*0.035,0)</f>
        <v>0</v>
      </c>
      <c r="R20" s="341"/>
      <c r="S20" s="341">
        <f>ROUND(N20/0.85+Q20+O20,0)</f>
        <v>0</v>
      </c>
    </row>
    <row r="21" spans="1:19">
      <c r="A21" s="355">
        <v>12</v>
      </c>
      <c r="B21" s="365"/>
      <c r="C21" s="367"/>
      <c r="D21" s="366"/>
      <c r="E21" s="359"/>
      <c r="F21" s="359"/>
      <c r="G21" s="360"/>
      <c r="H21" s="359"/>
      <c r="I21" s="361"/>
      <c r="J21" s="362"/>
      <c r="K21" s="363"/>
      <c r="L21" s="364"/>
      <c r="M21" s="341"/>
      <c r="N21" s="341">
        <f>F21*M21</f>
        <v>0</v>
      </c>
      <c r="O21" s="341"/>
      <c r="P21" s="341"/>
      <c r="Q21" s="341"/>
      <c r="R21" s="341"/>
      <c r="S21" s="341">
        <f>ROUND(N21/0.88+Q21,0)</f>
        <v>0</v>
      </c>
    </row>
    <row r="22" spans="1:19">
      <c r="A22" s="355">
        <v>13</v>
      </c>
      <c r="B22" s="365"/>
      <c r="C22" s="367"/>
      <c r="D22" s="366"/>
      <c r="E22" s="359"/>
      <c r="F22" s="359"/>
      <c r="G22" s="360"/>
      <c r="H22" s="359"/>
      <c r="I22" s="361"/>
      <c r="J22" s="362"/>
      <c r="K22" s="363" t="str">
        <f>IF(J22=0,"",J22*F22)</f>
        <v/>
      </c>
      <c r="L22" s="364"/>
      <c r="M22" s="341"/>
      <c r="N22" s="341">
        <f>F22*M22</f>
        <v>0</v>
      </c>
      <c r="O22" s="341"/>
      <c r="P22" s="341"/>
      <c r="Q22" s="341"/>
      <c r="R22" s="341"/>
      <c r="S22" s="341">
        <f>ROUND(N22/0.88+Q22,0)</f>
        <v>0</v>
      </c>
    </row>
    <row r="23" spans="1:19">
      <c r="A23" s="355">
        <v>14</v>
      </c>
      <c r="B23" s="365"/>
      <c r="C23" s="367"/>
      <c r="D23" s="366"/>
      <c r="E23" s="359"/>
      <c r="F23" s="359"/>
      <c r="G23" s="360"/>
      <c r="H23" s="359"/>
      <c r="I23" s="361"/>
      <c r="J23" s="362"/>
      <c r="K23" s="363" t="str">
        <f>IF(J23=0,"",J23*F23)</f>
        <v/>
      </c>
      <c r="L23" s="364"/>
      <c r="M23" s="341"/>
      <c r="N23" s="341">
        <f>F23*M23</f>
        <v>0</v>
      </c>
      <c r="O23" s="341"/>
      <c r="P23" s="341"/>
      <c r="Q23" s="341"/>
      <c r="R23" s="341"/>
      <c r="S23" s="341">
        <f>ROUND(N23/0.88+Q23,0)</f>
        <v>0</v>
      </c>
    </row>
    <row r="24" spans="1:19">
      <c r="A24" s="355">
        <v>15</v>
      </c>
      <c r="B24" s="365"/>
      <c r="C24" s="367"/>
      <c r="D24" s="366"/>
      <c r="E24" s="359"/>
      <c r="F24" s="359"/>
      <c r="G24" s="360"/>
      <c r="H24" s="359"/>
      <c r="I24" s="361"/>
      <c r="J24" s="362"/>
      <c r="K24" s="363" t="str">
        <f>IF(J24=0,"",J24*F24)</f>
        <v/>
      </c>
      <c r="L24" s="364"/>
      <c r="M24" s="341"/>
      <c r="N24" s="341">
        <f>F24*M24</f>
        <v>0</v>
      </c>
      <c r="O24" s="341"/>
      <c r="P24" s="341"/>
      <c r="Q24" s="341"/>
      <c r="R24" s="341"/>
      <c r="S24" s="341">
        <f>ROUND(N24/0.88+Q24,0)</f>
        <v>0</v>
      </c>
    </row>
    <row r="25" spans="1:19">
      <c r="A25" s="355">
        <v>16</v>
      </c>
      <c r="B25" s="365"/>
      <c r="C25" s="367"/>
      <c r="D25" s="366"/>
      <c r="E25" s="359"/>
      <c r="F25" s="359"/>
      <c r="G25" s="360"/>
      <c r="H25" s="359"/>
      <c r="I25" s="361"/>
      <c r="J25" s="362"/>
      <c r="K25" s="363" t="str">
        <f>IF(J25=0,"",J25*F25)</f>
        <v/>
      </c>
      <c r="L25" s="364"/>
      <c r="M25" s="341"/>
      <c r="N25" s="341">
        <f>F25*M25</f>
        <v>0</v>
      </c>
      <c r="O25" s="341"/>
      <c r="P25" s="341"/>
      <c r="Q25" s="341"/>
      <c r="R25" s="341"/>
      <c r="S25" s="341">
        <f>ROUND(N25/0.88+Q25,0)</f>
        <v>0</v>
      </c>
    </row>
    <row r="26" spans="1:19" ht="16.5" thickBot="1">
      <c r="A26" s="368" t="s">
        <v>1988</v>
      </c>
      <c r="B26" s="369"/>
      <c r="C26" s="369"/>
      <c r="D26" s="369"/>
      <c r="E26" s="369"/>
      <c r="F26" s="370">
        <f>SUM(F10:F25)</f>
        <v>2</v>
      </c>
      <c r="G26" s="371"/>
      <c r="H26" s="371"/>
      <c r="I26" s="372"/>
      <c r="J26" s="373">
        <f>SUM(K10:K25)</f>
        <v>0</v>
      </c>
      <c r="K26" s="374"/>
      <c r="L26" s="375" t="s">
        <v>1989</v>
      </c>
      <c r="M26" s="341"/>
      <c r="N26" s="341">
        <f>SUM(N10:N25)</f>
        <v>82268.639999999999</v>
      </c>
      <c r="O26" s="341"/>
      <c r="P26" s="341"/>
      <c r="Q26" s="341">
        <f>SUM(Q10:Q25)</f>
        <v>0</v>
      </c>
      <c r="R26" s="341"/>
      <c r="S26" s="341"/>
    </row>
    <row r="27" spans="1:19" ht="16.149999999999999" thickTop="1">
      <c r="A27" s="347" t="s">
        <v>1990</v>
      </c>
      <c r="B27" s="348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1"/>
      <c r="N27" s="341"/>
      <c r="O27" s="341"/>
      <c r="P27" s="341"/>
      <c r="Q27" s="341"/>
      <c r="R27" s="341"/>
      <c r="S27" s="341"/>
    </row>
    <row r="28" spans="1:19" ht="16.149999999999999" thickBot="1">
      <c r="A28" s="344" t="s">
        <v>1583</v>
      </c>
      <c r="B28" s="345"/>
      <c r="C28" s="345"/>
      <c r="D28" s="345"/>
      <c r="E28" s="345"/>
      <c r="F28" s="345"/>
      <c r="G28" s="345"/>
      <c r="H28" s="345"/>
      <c r="I28" s="345"/>
      <c r="J28" s="345"/>
      <c r="K28" s="345"/>
      <c r="L28" s="345"/>
      <c r="M28" s="341"/>
      <c r="N28" s="341"/>
      <c r="O28" s="341"/>
      <c r="P28" s="341"/>
      <c r="Q28" s="341"/>
      <c r="R28" s="341"/>
      <c r="S28" s="341"/>
    </row>
    <row r="29" spans="1:19" ht="16.5" thickTop="1">
      <c r="A29" s="376" t="s">
        <v>1991</v>
      </c>
      <c r="B29" s="377"/>
      <c r="C29" s="377"/>
      <c r="D29" s="377"/>
      <c r="E29" s="377"/>
      <c r="F29" s="377"/>
      <c r="G29" s="377"/>
      <c r="H29" s="377"/>
      <c r="I29" s="377"/>
      <c r="J29" s="377"/>
      <c r="K29" s="377"/>
      <c r="L29" s="378"/>
    </row>
    <row r="30" spans="1:19" ht="16.149999999999999">
      <c r="A30" s="379" t="s">
        <v>1992</v>
      </c>
      <c r="B30" s="377"/>
      <c r="C30" s="377"/>
      <c r="D30" s="377"/>
      <c r="E30" s="395">
        <v>12</v>
      </c>
      <c r="F30" s="377" t="s">
        <v>1993</v>
      </c>
      <c r="G30" s="377" t="s">
        <v>1994</v>
      </c>
      <c r="H30" s="377"/>
      <c r="I30" s="377"/>
      <c r="J30" s="377"/>
      <c r="K30" s="377"/>
      <c r="L30" s="378"/>
    </row>
    <row r="31" spans="1:19" ht="16.149999999999999">
      <c r="A31" s="379" t="s">
        <v>1995</v>
      </c>
      <c r="B31" s="377"/>
      <c r="C31" s="377"/>
      <c r="D31" s="377"/>
      <c r="E31" s="380"/>
      <c r="F31" s="377"/>
      <c r="G31" s="377"/>
      <c r="H31" s="377"/>
      <c r="I31" s="377"/>
      <c r="J31" s="377"/>
      <c r="K31" s="377"/>
      <c r="L31" s="378"/>
    </row>
    <row r="32" spans="1:19" ht="16.149999999999999">
      <c r="A32" s="379" t="s">
        <v>1996</v>
      </c>
      <c r="B32" s="377"/>
      <c r="C32" s="377"/>
      <c r="D32" s="377"/>
      <c r="E32" s="377"/>
      <c r="F32" s="377"/>
      <c r="G32" s="377"/>
      <c r="H32" s="377"/>
      <c r="I32" s="377"/>
      <c r="J32" s="377"/>
      <c r="K32" s="377"/>
      <c r="L32" s="378"/>
    </row>
    <row r="33" spans="1:12" ht="16.149999999999999">
      <c r="A33" s="379" t="s">
        <v>1997</v>
      </c>
      <c r="B33" s="377"/>
      <c r="C33" s="377"/>
      <c r="D33" s="377"/>
      <c r="E33" s="377"/>
      <c r="F33" s="377"/>
      <c r="G33" s="377"/>
      <c r="H33" s="377"/>
      <c r="I33" s="377"/>
      <c r="J33" s="377"/>
      <c r="K33" s="377"/>
      <c r="L33" s="378"/>
    </row>
    <row r="34" spans="1:12" ht="16.149999999999999">
      <c r="A34" s="379" t="s">
        <v>1998</v>
      </c>
      <c r="B34" s="377"/>
      <c r="C34" s="377"/>
      <c r="D34" s="377"/>
      <c r="E34" s="377"/>
      <c r="F34" s="377"/>
      <c r="G34" s="377"/>
      <c r="H34" s="377"/>
      <c r="I34" s="377"/>
      <c r="J34" s="377"/>
      <c r="K34" s="377"/>
      <c r="L34" s="378"/>
    </row>
    <row r="35" spans="1:12" ht="16.149999999999999">
      <c r="A35" s="379" t="s">
        <v>1999</v>
      </c>
      <c r="B35" s="377"/>
      <c r="C35" s="377"/>
      <c r="D35" s="377"/>
      <c r="E35" s="377"/>
      <c r="F35" s="377"/>
      <c r="G35" s="377"/>
      <c r="H35" s="377"/>
      <c r="I35" s="377"/>
      <c r="J35" s="377"/>
      <c r="K35" s="377"/>
      <c r="L35" s="378"/>
    </row>
    <row r="36" spans="1:12" ht="16.149999999999999">
      <c r="A36" s="381" t="s">
        <v>2000</v>
      </c>
      <c r="B36" s="383"/>
      <c r="C36" s="382"/>
      <c r="D36" s="384" t="s">
        <v>2001</v>
      </c>
      <c r="E36" s="385"/>
      <c r="F36" s="385"/>
      <c r="G36" s="385"/>
      <c r="H36" s="381" t="s">
        <v>2002</v>
      </c>
      <c r="I36" s="382"/>
      <c r="J36" s="384"/>
      <c r="K36" s="385"/>
      <c r="L36" s="386"/>
    </row>
    <row r="41" spans="1:12">
      <c r="A41" s="387" t="s">
        <v>2003</v>
      </c>
      <c r="B41" s="387"/>
      <c r="C41" s="387"/>
      <c r="D41" s="387"/>
      <c r="E41" s="387"/>
      <c r="F41" s="387"/>
      <c r="G41" s="387"/>
      <c r="H41" s="387"/>
      <c r="I41" s="387"/>
      <c r="J41" s="387"/>
      <c r="K41" s="387"/>
      <c r="L41" s="387"/>
    </row>
  </sheetData>
  <mergeCells count="39">
    <mergeCell ref="A41:L41"/>
    <mergeCell ref="A27:L27"/>
    <mergeCell ref="A28:L28"/>
    <mergeCell ref="A36:C36"/>
    <mergeCell ref="D36:G36"/>
    <mergeCell ref="H36:I36"/>
    <mergeCell ref="J36:L36"/>
    <mergeCell ref="B22:D22"/>
    <mergeCell ref="B23:D23"/>
    <mergeCell ref="B24:D24"/>
    <mergeCell ref="B25:D25"/>
    <mergeCell ref="A26:E26"/>
    <mergeCell ref="J26:K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A7:B7"/>
    <mergeCell ref="C7:E7"/>
    <mergeCell ref="F7:G7"/>
    <mergeCell ref="H7:L7"/>
    <mergeCell ref="A8:L8"/>
    <mergeCell ref="B9:D9"/>
    <mergeCell ref="G1:L2"/>
    <mergeCell ref="A4:L4"/>
    <mergeCell ref="K5:L5"/>
    <mergeCell ref="A6:B6"/>
    <mergeCell ref="D6:E6"/>
    <mergeCell ref="F6:G6"/>
    <mergeCell ref="I6:J6"/>
    <mergeCell ref="K6:L6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CBF3E-BB57-4B03-8CD8-D1B8E1571162}">
  <dimension ref="A1:T161"/>
  <sheetViews>
    <sheetView workbookViewId="0">
      <selection activeCell="A2" sqref="A2:M2"/>
    </sheetView>
  </sheetViews>
  <sheetFormatPr defaultRowHeight="15.75"/>
  <cols>
    <col min="1" max="1" width="4.625" style="68" customWidth="1"/>
    <col min="2" max="2" width="10.5" style="68" bestFit="1" customWidth="1"/>
    <col min="3" max="3" width="9.5" style="68" bestFit="1" customWidth="1"/>
    <col min="4" max="4" width="10.5" style="68" bestFit="1" customWidth="1"/>
    <col min="5" max="5" width="9.25" style="68" customWidth="1"/>
    <col min="6" max="6" width="6.625" style="68" customWidth="1"/>
    <col min="7" max="7" width="8.875" style="68" customWidth="1"/>
    <col min="8" max="8" width="8.625" style="68" customWidth="1"/>
    <col min="9" max="9" width="7.875" style="68" customWidth="1"/>
    <col min="10" max="10" width="9.375" style="68" customWidth="1"/>
    <col min="11" max="12" width="10.625" style="68" customWidth="1"/>
    <col min="13" max="13" width="12" style="68" customWidth="1"/>
    <col min="14" max="14" width="11.625" style="68" bestFit="1" customWidth="1"/>
    <col min="15" max="15" width="33.75" style="134" customWidth="1"/>
    <col min="16" max="16" width="9" style="68" hidden="1" customWidth="1"/>
    <col min="17" max="18" width="5.5" style="68" hidden="1" customWidth="1"/>
    <col min="19" max="19" width="8.5" style="68" hidden="1" customWidth="1"/>
    <col min="20" max="20" width="2.5" style="68" hidden="1" customWidth="1"/>
    <col min="21" max="16384" width="9" style="68"/>
  </cols>
  <sheetData>
    <row r="1" spans="1:20" ht="27.75" customHeight="1">
      <c r="A1" s="107" t="s">
        <v>1586</v>
      </c>
      <c r="B1" s="195" t="s">
        <v>1957</v>
      </c>
      <c r="C1" s="196"/>
      <c r="D1" s="10" t="s">
        <v>1554</v>
      </c>
      <c r="E1" s="203" t="s">
        <v>1944</v>
      </c>
      <c r="F1" s="204"/>
      <c r="G1" s="203" t="s">
        <v>1569</v>
      </c>
      <c r="H1" s="203"/>
      <c r="I1" s="161" t="s">
        <v>1550</v>
      </c>
      <c r="J1" s="1" t="str">
        <f>IF(LEFT(I1,1)="S","不锈钢","碳钢")</f>
        <v>不锈钢</v>
      </c>
      <c r="K1" s="10" t="s">
        <v>1570</v>
      </c>
      <c r="L1" s="161" t="s">
        <v>1901</v>
      </c>
      <c r="M1" s="1" t="str">
        <f>IF(LEFT(L1,1)="S","不锈钢","碳钢")</f>
        <v>碳钢</v>
      </c>
    </row>
    <row r="2" spans="1:20" ht="20.100000000000001" customHeight="1">
      <c r="A2" s="211" t="s">
        <v>1555</v>
      </c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</row>
    <row r="3" spans="1:20" ht="18" customHeight="1">
      <c r="A3" s="208"/>
      <c r="B3" s="4" t="s">
        <v>1556</v>
      </c>
      <c r="C3" s="36">
        <v>600</v>
      </c>
      <c r="D3" s="4" t="s">
        <v>1558</v>
      </c>
      <c r="E3" s="36">
        <v>2750</v>
      </c>
      <c r="F3" s="209" t="s">
        <v>1559</v>
      </c>
      <c r="G3" s="209"/>
      <c r="H3" s="36">
        <v>4</v>
      </c>
      <c r="K3" s="4" t="s">
        <v>1563</v>
      </c>
      <c r="L3" s="36" t="s">
        <v>1924</v>
      </c>
      <c r="M3" s="113"/>
      <c r="N3" s="169"/>
    </row>
    <row r="4" spans="1:20" ht="18" customHeight="1">
      <c r="A4" s="204"/>
      <c r="B4" s="136" t="s">
        <v>1560</v>
      </c>
      <c r="C4" s="93"/>
      <c r="D4" s="136" t="s">
        <v>1557</v>
      </c>
      <c r="E4" s="93"/>
      <c r="F4" s="210" t="s">
        <v>1561</v>
      </c>
      <c r="G4" s="210"/>
      <c r="H4" s="93"/>
      <c r="K4" s="136" t="s">
        <v>1564</v>
      </c>
      <c r="L4" s="160" t="s">
        <v>1583</v>
      </c>
      <c r="M4" s="182"/>
      <c r="N4" s="169"/>
    </row>
    <row r="5" spans="1:20" ht="18" customHeight="1">
      <c r="A5" s="278"/>
      <c r="B5" s="279" t="s">
        <v>1879</v>
      </c>
      <c r="C5" s="280"/>
      <c r="D5" s="279" t="s">
        <v>1880</v>
      </c>
      <c r="E5" s="280"/>
      <c r="F5" s="279" t="s">
        <v>1881</v>
      </c>
      <c r="G5" s="279"/>
      <c r="H5" s="279" t="s">
        <v>1882</v>
      </c>
      <c r="I5" s="280"/>
      <c r="J5" s="279" t="s">
        <v>1883</v>
      </c>
      <c r="K5" s="279"/>
      <c r="L5" s="279" t="s">
        <v>1884</v>
      </c>
      <c r="M5" s="281"/>
      <c r="N5" s="169"/>
    </row>
    <row r="6" spans="1:20" ht="18" customHeight="1">
      <c r="A6" s="205" t="s">
        <v>1565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7"/>
      <c r="N6" s="169"/>
      <c r="P6" s="169" t="s">
        <v>1618</v>
      </c>
      <c r="Q6" s="68">
        <f>C3+100</f>
        <v>700</v>
      </c>
      <c r="R6" s="68">
        <f>Q6</f>
        <v>700</v>
      </c>
      <c r="T6" s="68">
        <f>IF((H3+2)&lt;6,H3+2,ROUNDUP((H3+2)/2,0)*2)</f>
        <v>6</v>
      </c>
    </row>
    <row r="7" spans="1:20" ht="18" customHeight="1">
      <c r="A7" s="202" t="s">
        <v>14</v>
      </c>
      <c r="B7" s="202" t="s">
        <v>1566</v>
      </c>
      <c r="C7" s="202" t="s">
        <v>1567</v>
      </c>
      <c r="D7" s="202" t="s">
        <v>1568</v>
      </c>
      <c r="E7" s="202" t="s">
        <v>1203</v>
      </c>
      <c r="F7" s="202"/>
      <c r="G7" s="202"/>
      <c r="H7" s="200" t="s">
        <v>1572</v>
      </c>
      <c r="I7" s="200" t="s">
        <v>116</v>
      </c>
      <c r="J7" s="200" t="s">
        <v>1494</v>
      </c>
      <c r="K7" s="200" t="s">
        <v>1191</v>
      </c>
      <c r="L7" s="200" t="s">
        <v>1192</v>
      </c>
      <c r="M7" s="200" t="s">
        <v>1573</v>
      </c>
      <c r="N7" s="169"/>
      <c r="P7" s="106" t="s">
        <v>1544</v>
      </c>
      <c r="Q7" s="106">
        <f>ROUNDUP(((C3*1.2+IF(C3&lt;2000,80,120))*1.1)/100,0)*100</f>
        <v>900</v>
      </c>
      <c r="R7" s="28">
        <f>Q7</f>
        <v>900</v>
      </c>
      <c r="T7" s="68">
        <f>H3</f>
        <v>4</v>
      </c>
    </row>
    <row r="8" spans="1:20" ht="18" customHeight="1">
      <c r="A8" s="202"/>
      <c r="B8" s="202"/>
      <c r="C8" s="202"/>
      <c r="D8" s="202"/>
      <c r="E8" s="172" t="s">
        <v>1708</v>
      </c>
      <c r="F8" s="170" t="s">
        <v>1584</v>
      </c>
      <c r="G8" s="170" t="s">
        <v>1571</v>
      </c>
      <c r="H8" s="201"/>
      <c r="I8" s="201"/>
      <c r="J8" s="201"/>
      <c r="K8" s="201"/>
      <c r="L8" s="201"/>
      <c r="M8" s="201"/>
      <c r="N8" s="169"/>
      <c r="P8" s="106" t="s">
        <v>1545</v>
      </c>
      <c r="Q8" s="106">
        <f>IF(C4=0,0,ROUNDUP(((C4*1.2+IF(C4&lt;2000,80,120))*1.1)/100,0)*100)</f>
        <v>0</v>
      </c>
      <c r="R8" s="28">
        <f>Q8</f>
        <v>0</v>
      </c>
      <c r="T8" s="68">
        <f>H4</f>
        <v>0</v>
      </c>
    </row>
    <row r="9" spans="1:20" ht="18" customHeight="1">
      <c r="A9" s="280">
        <v>1</v>
      </c>
      <c r="B9" s="280" t="s">
        <v>1894</v>
      </c>
      <c r="C9" s="280" t="s">
        <v>1550</v>
      </c>
      <c r="D9" s="280" t="s">
        <v>1914</v>
      </c>
      <c r="E9" s="280">
        <f>IF(B9="","",VLOOKUP(B9,$P$6:$T$17,2,FALSE))</f>
        <v>900</v>
      </c>
      <c r="F9" s="280">
        <f>IF(B9="","",VLOOKUP(B9,$P$6:$T$17,3,FALSE))</f>
        <v>900</v>
      </c>
      <c r="G9" s="280">
        <f>IF(B9="","",VLOOKUP(B9,$P$6:$T$17,5,FALSE))</f>
        <v>4</v>
      </c>
      <c r="H9" s="280">
        <v>15</v>
      </c>
      <c r="I9" s="280">
        <v>2</v>
      </c>
      <c r="J9" s="280">
        <f t="shared" ref="J9:J11" si="0">IF(H9="","",H9*I9)</f>
        <v>30</v>
      </c>
      <c r="K9" s="280">
        <f>IF(B9="","",VLOOKUP(C9,汇总!$J$4:$K$25,2,FALSE))</f>
        <v>17</v>
      </c>
      <c r="L9" s="280">
        <f>IF(K9="","",K9*J9+I9*350)</f>
        <v>1210</v>
      </c>
      <c r="M9" s="280" t="str">
        <f>IF(D9="管材",("Φ"&amp;C3&amp;"X"&amp;G9),"")</f>
        <v/>
      </c>
      <c r="N9" s="169" t="str">
        <f>IF(B9="","",IF(LEFT(C9,1)="S","不锈钢","碳钢"))&amp;D9</f>
        <v>不锈钢板材</v>
      </c>
      <c r="O9" s="184" t="s">
        <v>1930</v>
      </c>
      <c r="P9" s="106" t="s">
        <v>1546</v>
      </c>
      <c r="Q9" s="28">
        <f>ROUNDUP((C3*PI()+300)/100,0)*100</f>
        <v>2200</v>
      </c>
      <c r="R9" s="28">
        <f>E3</f>
        <v>2750</v>
      </c>
      <c r="S9" s="68" t="str">
        <f>"Φ"&amp;C3&amp;"X"&amp;T9</f>
        <v>Φ600X4</v>
      </c>
      <c r="T9" s="68">
        <f>H3</f>
        <v>4</v>
      </c>
    </row>
    <row r="10" spans="1:20" ht="18" customHeight="1">
      <c r="A10" s="280">
        <v>2</v>
      </c>
      <c r="B10" s="280" t="s">
        <v>1922</v>
      </c>
      <c r="C10" s="280" t="s">
        <v>1550</v>
      </c>
      <c r="D10" s="280" t="s">
        <v>1914</v>
      </c>
      <c r="E10" s="280">
        <f>IF(B10="","",VLOOKUP(B10,$P$6:$T$17,2,FALSE))</f>
        <v>2200</v>
      </c>
      <c r="F10" s="280">
        <f>IF(B10="","",VLOOKUP(B10,$P$6:$T$17,3,FALSE))</f>
        <v>2750</v>
      </c>
      <c r="G10" s="280">
        <f>IF(B10="","",VLOOKUP(B10,$P$6:$T$17,5,FALSE))</f>
        <v>4</v>
      </c>
      <c r="H10" s="280">
        <f t="shared" ref="H10" si="1">IF(B10="","",ROUNDUP(E10*F10*G10*IF(LEFT(C10,1)="S",8,7.85)/10^6,1))</f>
        <v>193.6</v>
      </c>
      <c r="I10" s="280">
        <v>1</v>
      </c>
      <c r="J10" s="280">
        <f t="shared" si="0"/>
        <v>193.6</v>
      </c>
      <c r="K10" s="280">
        <f>IF(B10="","",VLOOKUP(C10,汇总!$J$4:$K$25,2,FALSE))</f>
        <v>17</v>
      </c>
      <c r="L10" s="280">
        <f>IF(K10="","",K10*J10)</f>
        <v>3291.2</v>
      </c>
      <c r="M10" s="280"/>
      <c r="N10" s="169" t="str">
        <f>IF(B10="","",IF(LEFT(C10,1)="S","不锈钢","碳钢"))&amp;D10</f>
        <v>不锈钢板材</v>
      </c>
      <c r="O10" s="184" t="s">
        <v>1920</v>
      </c>
      <c r="P10" s="106" t="s">
        <v>1547</v>
      </c>
      <c r="Q10" s="28">
        <f>IF(C4=0,0,ROUNDUP((C4*PI()+300)/100,0)*100)</f>
        <v>0</v>
      </c>
      <c r="R10" s="28">
        <f>E4</f>
        <v>0</v>
      </c>
      <c r="S10" s="68" t="str">
        <f>"Φ"&amp;C4&amp;"X"&amp;T10</f>
        <v>ΦX0</v>
      </c>
      <c r="T10" s="68">
        <f>H4</f>
        <v>0</v>
      </c>
    </row>
    <row r="11" spans="1:20" ht="18" customHeight="1">
      <c r="A11" s="280">
        <v>3</v>
      </c>
      <c r="B11" s="280"/>
      <c r="C11" s="280" t="s">
        <v>1550</v>
      </c>
      <c r="D11" s="280" t="s">
        <v>1914</v>
      </c>
      <c r="E11" s="280" t="str">
        <f>IF(B11="","",VLOOKUP(B11,$P$6:$T$17,2,FALSE))</f>
        <v/>
      </c>
      <c r="F11" s="280" t="str">
        <f>IF(B11="","",VLOOKUP(B11,$P$6:$T$17,3,FALSE))</f>
        <v/>
      </c>
      <c r="G11" s="280" t="str">
        <f>IF(B11="","",VLOOKUP(B11,$P$6:$T$17,5,FALSE))</f>
        <v/>
      </c>
      <c r="H11" s="280" t="str">
        <f>IF(B11="","",ROUNDUP(E11*F11*G11*IF(LEFT(C11,1)="S",8,7.85)/10^6,1))</f>
        <v/>
      </c>
      <c r="I11" s="280"/>
      <c r="J11" s="280" t="str">
        <f t="shared" si="0"/>
        <v/>
      </c>
      <c r="K11" s="280" t="str">
        <f>IF(B11="","",VLOOKUP(C11,汇总!$J$4:$K$25,2,FALSE))</f>
        <v/>
      </c>
      <c r="L11" s="280" t="str">
        <f>IF(K11="","",K11*J11+I11*150)</f>
        <v/>
      </c>
      <c r="M11" s="280"/>
      <c r="N11" s="169" t="str">
        <f>IF(B11="","",IF(LEFT(C11,1)="S","不锈钢","碳钢"))&amp;D11</f>
        <v>板材</v>
      </c>
      <c r="O11" s="184"/>
      <c r="P11" s="106" t="s">
        <v>1548</v>
      </c>
      <c r="Q11" s="28">
        <f>C3</f>
        <v>600</v>
      </c>
      <c r="R11" s="28">
        <f>Q11*0.9</f>
        <v>540</v>
      </c>
      <c r="T11" s="68">
        <v>6</v>
      </c>
    </row>
    <row r="12" spans="1:20" ht="18" customHeight="1">
      <c r="A12" s="280">
        <v>4</v>
      </c>
      <c r="B12" s="280"/>
      <c r="C12" s="280" t="s">
        <v>1550</v>
      </c>
      <c r="D12" s="280" t="s">
        <v>1914</v>
      </c>
      <c r="E12" s="280" t="str">
        <f>IF(B12="","",VLOOKUP(B12,$P$6:$T$17,2,FALSE))</f>
        <v/>
      </c>
      <c r="F12" s="280" t="str">
        <f>IF(B12="","",VLOOKUP(B12,$P$6:$T$17,3,FALSE))</f>
        <v/>
      </c>
      <c r="G12" s="280" t="str">
        <f>IF(B12="","",VLOOKUP(B12,$P$6:$T$17,5,FALSE))</f>
        <v/>
      </c>
      <c r="H12" s="280" t="str">
        <f>IF(B12="","",ROUNDUP(E12*F12*G12*IF(LEFT(C12,1)="S",8,7.85)/10^6,1))</f>
        <v/>
      </c>
      <c r="I12" s="280"/>
      <c r="J12" s="280" t="str">
        <f>IF(H12="","",H12*I12)</f>
        <v/>
      </c>
      <c r="K12" s="280" t="str">
        <f>IF(B12="","",VLOOKUP(C12,汇总!$J$4:$K$25,2,FALSE))</f>
        <v/>
      </c>
      <c r="L12" s="280" t="str">
        <f>IF(K12="","",K12*J12)</f>
        <v/>
      </c>
      <c r="M12" s="280"/>
      <c r="N12" s="169" t="str">
        <f>IF(B12="","",IF(LEFT(C12,1)="S","不锈钢","碳钢"))&amp;D12</f>
        <v>板材</v>
      </c>
      <c r="O12" s="184"/>
      <c r="P12" s="106"/>
      <c r="Q12" s="28"/>
      <c r="R12" s="28"/>
    </row>
    <row r="13" spans="1:20" ht="18" customHeight="1">
      <c r="A13" s="280">
        <v>5</v>
      </c>
      <c r="B13" s="280"/>
      <c r="C13" s="280"/>
      <c r="D13" s="280"/>
      <c r="E13" s="280" t="str">
        <f>IF(B13="","",VLOOKUP(B13,$P$6:$T$17,2,FALSE))</f>
        <v/>
      </c>
      <c r="F13" s="280" t="str">
        <f>IF(B13="","",VLOOKUP(B13,$P$6:$T$17,3,FALSE))</f>
        <v/>
      </c>
      <c r="G13" s="280" t="str">
        <f>IF(B13="","",VLOOKUP(B13,$P$6:$T$17,5,FALSE))</f>
        <v/>
      </c>
      <c r="H13" s="280" t="str">
        <f>IF(B13="","",ROUNDUP(E13*F13*G13*IF(LEFT(C13,1)="S",8,7.85)/10^6,1))</f>
        <v/>
      </c>
      <c r="I13" s="280"/>
      <c r="J13" s="280" t="str">
        <f>IF(H13="","",H13*I13)</f>
        <v/>
      </c>
      <c r="K13" s="280" t="str">
        <f>IF(B13="","",VLOOKUP(C13,汇总!$J$4:$K$25,2,FALSE))</f>
        <v/>
      </c>
      <c r="L13" s="280" t="str">
        <f>IF(K13="","",K13*J13)</f>
        <v/>
      </c>
      <c r="M13" s="280"/>
      <c r="N13" s="169" t="str">
        <f>IF(B13="","",IF(LEFT(C13,1)="S","不锈钢","碳钢"))&amp;D13</f>
        <v/>
      </c>
      <c r="P13" s="169" t="s">
        <v>1885</v>
      </c>
      <c r="Q13" s="68">
        <f>E5</f>
        <v>0</v>
      </c>
      <c r="R13" s="68">
        <f>G5</f>
        <v>0</v>
      </c>
      <c r="T13" s="68">
        <f>M5</f>
        <v>0</v>
      </c>
    </row>
    <row r="14" spans="1:20" ht="18" customHeight="1">
      <c r="A14" s="280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169"/>
      <c r="P14" s="169"/>
    </row>
    <row r="15" spans="1:20" ht="18" customHeight="1">
      <c r="A15" s="173">
        <v>6</v>
      </c>
      <c r="B15" s="173"/>
      <c r="C15" s="173"/>
      <c r="D15" s="173"/>
      <c r="E15" s="173"/>
      <c r="F15" s="173"/>
      <c r="G15" s="173"/>
      <c r="H15" s="173"/>
      <c r="I15" s="173"/>
      <c r="J15" s="173">
        <f>SUM(J9:J13)</f>
        <v>223.6</v>
      </c>
      <c r="K15" s="173"/>
      <c r="L15" s="173">
        <f>SUM(L9:L13)</f>
        <v>4501.2</v>
      </c>
      <c r="M15" s="173"/>
      <c r="N15" s="169" t="str">
        <f t="shared" ref="N15:N67" si="2">IF(B15="","",IF(LEFT(C15,1)="S","不锈钢","碳钢"))</f>
        <v/>
      </c>
      <c r="P15" s="169" t="s">
        <v>1886</v>
      </c>
      <c r="Q15" s="68">
        <f>E5</f>
        <v>0</v>
      </c>
      <c r="R15" s="68">
        <f>G5</f>
        <v>0</v>
      </c>
      <c r="T15" s="68">
        <f>K5</f>
        <v>0</v>
      </c>
    </row>
    <row r="16" spans="1:20" ht="18" customHeight="1">
      <c r="A16" s="205" t="s">
        <v>1562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7"/>
      <c r="N16" s="169" t="str">
        <f t="shared" si="2"/>
        <v/>
      </c>
      <c r="P16" s="169" t="s">
        <v>1887</v>
      </c>
      <c r="Q16" s="68">
        <f>C5</f>
        <v>0</v>
      </c>
      <c r="R16" s="68">
        <f>E5</f>
        <v>0</v>
      </c>
      <c r="T16" s="68">
        <f>I5</f>
        <v>0</v>
      </c>
    </row>
    <row r="17" spans="1:20" ht="18" customHeight="1">
      <c r="A17" s="10" t="s">
        <v>14</v>
      </c>
      <c r="B17" s="10" t="s">
        <v>36</v>
      </c>
      <c r="C17" s="10" t="s">
        <v>1567</v>
      </c>
      <c r="D17" s="10" t="s">
        <v>85</v>
      </c>
      <c r="E17" s="10" t="s">
        <v>15</v>
      </c>
      <c r="F17" s="10" t="s">
        <v>1239</v>
      </c>
      <c r="G17" s="10" t="s">
        <v>16</v>
      </c>
      <c r="H17" s="10" t="s">
        <v>1572</v>
      </c>
      <c r="I17" s="10" t="s">
        <v>116</v>
      </c>
      <c r="J17" s="10" t="s">
        <v>1494</v>
      </c>
      <c r="K17" s="10" t="s">
        <v>1191</v>
      </c>
      <c r="L17" s="10" t="s">
        <v>1192</v>
      </c>
      <c r="M17" s="10" t="s">
        <v>1573</v>
      </c>
      <c r="N17" s="169"/>
      <c r="P17" s="169" t="s">
        <v>1888</v>
      </c>
      <c r="Q17" s="68">
        <f>C5</f>
        <v>0</v>
      </c>
      <c r="R17" s="68">
        <f>G5</f>
        <v>0</v>
      </c>
      <c r="T17" s="68">
        <f>I5</f>
        <v>0</v>
      </c>
    </row>
    <row r="18" spans="1:20" ht="18" customHeight="1">
      <c r="A18" s="1">
        <v>1</v>
      </c>
      <c r="B18" s="1">
        <f>IF(L3="无","",IF(C3="","",C3))</f>
        <v>600</v>
      </c>
      <c r="C18" s="1" t="s">
        <v>1915</v>
      </c>
      <c r="D18" s="1">
        <v>47023</v>
      </c>
      <c r="E18" s="10">
        <f>IF(B18="","",IF(B18="/","/",I112))</f>
        <v>760</v>
      </c>
      <c r="F18" s="1">
        <v>2.5</v>
      </c>
      <c r="G18" s="1">
        <f>IF(B18="","",J112+15)</f>
        <v>57</v>
      </c>
      <c r="H18" s="1">
        <f>IF(B18="","",ROUNDUP(IF(D18="其他",((B18+40)*PI()*G18*7.93*40/10^6),IF(D18=0,"",H112)),1))</f>
        <v>71.599999999999994</v>
      </c>
      <c r="I18" s="1">
        <v>2</v>
      </c>
      <c r="J18" s="1">
        <f>IF(B18="","",I18*H18)</f>
        <v>143.19999999999999</v>
      </c>
      <c r="K18" s="1">
        <f>IF(B18="","",IF(D18=47023,VLOOKUP(C18,汇总!$J$4:$L$25,3,FALSE)*1.2,VLOOKUP(C18,汇总!$J$4:$L$25,3,FALSE)))</f>
        <v>42</v>
      </c>
      <c r="L18" s="10">
        <f>IF(B18="","",ROUNDUP(K18*J18,2))</f>
        <v>6014.4</v>
      </c>
      <c r="M18" s="1"/>
      <c r="N18" s="169" t="str">
        <f>IF(B18="","",IF(LEFT(C18,1)="S","不锈钢","碳钢"))</f>
        <v>不锈钢</v>
      </c>
      <c r="O18" s="184" t="s">
        <v>1935</v>
      </c>
      <c r="P18" s="169"/>
    </row>
    <row r="19" spans="1:20" ht="18" customHeight="1">
      <c r="A19" s="1">
        <v>2</v>
      </c>
      <c r="B19" s="1" t="str">
        <f>IF(L4="无","",IF(C4="","",C4))</f>
        <v/>
      </c>
      <c r="C19" s="1"/>
      <c r="D19" s="1"/>
      <c r="E19" s="10" t="str">
        <f>IF(B19="","",IF(B19="/","/",I113))</f>
        <v/>
      </c>
      <c r="F19" s="1"/>
      <c r="G19" s="1" t="str">
        <f>IF(B19="","",J113+5)</f>
        <v/>
      </c>
      <c r="H19" s="1" t="str">
        <f>IF(B19="","",ROUNDUP(IF(D19="其他",((B19+40)*PI()*G19*7.93*40/10^6),IF(D19=0,"",H113)),1))</f>
        <v/>
      </c>
      <c r="I19" s="1"/>
      <c r="J19" s="1" t="str">
        <f>IF(B19="","",I19*H19)</f>
        <v/>
      </c>
      <c r="K19" s="1" t="str">
        <f>IF(B19="","",IF(D19=47023,VLOOKUP(C19,汇总!$J$4:$L$25,3,FALSE)*1.2,VLOOKUP(C19,汇总!$J$4:$L$25,3,FALSE)))</f>
        <v/>
      </c>
      <c r="L19" s="10" t="str">
        <f>IF(B19="","",ROUNDUP(K19*J19,2))</f>
        <v/>
      </c>
      <c r="M19" s="1"/>
      <c r="N19" s="169" t="str">
        <f t="shared" si="2"/>
        <v/>
      </c>
      <c r="P19" s="169"/>
    </row>
    <row r="20" spans="1:20" ht="18" customHeight="1">
      <c r="A20" s="1">
        <v>3</v>
      </c>
      <c r="B20" s="1"/>
      <c r="C20" s="1"/>
      <c r="D20" s="1"/>
      <c r="E20" s="10" t="str">
        <f>IF(B20="","",IF(B20="/","/",I114))</f>
        <v/>
      </c>
      <c r="F20" s="1"/>
      <c r="G20" s="1" t="str">
        <f>IF(B20="","",J114+5)</f>
        <v/>
      </c>
      <c r="H20" s="1" t="str">
        <f>IF(B20="","",ROUNDUP(IF(D20="其他",((B20+40)*PI()*G20*7.93*40/10^6),IF(D20=0,"",H114)),1))</f>
        <v/>
      </c>
      <c r="I20" s="1"/>
      <c r="J20" s="1" t="str">
        <f>IF(B20="","",I20*H20)</f>
        <v/>
      </c>
      <c r="K20" s="1" t="str">
        <f>IF(B20="","",IF(D20=47023,VLOOKUP(C20,汇总!$J$4:$L$25,3,FALSE)*1.2,VLOOKUP(C20,汇总!$J$4:$L$25,3,FALSE)))</f>
        <v/>
      </c>
      <c r="L20" s="10" t="str">
        <f>IF(B20="","",ROUNDUP(K20*J20,2))</f>
        <v/>
      </c>
      <c r="M20" s="1"/>
      <c r="N20" s="169" t="str">
        <f t="shared" si="2"/>
        <v/>
      </c>
    </row>
    <row r="21" spans="1:20" ht="18" customHeight="1">
      <c r="A21" s="173"/>
      <c r="B21" s="173"/>
      <c r="C21" s="173"/>
      <c r="D21" s="173"/>
      <c r="E21" s="302" t="str">
        <f>IF(D21=0,"",IF(D21=47023,"WN","PL"))</f>
        <v/>
      </c>
      <c r="F21" s="173"/>
      <c r="G21" s="173"/>
      <c r="H21" s="173"/>
      <c r="I21" s="173"/>
      <c r="J21" s="173">
        <f>SUM(J18:J20)</f>
        <v>143.19999999999999</v>
      </c>
      <c r="K21" s="173"/>
      <c r="L21" s="173">
        <f>SUM(L18:L20)</f>
        <v>6014.4</v>
      </c>
      <c r="M21" s="173"/>
      <c r="N21" s="169" t="str">
        <f t="shared" si="2"/>
        <v/>
      </c>
    </row>
    <row r="22" spans="1:20" ht="18" customHeight="1">
      <c r="A22" s="205" t="s">
        <v>1613</v>
      </c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7"/>
      <c r="N22" s="169" t="str">
        <f t="shared" si="2"/>
        <v/>
      </c>
    </row>
    <row r="23" spans="1:20" ht="31.5" customHeight="1">
      <c r="A23" s="279" t="s">
        <v>14</v>
      </c>
      <c r="B23" s="279" t="s">
        <v>36</v>
      </c>
      <c r="C23" s="279" t="s">
        <v>1567</v>
      </c>
      <c r="D23" s="279" t="s">
        <v>85</v>
      </c>
      <c r="E23" s="279" t="s">
        <v>1574</v>
      </c>
      <c r="F23" s="298" t="s">
        <v>1239</v>
      </c>
      <c r="G23" s="298" t="s">
        <v>1585</v>
      </c>
      <c r="H23" s="279" t="s">
        <v>1572</v>
      </c>
      <c r="I23" s="279" t="s">
        <v>116</v>
      </c>
      <c r="J23" s="279" t="s">
        <v>1494</v>
      </c>
      <c r="K23" s="279" t="s">
        <v>1191</v>
      </c>
      <c r="L23" s="279" t="s">
        <v>1192</v>
      </c>
      <c r="M23" s="279" t="s">
        <v>1573</v>
      </c>
      <c r="N23" s="169"/>
    </row>
    <row r="24" spans="1:20" ht="18" customHeight="1">
      <c r="A24" s="279">
        <f>ROW()-20</f>
        <v>4</v>
      </c>
      <c r="B24" s="280">
        <v>250</v>
      </c>
      <c r="C24" s="280" t="s">
        <v>1915</v>
      </c>
      <c r="D24" s="280" t="s">
        <v>1264</v>
      </c>
      <c r="E24" s="280" t="s">
        <v>1916</v>
      </c>
      <c r="F24" s="280" t="s">
        <v>1917</v>
      </c>
      <c r="G24" s="280">
        <f>IF(B24="","",IF(D24="HG20615",VLOOKUP(B24,$E$121:$H$140,2),VLOOKUP(B24,$E$121:$H$140,4)))</f>
        <v>273</v>
      </c>
      <c r="H24" s="280">
        <f>IF(B24="","",flangwt1(D24,B24,VLOOKUP(F24,$B$118:$C$128,2,FALSE),E24))</f>
        <v>24.5</v>
      </c>
      <c r="I24" s="280">
        <v>2</v>
      </c>
      <c r="J24" s="280">
        <f>IF(B24="","",H24*I24)</f>
        <v>49</v>
      </c>
      <c r="K24" s="280">
        <f>_xlfn.IFS(B24="","",E24="PL",VLOOKUP(C24,汇总!$J$4:$K$25,2,FALSE),E24="SO",VLOOKUP(C24,汇总!$J$4:$K$25,2,FALSE)*1.1,E24="WN",VLOOKUP(C24,汇总!$J$4:$K$25,2,FALSE)*1.2,E24="BL",VLOOKUP(C24,汇总!$J$4:$K$25,2,FALSE))</f>
        <v>42</v>
      </c>
      <c r="L24" s="280">
        <f>IF(K24="","",K24*J24)</f>
        <v>2058</v>
      </c>
      <c r="M24" s="280" t="s">
        <v>1188</v>
      </c>
      <c r="N24" s="169" t="str">
        <f>IF(B24="","",IF(LEFT(C24,1)="S","不锈钢","碳钢"))</f>
        <v>不锈钢</v>
      </c>
      <c r="O24" s="184" t="s">
        <v>1936</v>
      </c>
    </row>
    <row r="25" spans="1:20" ht="28.5" customHeight="1">
      <c r="A25" s="279">
        <f t="shared" ref="A25:A32" si="3">ROW()-20</f>
        <v>5</v>
      </c>
      <c r="B25" s="280">
        <v>50</v>
      </c>
      <c r="C25" s="280" t="s">
        <v>1915</v>
      </c>
      <c r="D25" s="280" t="s">
        <v>1264</v>
      </c>
      <c r="E25" s="280" t="s">
        <v>1916</v>
      </c>
      <c r="F25" s="280" t="s">
        <v>1917</v>
      </c>
      <c r="G25" s="280">
        <f>IF(B25="","",IF(D25="HG20615",VLOOKUP(B25,$E$121:$H$140,2),VLOOKUP(B25,$E$121:$H$140,4)))</f>
        <v>60.3</v>
      </c>
      <c r="H25" s="280">
        <f>IF(B25="","",flangwt1(D25,B25,VLOOKUP(F25,$B$118:$C$128,2,FALSE),E25))</f>
        <v>2.72</v>
      </c>
      <c r="I25" s="280">
        <v>4</v>
      </c>
      <c r="J25" s="280">
        <f t="shared" ref="J25:J32" si="4">IF(B25="","",H25*I25)</f>
        <v>10.88</v>
      </c>
      <c r="K25" s="280">
        <f>_xlfn.IFS(B25="","",E25="PL",VLOOKUP(C25,汇总!$J$4:$K$25,2,FALSE),E25="SO",VLOOKUP(C25,汇总!$J$4:$K$25,2,FALSE)*1.1,E25="WN",VLOOKUP(C25,汇总!$J$4:$K$25,2,FALSE)*1.2,E25="BL",VLOOKUP(C25,汇总!$J$4:$K$25,2,FALSE))</f>
        <v>42</v>
      </c>
      <c r="L25" s="280">
        <f t="shared" ref="L25:L32" si="5">IF(K25="","",K25*J25)</f>
        <v>456.96000000000004</v>
      </c>
      <c r="M25" s="280" t="s">
        <v>1188</v>
      </c>
      <c r="N25" s="169" t="str">
        <f t="shared" ref="N25:N33" si="6">IF(B25="","",IF(LEFT(C25,1)="S","不锈钢","碳钢"))</f>
        <v>不锈钢</v>
      </c>
      <c r="O25" s="184" t="s">
        <v>1943</v>
      </c>
    </row>
    <row r="26" spans="1:20" ht="18" customHeight="1">
      <c r="A26" s="279">
        <f t="shared" si="3"/>
        <v>6</v>
      </c>
      <c r="B26" s="280">
        <v>25</v>
      </c>
      <c r="C26" s="280" t="s">
        <v>1915</v>
      </c>
      <c r="D26" s="280" t="s">
        <v>1264</v>
      </c>
      <c r="E26" s="280" t="s">
        <v>1916</v>
      </c>
      <c r="F26" s="280" t="s">
        <v>1917</v>
      </c>
      <c r="G26" s="280">
        <f>IF(B26="","",IF(D26="HG20615",VLOOKUP(B26,$E$121:$H$140,2),VLOOKUP(B26,$E$121:$H$140,4)))</f>
        <v>33.700000000000003</v>
      </c>
      <c r="H26" s="280">
        <f>IF(B26="","",flangwt1(D26,B26,VLOOKUP(F26,$B$118:$C$128,2,FALSE),E26))</f>
        <v>1.1399999999999999</v>
      </c>
      <c r="I26" s="280">
        <v>1</v>
      </c>
      <c r="J26" s="280">
        <f t="shared" si="4"/>
        <v>1.1399999999999999</v>
      </c>
      <c r="K26" s="280">
        <f>_xlfn.IFS(B26="","",E26="PL",VLOOKUP(C26,汇总!$J$4:$K$25,2,FALSE),E26="SO",VLOOKUP(C26,汇总!$J$4:$K$25,2,FALSE)*1.1,E26="WN",VLOOKUP(C26,汇总!$J$4:$K$25,2,FALSE)*1.2,E26="BL",VLOOKUP(C26,汇总!$J$4:$K$25,2,FALSE))</f>
        <v>42</v>
      </c>
      <c r="L26" s="280">
        <f t="shared" si="5"/>
        <v>47.879999999999995</v>
      </c>
      <c r="M26" s="280" t="s">
        <v>1188</v>
      </c>
      <c r="N26" s="169" t="str">
        <f t="shared" si="6"/>
        <v>不锈钢</v>
      </c>
      <c r="O26" s="184" t="s">
        <v>1937</v>
      </c>
    </row>
    <row r="27" spans="1:20" ht="29.25" customHeight="1">
      <c r="A27" s="279">
        <f t="shared" si="3"/>
        <v>7</v>
      </c>
      <c r="B27" s="280"/>
      <c r="C27" s="280" t="s">
        <v>1915</v>
      </c>
      <c r="D27" s="280" t="s">
        <v>1264</v>
      </c>
      <c r="E27" s="280" t="s">
        <v>1916</v>
      </c>
      <c r="F27" s="280" t="s">
        <v>1917</v>
      </c>
      <c r="G27" s="280" t="str">
        <f>IF(B27="","",IF(D27="HG20615",VLOOKUP(B27,$E$121:$H$140,2),VLOOKUP(B27,$E$121:$H$140,4)))</f>
        <v/>
      </c>
      <c r="H27" s="280" t="str">
        <f>IF(B27="","",flangwt1(D27,B27,VLOOKUP(F27,$B$118:$C$128,2,FALSE),E27))</f>
        <v/>
      </c>
      <c r="I27" s="280"/>
      <c r="J27" s="280" t="str">
        <f t="shared" si="4"/>
        <v/>
      </c>
      <c r="K27" s="280" t="str">
        <f>_xlfn.IFS(B27="","",E27="PL",VLOOKUP(C27,汇总!$J$4:$K$25,2,FALSE),E27="SO",VLOOKUP(C27,汇总!$J$4:$K$25,2,FALSE)*1.1,E27="WN",VLOOKUP(C27,汇总!$J$4:$K$25,2,FALSE)*1.2,E27="BL",VLOOKUP(C27,汇总!$J$4:$K$25,2,FALSE))</f>
        <v/>
      </c>
      <c r="L27" s="280" t="str">
        <f t="shared" si="5"/>
        <v/>
      </c>
      <c r="M27" s="280" t="s">
        <v>1188</v>
      </c>
      <c r="N27" s="169" t="str">
        <f t="shared" si="6"/>
        <v/>
      </c>
      <c r="O27" s="184"/>
    </row>
    <row r="28" spans="1:20" ht="18" customHeight="1">
      <c r="A28" s="279">
        <f t="shared" si="3"/>
        <v>8</v>
      </c>
      <c r="B28" s="280"/>
      <c r="C28" s="280" t="s">
        <v>1915</v>
      </c>
      <c r="D28" s="280" t="s">
        <v>1264</v>
      </c>
      <c r="E28" s="280" t="s">
        <v>1916</v>
      </c>
      <c r="F28" s="280" t="s">
        <v>1921</v>
      </c>
      <c r="G28" s="280" t="str">
        <f>IF(B28="","",IF(D28="HG20615",VLOOKUP(B28,$E$121:$H$140,2),VLOOKUP(B28,$E$121:$H$140,4)))</f>
        <v/>
      </c>
      <c r="H28" s="280">
        <v>15</v>
      </c>
      <c r="I28" s="280"/>
      <c r="J28" s="280" t="str">
        <f t="shared" si="4"/>
        <v/>
      </c>
      <c r="K28" s="280" t="str">
        <f>_xlfn.IFS(B28="","",E28="PL",VLOOKUP(C28,汇总!$J$4:$K$25,2,FALSE),E28="SO",VLOOKUP(C28,汇总!$J$4:$K$25,2,FALSE)*1.1,E28="WN",VLOOKUP(C28,汇总!$J$4:$K$25,2,FALSE)*1.2,E28="BL",VLOOKUP(C28,汇总!$J$4:$K$25,2,FALSE))</f>
        <v/>
      </c>
      <c r="L28" s="280" t="str">
        <f t="shared" si="5"/>
        <v/>
      </c>
      <c r="M28" s="280" t="s">
        <v>1188</v>
      </c>
      <c r="N28" s="169" t="str">
        <f t="shared" si="6"/>
        <v/>
      </c>
      <c r="O28" s="184"/>
    </row>
    <row r="29" spans="1:20" ht="18" customHeight="1">
      <c r="A29" s="279">
        <f t="shared" si="3"/>
        <v>9</v>
      </c>
      <c r="B29" s="280"/>
      <c r="C29" s="280" t="s">
        <v>1915</v>
      </c>
      <c r="D29" s="280" t="s">
        <v>1264</v>
      </c>
      <c r="E29" s="280" t="s">
        <v>1916</v>
      </c>
      <c r="F29" s="280" t="s">
        <v>1917</v>
      </c>
      <c r="G29" s="280" t="str">
        <f>IF(B29="","",IF(D29="HG20615",VLOOKUP(B29,$E$121:$H$140,2),VLOOKUP(B29,$E$121:$H$140,4)))</f>
        <v/>
      </c>
      <c r="H29" s="280" t="str">
        <f>IF(B29="","",flangwt1(D29,B29,VLOOKUP(F29,$B$118:$C$128,2,FALSE),E29))</f>
        <v/>
      </c>
      <c r="I29" s="280"/>
      <c r="J29" s="280" t="str">
        <f t="shared" si="4"/>
        <v/>
      </c>
      <c r="K29" s="280" t="str">
        <f>_xlfn.IFS(B29="","",E29="PL",VLOOKUP(C29,汇总!$J$4:$K$25,2,FALSE),E29="SO",VLOOKUP(C29,汇总!$J$4:$K$25,2,FALSE)*1.1,E29="WN",VLOOKUP(C29,汇总!$J$4:$K$25,2,FALSE)*1.2)</f>
        <v/>
      </c>
      <c r="L29" s="280" t="str">
        <f t="shared" si="5"/>
        <v/>
      </c>
      <c r="M29" s="280" t="s">
        <v>1188</v>
      </c>
      <c r="N29" s="169" t="str">
        <f t="shared" si="6"/>
        <v/>
      </c>
      <c r="O29" s="184"/>
    </row>
    <row r="30" spans="1:20" ht="18" customHeight="1">
      <c r="A30" s="279">
        <f t="shared" si="3"/>
        <v>10</v>
      </c>
      <c r="B30" s="280"/>
      <c r="C30" s="280" t="s">
        <v>1915</v>
      </c>
      <c r="D30" s="280" t="s">
        <v>1264</v>
      </c>
      <c r="E30" s="280" t="s">
        <v>1916</v>
      </c>
      <c r="F30" s="280" t="s">
        <v>1917</v>
      </c>
      <c r="G30" s="280" t="str">
        <f>IF(B30="","",IF(D30="HG20615",VLOOKUP(B30,$E$121:$H$140,2),VLOOKUP(B30,$E$121:$H$140,4)))</f>
        <v/>
      </c>
      <c r="H30" s="280" t="str">
        <f>IF(B30="","",flangwt1(D30,B30,VLOOKUP(F30,$B$118:$C$128,2,FALSE),E30))</f>
        <v/>
      </c>
      <c r="I30" s="280"/>
      <c r="J30" s="280" t="str">
        <f t="shared" si="4"/>
        <v/>
      </c>
      <c r="K30" s="280" t="str">
        <f>_xlfn.IFS(B30="","",E30="PL",VLOOKUP(C30,汇总!$J$4:$K$25,2,FALSE),E30="SO",VLOOKUP(C30,汇总!$J$4:$K$25,2,FALSE)*1.1,E30="WN",VLOOKUP(C30,汇总!$J$4:$K$25,2,FALSE)*1.2)</f>
        <v/>
      </c>
      <c r="L30" s="280" t="str">
        <f t="shared" si="5"/>
        <v/>
      </c>
      <c r="M30" s="280" t="s">
        <v>1188</v>
      </c>
      <c r="N30" s="169" t="str">
        <f t="shared" si="6"/>
        <v/>
      </c>
      <c r="O30" s="184"/>
    </row>
    <row r="31" spans="1:20" ht="18" customHeight="1">
      <c r="A31" s="279">
        <f t="shared" si="3"/>
        <v>11</v>
      </c>
      <c r="B31" s="280"/>
      <c r="C31" s="280"/>
      <c r="D31" s="280"/>
      <c r="E31" s="280"/>
      <c r="F31" s="280"/>
      <c r="G31" s="280" t="str">
        <f>IF(B31="","",IF(D31="HG20615",VLOOKUP(B31,$E$121:$H$140,2),VLOOKUP(B31,$E$121:$H$140,4)))</f>
        <v/>
      </c>
      <c r="H31" s="280" t="str">
        <f>IF(B31="","",flangwt1(D31,B31,VLOOKUP(F31,$B$118:$C$128,2,FALSE),E31))</f>
        <v/>
      </c>
      <c r="I31" s="280"/>
      <c r="J31" s="280" t="str">
        <f t="shared" si="4"/>
        <v/>
      </c>
      <c r="K31" s="280" t="str">
        <f>_xlfn.IFS(B31="","",E31="PL",VLOOKUP(C31,汇总!$J$4:$K$25,2,FALSE),E31="SO",VLOOKUP(C31,汇总!$J$4:$K$25,2,FALSE)*1.1,E31="WN",VLOOKUP(C31,汇总!$J$4:$K$25,2,FALSE)*1.2)</f>
        <v/>
      </c>
      <c r="L31" s="280" t="str">
        <f t="shared" si="5"/>
        <v/>
      </c>
      <c r="M31" s="280"/>
      <c r="N31" s="169" t="str">
        <f t="shared" si="6"/>
        <v/>
      </c>
    </row>
    <row r="32" spans="1:20" ht="18" customHeight="1">
      <c r="A32" s="279">
        <f t="shared" si="3"/>
        <v>12</v>
      </c>
      <c r="B32" s="280"/>
      <c r="C32" s="280"/>
      <c r="D32" s="280"/>
      <c r="E32" s="280"/>
      <c r="F32" s="280"/>
      <c r="G32" s="280" t="str">
        <f>IF(B32="","",IF(D32="HG20615",VLOOKUP(B32,$E$121:$H$140,2),VLOOKUP(B32,$E$121:$H$140,4)))</f>
        <v/>
      </c>
      <c r="H32" s="280" t="str">
        <f>IF(B32="","",flangwt1(D32,B32,VLOOKUP(F32,$B$118:$C$128,2,FALSE),E32))</f>
        <v/>
      </c>
      <c r="I32" s="280"/>
      <c r="J32" s="280" t="str">
        <f t="shared" si="4"/>
        <v/>
      </c>
      <c r="K32" s="280" t="str">
        <f>_xlfn.IFS(B32="","",E32="PL",VLOOKUP(C32,汇总!$J$4:$K$25,2,FALSE),E32="SO",VLOOKUP(C32,汇总!$J$4:$K$25,2,FALSE)*1.1,E32="WN",VLOOKUP(C32,汇总!$J$4:$K$25,2,FALSE)*1.2)</f>
        <v/>
      </c>
      <c r="L32" s="280" t="str">
        <f t="shared" si="5"/>
        <v/>
      </c>
      <c r="M32" s="280"/>
      <c r="N32" s="169" t="str">
        <f t="shared" si="6"/>
        <v/>
      </c>
    </row>
    <row r="33" spans="1:15" ht="18" customHeight="1">
      <c r="A33" s="302"/>
      <c r="B33" s="173"/>
      <c r="C33" s="173"/>
      <c r="D33" s="173"/>
      <c r="E33" s="173"/>
      <c r="F33" s="173"/>
      <c r="G33" s="173"/>
      <c r="H33" s="173"/>
      <c r="I33" s="173"/>
      <c r="J33" s="173">
        <f>SUM(J24:J32)</f>
        <v>61.02</v>
      </c>
      <c r="K33" s="173"/>
      <c r="L33" s="173">
        <f>SUM(L24:L32)</f>
        <v>2562.84</v>
      </c>
      <c r="M33" s="173"/>
      <c r="N33" s="169" t="str">
        <f t="shared" si="6"/>
        <v/>
      </c>
    </row>
    <row r="34" spans="1:15" ht="18" customHeight="1">
      <c r="A34" s="171" t="s">
        <v>1193</v>
      </c>
      <c r="B34" s="171" t="s">
        <v>15</v>
      </c>
      <c r="C34" s="171" t="s">
        <v>1567</v>
      </c>
      <c r="D34" s="171" t="s">
        <v>1190</v>
      </c>
      <c r="E34" s="171" t="s">
        <v>16</v>
      </c>
      <c r="F34" s="171" t="s">
        <v>1649</v>
      </c>
      <c r="G34" s="176" t="s">
        <v>1702</v>
      </c>
      <c r="H34" s="171" t="s">
        <v>1572</v>
      </c>
      <c r="I34" s="171" t="s">
        <v>116</v>
      </c>
      <c r="J34" s="171" t="s">
        <v>1494</v>
      </c>
      <c r="K34" s="171" t="s">
        <v>1191</v>
      </c>
      <c r="L34" s="171" t="s">
        <v>1192</v>
      </c>
      <c r="M34" s="171" t="s">
        <v>1573</v>
      </c>
      <c r="N34" s="169"/>
    </row>
    <row r="35" spans="1:15" ht="18" customHeight="1">
      <c r="A35" s="280">
        <v>1</v>
      </c>
      <c r="B35" s="280">
        <f>G24</f>
        <v>273</v>
      </c>
      <c r="C35" s="280" t="s">
        <v>1932</v>
      </c>
      <c r="D35" s="280">
        <v>250</v>
      </c>
      <c r="E35" s="280">
        <v>9</v>
      </c>
      <c r="F35" s="280" t="s">
        <v>1658</v>
      </c>
      <c r="G35" s="280">
        <f>IF(B24="","",VLOOKUP(B24,钢管壁厚等级表!$B$2:$S$35,MATCH(F35,钢管壁厚等级表!$B$2:$S$2,0)))</f>
        <v>9.27</v>
      </c>
      <c r="H35" s="280">
        <f>IF(B35="","",ROUNDUP(B35*PI()*D35*E35/10^6*7.93,1))</f>
        <v>15.4</v>
      </c>
      <c r="I35" s="280">
        <v>2</v>
      </c>
      <c r="J35" s="280">
        <f>IF(H35="","",H35*I35)</f>
        <v>30.8</v>
      </c>
      <c r="K35" s="280">
        <f>IF(B35="","",VLOOKUP(C35,汇总!$J$4:$K$25,2,FALSE))</f>
        <v>28</v>
      </c>
      <c r="L35" s="280">
        <f>IF(J35="","",K35*J35)</f>
        <v>862.4</v>
      </c>
      <c r="M35" s="280"/>
      <c r="N35" s="169" t="str">
        <f t="shared" si="2"/>
        <v>不锈钢</v>
      </c>
      <c r="O35" s="184"/>
    </row>
    <row r="36" spans="1:15" ht="18" customHeight="1">
      <c r="A36" s="280">
        <v>2</v>
      </c>
      <c r="B36" s="280">
        <f t="shared" ref="B36:B43" si="7">G25</f>
        <v>60.3</v>
      </c>
      <c r="C36" s="280" t="s">
        <v>1932</v>
      </c>
      <c r="D36" s="280">
        <v>150</v>
      </c>
      <c r="E36" s="280">
        <v>4.1500000000000004</v>
      </c>
      <c r="F36" s="280" t="s">
        <v>1659</v>
      </c>
      <c r="G36" s="280">
        <f>IF(B25="","",VLOOKUP(B25,钢管壁厚等级表!$B$2:$S$35,MATCH(F36,钢管壁厚等级表!$B$2:$S$2,0)))</f>
        <v>3.91</v>
      </c>
      <c r="H36" s="280">
        <f t="shared" ref="H36:H43" si="8">IF(B36="","",ROUNDUP(B36*PI()*D36*E36/10^6*7.93,1))</f>
        <v>1</v>
      </c>
      <c r="I36" s="280">
        <v>4</v>
      </c>
      <c r="J36" s="280">
        <f t="shared" ref="J36:J43" si="9">IF(H36="","",H36*I36)</f>
        <v>4</v>
      </c>
      <c r="K36" s="280">
        <f>IF(B36="","",VLOOKUP(C36,汇总!$J$4:$K$25,2,FALSE))</f>
        <v>28</v>
      </c>
      <c r="L36" s="280">
        <f t="shared" ref="L36:L37" si="10">IF(J36="","",K36*J36)</f>
        <v>112</v>
      </c>
      <c r="M36" s="280"/>
      <c r="N36" s="169" t="str">
        <f t="shared" si="2"/>
        <v>不锈钢</v>
      </c>
      <c r="O36" s="184"/>
    </row>
    <row r="37" spans="1:15" ht="18" customHeight="1">
      <c r="A37" s="280">
        <v>3</v>
      </c>
      <c r="B37" s="280">
        <f t="shared" si="7"/>
        <v>33.700000000000003</v>
      </c>
      <c r="C37" s="280" t="s">
        <v>1932</v>
      </c>
      <c r="D37" s="280">
        <v>150</v>
      </c>
      <c r="E37" s="280">
        <v>3.35</v>
      </c>
      <c r="F37" s="280" t="s">
        <v>1659</v>
      </c>
      <c r="G37" s="280">
        <f>IF(B26="","",VLOOKUP(B26,钢管壁厚等级表!$B$2:$S$35,MATCH(F37,钢管壁厚等级表!$B$2:$S$2,0)))</f>
        <v>3.38</v>
      </c>
      <c r="H37" s="280">
        <f t="shared" si="8"/>
        <v>0.5</v>
      </c>
      <c r="I37" s="280">
        <v>1</v>
      </c>
      <c r="J37" s="280">
        <f t="shared" si="9"/>
        <v>0.5</v>
      </c>
      <c r="K37" s="280">
        <f>IF(B37="","",VLOOKUP(C37,汇总!$J$4:$K$25,2,FALSE))</f>
        <v>28</v>
      </c>
      <c r="L37" s="280">
        <f t="shared" si="10"/>
        <v>14</v>
      </c>
      <c r="M37" s="280"/>
      <c r="N37" s="169" t="str">
        <f t="shared" si="2"/>
        <v>不锈钢</v>
      </c>
      <c r="O37" s="184"/>
    </row>
    <row r="38" spans="1:15" ht="18" customHeight="1">
      <c r="A38" s="280">
        <v>4</v>
      </c>
      <c r="B38" s="280" t="str">
        <f t="shared" si="7"/>
        <v/>
      </c>
      <c r="C38" s="280" t="s">
        <v>1918</v>
      </c>
      <c r="D38" s="280"/>
      <c r="E38" s="280">
        <v>27</v>
      </c>
      <c r="F38" s="280" t="s">
        <v>1659</v>
      </c>
      <c r="G38" s="280" t="str">
        <f>IF(B27="","",VLOOKUP(B27,钢管壁厚等级表!$B$2:$S$35,MATCH(F38,钢管壁厚等级表!$B$2:$S$2,0)))</f>
        <v/>
      </c>
      <c r="H38" s="280" t="str">
        <f t="shared" si="8"/>
        <v/>
      </c>
      <c r="I38" s="280"/>
      <c r="J38" s="280" t="str">
        <f t="shared" si="9"/>
        <v/>
      </c>
      <c r="K38" s="280" t="str">
        <f>IF(B38="","",VLOOKUP(C38,汇总!$J$4:$K$25,2,FALSE))</f>
        <v/>
      </c>
      <c r="L38" s="280" t="str">
        <f>IF(J38="","",K38*J38+I38*80)</f>
        <v/>
      </c>
      <c r="M38" s="280"/>
      <c r="N38" s="169" t="str">
        <f t="shared" si="2"/>
        <v/>
      </c>
      <c r="O38" s="184"/>
    </row>
    <row r="39" spans="1:15" ht="18" customHeight="1">
      <c r="A39" s="280">
        <v>5</v>
      </c>
      <c r="B39" s="280" t="str">
        <f t="shared" si="7"/>
        <v/>
      </c>
      <c r="C39" s="280" t="s">
        <v>1932</v>
      </c>
      <c r="D39" s="280">
        <v>150</v>
      </c>
      <c r="E39" s="280">
        <v>4.1500000000000004</v>
      </c>
      <c r="F39" s="280" t="s">
        <v>1659</v>
      </c>
      <c r="G39" s="280" t="str">
        <f>IF(B28="","",VLOOKUP(B28,钢管壁厚等级表!$B$2:$S$35,MATCH(F39,钢管壁厚等级表!$B$2:$S$2,0)))</f>
        <v/>
      </c>
      <c r="H39" s="280" t="str">
        <f t="shared" si="8"/>
        <v/>
      </c>
      <c r="I39" s="280"/>
      <c r="J39" s="280" t="str">
        <f t="shared" si="9"/>
        <v/>
      </c>
      <c r="K39" s="280" t="str">
        <f>IF(B39="","",VLOOKUP(C39,汇总!$J$4:$K$25,2,FALSE))</f>
        <v/>
      </c>
      <c r="L39" s="280" t="str">
        <f>IF(J39="","",K39*J39+I39*30)</f>
        <v/>
      </c>
      <c r="M39" s="280"/>
      <c r="N39" s="169" t="str">
        <f t="shared" si="2"/>
        <v/>
      </c>
      <c r="O39" s="184"/>
    </row>
    <row r="40" spans="1:15" ht="18" customHeight="1">
      <c r="A40" s="280">
        <v>6</v>
      </c>
      <c r="B40" s="280" t="str">
        <f t="shared" si="7"/>
        <v/>
      </c>
      <c r="C40" s="280" t="s">
        <v>1932</v>
      </c>
      <c r="D40" s="280">
        <v>150</v>
      </c>
      <c r="E40" s="280">
        <v>3.65</v>
      </c>
      <c r="F40" s="280" t="s">
        <v>1659</v>
      </c>
      <c r="G40" s="280" t="str">
        <f>IF(B29="","",VLOOKUP(B29,钢管壁厚等级表!$B$2:$S$35,MATCH(#REF!,钢管壁厚等级表!$B$2:$S$2,0)))</f>
        <v/>
      </c>
      <c r="H40" s="280" t="str">
        <f t="shared" si="8"/>
        <v/>
      </c>
      <c r="I40" s="280"/>
      <c r="J40" s="280" t="str">
        <f t="shared" si="9"/>
        <v/>
      </c>
      <c r="K40" s="280" t="str">
        <f>IF(B40="","",VLOOKUP(C40,汇总!$J$4:$K$25,2,FALSE))</f>
        <v/>
      </c>
      <c r="L40" s="280" t="str">
        <f>IF(J40="","",K40*J40+I40*15)</f>
        <v/>
      </c>
      <c r="M40" s="280"/>
      <c r="N40" s="169" t="str">
        <f t="shared" si="2"/>
        <v/>
      </c>
      <c r="O40" s="184"/>
    </row>
    <row r="41" spans="1:15" ht="18" customHeight="1">
      <c r="A41" s="280">
        <v>7</v>
      </c>
      <c r="B41" s="280" t="str">
        <f t="shared" si="7"/>
        <v/>
      </c>
      <c r="C41" s="280" t="s">
        <v>1932</v>
      </c>
      <c r="D41" s="280">
        <v>150</v>
      </c>
      <c r="E41" s="280">
        <v>3.35</v>
      </c>
      <c r="F41" s="280" t="s">
        <v>1659</v>
      </c>
      <c r="G41" s="280" t="str">
        <f>IF(B30="","",VLOOKUP(B30,钢管壁厚等级表!$B$2:$S$35,MATCH(#REF!,钢管壁厚等级表!$B$2:$S$2,0)))</f>
        <v/>
      </c>
      <c r="H41" s="280" t="str">
        <f t="shared" si="8"/>
        <v/>
      </c>
      <c r="I41" s="280"/>
      <c r="J41" s="280" t="str">
        <f t="shared" si="9"/>
        <v/>
      </c>
      <c r="K41" s="280" t="str">
        <f>IF(B41="","",VLOOKUP(C41,汇总!$J$4:$K$25,2,FALSE))</f>
        <v/>
      </c>
      <c r="L41" s="280" t="str">
        <f t="shared" ref="L41:L43" si="11">IF(J41="","",K41*J41)</f>
        <v/>
      </c>
      <c r="M41" s="280"/>
      <c r="N41" s="169" t="str">
        <f t="shared" si="2"/>
        <v/>
      </c>
      <c r="O41" s="184"/>
    </row>
    <row r="42" spans="1:15" ht="18" customHeight="1">
      <c r="A42" s="280">
        <v>8</v>
      </c>
      <c r="B42" s="280" t="str">
        <f t="shared" si="7"/>
        <v/>
      </c>
      <c r="C42" s="280"/>
      <c r="D42" s="280"/>
      <c r="E42" s="280"/>
      <c r="F42" s="280"/>
      <c r="G42" s="280" t="str">
        <f>IF(B31="","",VLOOKUP(B31,钢管壁厚等级表!$B$2:$S$35,MATCH(#REF!,钢管壁厚等级表!$B$2:$S$2,0)))</f>
        <v/>
      </c>
      <c r="H42" s="280" t="str">
        <f t="shared" si="8"/>
        <v/>
      </c>
      <c r="I42" s="280"/>
      <c r="J42" s="280" t="str">
        <f t="shared" si="9"/>
        <v/>
      </c>
      <c r="K42" s="280" t="str">
        <f>IF(B42="","",VLOOKUP(C42,汇总!$J$4:$K$25,2,FALSE))</f>
        <v/>
      </c>
      <c r="L42" s="280" t="str">
        <f t="shared" si="11"/>
        <v/>
      </c>
      <c r="M42" s="280"/>
      <c r="N42" s="169" t="str">
        <f t="shared" si="2"/>
        <v/>
      </c>
    </row>
    <row r="43" spans="1:15" ht="18" customHeight="1">
      <c r="A43" s="280">
        <v>9</v>
      </c>
      <c r="B43" s="280" t="str">
        <f t="shared" si="7"/>
        <v/>
      </c>
      <c r="C43" s="280"/>
      <c r="D43" s="280"/>
      <c r="E43" s="280"/>
      <c r="F43" s="280"/>
      <c r="G43" s="280" t="str">
        <f>IF(B32="","",VLOOKUP(B32,钢管壁厚等级表!$B$2:$S$35,MATCH(#REF!,钢管壁厚等级表!$B$2:$S$2,0)))</f>
        <v/>
      </c>
      <c r="H43" s="280" t="str">
        <f t="shared" si="8"/>
        <v/>
      </c>
      <c r="I43" s="280"/>
      <c r="J43" s="280" t="str">
        <f t="shared" si="9"/>
        <v/>
      </c>
      <c r="K43" s="280" t="str">
        <f>IF(B43="","",VLOOKUP(C43,汇总!$J$4:$K$25,2,FALSE))</f>
        <v/>
      </c>
      <c r="L43" s="280" t="str">
        <f t="shared" si="11"/>
        <v/>
      </c>
      <c r="M43" s="280"/>
      <c r="N43" s="169" t="str">
        <f t="shared" si="2"/>
        <v/>
      </c>
    </row>
    <row r="44" spans="1:15" ht="18" customHeight="1">
      <c r="A44" s="173"/>
      <c r="B44" s="302" t="s">
        <v>1947</v>
      </c>
      <c r="C44" s="173"/>
      <c r="D44" s="173"/>
      <c r="E44" s="173"/>
      <c r="F44" s="173"/>
      <c r="G44" s="173"/>
      <c r="H44" s="173"/>
      <c r="I44" s="173"/>
      <c r="J44" s="173">
        <f>SUM(J35:J43)</f>
        <v>35.299999999999997</v>
      </c>
      <c r="K44" s="173"/>
      <c r="L44" s="173">
        <f>SUM(L35:L43)</f>
        <v>988.4</v>
      </c>
      <c r="M44" s="173"/>
      <c r="N44" s="169"/>
    </row>
    <row r="45" spans="1:15" ht="18" customHeight="1">
      <c r="A45" s="205" t="s">
        <v>1575</v>
      </c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7"/>
      <c r="N45" s="169"/>
    </row>
    <row r="46" spans="1:15" ht="18" customHeight="1">
      <c r="A46" s="299" t="s">
        <v>14</v>
      </c>
      <c r="B46" s="299" t="s">
        <v>23</v>
      </c>
      <c r="C46" s="299" t="s">
        <v>1567</v>
      </c>
      <c r="D46" s="299" t="s">
        <v>1630</v>
      </c>
      <c r="E46" s="284" t="s">
        <v>1203</v>
      </c>
      <c r="F46" s="285"/>
      <c r="G46" s="300"/>
      <c r="H46" s="299" t="s">
        <v>1631</v>
      </c>
      <c r="I46" s="299" t="s">
        <v>1577</v>
      </c>
      <c r="J46" s="299" t="s">
        <v>116</v>
      </c>
      <c r="K46" s="299" t="s">
        <v>1191</v>
      </c>
      <c r="L46" s="299" t="s">
        <v>1192</v>
      </c>
      <c r="M46" s="299" t="s">
        <v>1573</v>
      </c>
      <c r="N46" s="169"/>
    </row>
    <row r="47" spans="1:15" ht="18" customHeight="1">
      <c r="A47" s="301"/>
      <c r="B47" s="301"/>
      <c r="C47" s="301"/>
      <c r="D47" s="301"/>
      <c r="E47" s="279" t="s">
        <v>1578</v>
      </c>
      <c r="F47" s="279" t="s">
        <v>16</v>
      </c>
      <c r="G47" s="279" t="s">
        <v>1579</v>
      </c>
      <c r="H47" s="301"/>
      <c r="I47" s="301"/>
      <c r="J47" s="301"/>
      <c r="K47" s="301"/>
      <c r="L47" s="301"/>
      <c r="M47" s="295"/>
      <c r="N47" s="169"/>
    </row>
    <row r="48" spans="1:15" ht="18" customHeight="1">
      <c r="A48" s="280">
        <v>1</v>
      </c>
      <c r="B48" s="279" t="s">
        <v>1892</v>
      </c>
      <c r="C48" s="279" t="s">
        <v>1550</v>
      </c>
      <c r="D48" s="280">
        <f>IF(E48="","",ROUNDUP(E48^2*PI()/4*F48*7.93/10^6,1))</f>
        <v>88.5</v>
      </c>
      <c r="E48" s="280">
        <v>596</v>
      </c>
      <c r="F48" s="280">
        <v>40</v>
      </c>
      <c r="G48" s="280">
        <v>5</v>
      </c>
      <c r="H48" s="280">
        <f>IF(C48="","",VLOOKUP(C48,汇总!$J$4:$K$24,2,FALSE))</f>
        <v>17</v>
      </c>
      <c r="I48" s="280">
        <f>IF(B48="管板",150+G48*100,IF(B48="压板",150+G48*15,""))</f>
        <v>650</v>
      </c>
      <c r="J48" s="280">
        <v>1</v>
      </c>
      <c r="K48" s="280">
        <f>IF(B48="","",IF(B48="管板",H48*D48*1.6+I48,IF(B48="压板",H48*D48+I48,VLOOKUP(B48,$J$118:$K$135,2,FALSE))))</f>
        <v>3057.2000000000003</v>
      </c>
      <c r="L48" s="280">
        <f>IF(B48="","",K48*J48)</f>
        <v>3057.2000000000003</v>
      </c>
      <c r="M48" s="280"/>
      <c r="N48" s="169"/>
      <c r="O48" s="184" t="s">
        <v>1927</v>
      </c>
    </row>
    <row r="49" spans="1:15" ht="18" customHeight="1">
      <c r="A49" s="280">
        <v>2</v>
      </c>
      <c r="B49" s="279" t="s">
        <v>1919</v>
      </c>
      <c r="C49" s="279" t="s">
        <v>1550</v>
      </c>
      <c r="D49" s="280">
        <f t="shared" ref="D49:D53" si="12">IF(E49="","",ROUNDUP(E49^2*PI()/4*F49*7.93/10^6,1))</f>
        <v>8.4</v>
      </c>
      <c r="E49" s="280">
        <v>580</v>
      </c>
      <c r="F49" s="280">
        <v>4</v>
      </c>
      <c r="G49" s="280">
        <v>5</v>
      </c>
      <c r="H49" s="280">
        <f>IF(C49="","",VLOOKUP(C49,汇总!$J$4:$K$24,2,FALSE))</f>
        <v>17</v>
      </c>
      <c r="I49" s="280">
        <f>IF(B49="管板",150+G49*85,IF(B49="压板",150+G49*25,""))</f>
        <v>275</v>
      </c>
      <c r="J49" s="280">
        <v>1</v>
      </c>
      <c r="K49" s="280">
        <f>IF(B49="","",IF(B49="管板",H49*D49*1.6+I49,IF(B49="压板",H49*D49+I49,VLOOKUP(B49,$J$118:$K$135,2,FALSE))))</f>
        <v>417.8</v>
      </c>
      <c r="L49" s="280">
        <f t="shared" ref="L49:L55" si="13">IF(B49="","",K49*J49)</f>
        <v>417.8</v>
      </c>
      <c r="M49" s="279"/>
      <c r="N49" s="169"/>
      <c r="O49" s="184" t="s">
        <v>1926</v>
      </c>
    </row>
    <row r="50" spans="1:15" ht="18" customHeight="1">
      <c r="A50" s="280">
        <v>3</v>
      </c>
      <c r="B50" s="279" t="s">
        <v>1919</v>
      </c>
      <c r="C50" s="279" t="s">
        <v>1550</v>
      </c>
      <c r="D50" s="280">
        <f t="shared" si="12"/>
        <v>22.200000000000003</v>
      </c>
      <c r="E50" s="280">
        <v>596</v>
      </c>
      <c r="F50" s="280">
        <v>10</v>
      </c>
      <c r="G50" s="280">
        <v>5</v>
      </c>
      <c r="H50" s="280">
        <f>IF(C50="","",VLOOKUP(C50,汇总!$J$4:$K$24,2,FALSE))</f>
        <v>17</v>
      </c>
      <c r="I50" s="280">
        <f t="shared" ref="I50:I52" si="14">IF(B50="管板",150+G50*85,IF(B50="压板",150+G50*15,""))</f>
        <v>225</v>
      </c>
      <c r="J50" s="280">
        <v>1</v>
      </c>
      <c r="K50" s="280">
        <f>IF(B50="","",IF(B50="管板",H50*D50*1.6+I50,IF(B50="压板",H50*D50+I50,VLOOKUP(B50,$J$118:$K$135,2,FALSE))))</f>
        <v>602.40000000000009</v>
      </c>
      <c r="L50" s="280">
        <f t="shared" si="13"/>
        <v>602.40000000000009</v>
      </c>
      <c r="M50" s="279"/>
      <c r="N50" s="169"/>
      <c r="O50" s="184" t="s">
        <v>1931</v>
      </c>
    </row>
    <row r="51" spans="1:15" ht="18" customHeight="1">
      <c r="A51" s="280">
        <v>4</v>
      </c>
      <c r="B51" s="279" t="s">
        <v>1938</v>
      </c>
      <c r="C51" s="279" t="s">
        <v>1550</v>
      </c>
      <c r="D51" s="280" t="str">
        <f t="shared" si="12"/>
        <v/>
      </c>
      <c r="E51" s="280"/>
      <c r="F51" s="280"/>
      <c r="G51" s="280"/>
      <c r="H51" s="280">
        <f>IF(C51="","",VLOOKUP(C51,汇总!$J$4:$K$24,2,FALSE))</f>
        <v>17</v>
      </c>
      <c r="I51" s="280" t="str">
        <f t="shared" si="14"/>
        <v/>
      </c>
      <c r="J51" s="280">
        <v>5</v>
      </c>
      <c r="K51" s="280">
        <v>800</v>
      </c>
      <c r="L51" s="280">
        <f t="shared" si="13"/>
        <v>4000</v>
      </c>
      <c r="M51" s="280"/>
      <c r="N51" s="169" t="str">
        <f t="shared" si="2"/>
        <v>不锈钢</v>
      </c>
      <c r="O51" s="184"/>
    </row>
    <row r="52" spans="1:15" ht="18" customHeight="1">
      <c r="A52" s="280">
        <v>5</v>
      </c>
      <c r="B52" s="279" t="s">
        <v>1892</v>
      </c>
      <c r="C52" s="279" t="s">
        <v>1550</v>
      </c>
      <c r="D52" s="280">
        <f t="shared" si="12"/>
        <v>1</v>
      </c>
      <c r="E52" s="280">
        <v>156</v>
      </c>
      <c r="F52" s="280">
        <v>6</v>
      </c>
      <c r="G52" s="280"/>
      <c r="H52" s="280">
        <f>IF(C52="","",VLOOKUP(C52,汇总!$J$4:$K$24,2,FALSE))</f>
        <v>17</v>
      </c>
      <c r="I52" s="280">
        <f t="shared" si="14"/>
        <v>150</v>
      </c>
      <c r="J52" s="280">
        <v>5</v>
      </c>
      <c r="K52" s="280">
        <f>IF(B52="","",IF(B52="管板",H52*D52*1.6+I52,IF(B52="压板",H52*D52+I52,VLOOKUP(B52,$J$118:$K$135,2,FALSE))))</f>
        <v>177.2</v>
      </c>
      <c r="L52" s="280">
        <f t="shared" si="13"/>
        <v>886</v>
      </c>
      <c r="M52" s="280"/>
      <c r="N52" s="169" t="str">
        <f t="shared" si="2"/>
        <v>不锈钢</v>
      </c>
      <c r="O52" s="184" t="s">
        <v>1939</v>
      </c>
    </row>
    <row r="53" spans="1:15" ht="18" customHeight="1">
      <c r="A53" s="280">
        <v>6</v>
      </c>
      <c r="B53" s="279" t="s">
        <v>1892</v>
      </c>
      <c r="C53" s="279" t="s">
        <v>1550</v>
      </c>
      <c r="D53" s="280">
        <f t="shared" si="12"/>
        <v>1.6</v>
      </c>
      <c r="E53" s="280">
        <v>160</v>
      </c>
      <c r="F53" s="280">
        <v>10</v>
      </c>
      <c r="G53" s="280"/>
      <c r="H53" s="280">
        <f>IF(C53="","",VLOOKUP(C53,汇总!$J$4:$K$24,2,FALSE))</f>
        <v>17</v>
      </c>
      <c r="I53" s="280"/>
      <c r="J53" s="280">
        <v>1</v>
      </c>
      <c r="K53" s="280">
        <f>IF(B53="","",IF(B53="管板",H53*D53*1.6+I53,IF(B53="压板",H53*D53+I53,VLOOKUP(B53,$J$118:$K$135,2,FALSE))))</f>
        <v>43.52000000000001</v>
      </c>
      <c r="L53" s="280">
        <f t="shared" si="13"/>
        <v>43.52000000000001</v>
      </c>
      <c r="M53" s="280"/>
      <c r="N53" s="169" t="str">
        <f t="shared" si="2"/>
        <v>不锈钢</v>
      </c>
      <c r="O53" s="184" t="s">
        <v>1942</v>
      </c>
    </row>
    <row r="54" spans="1:15" ht="18" customHeight="1">
      <c r="A54" s="280">
        <v>7</v>
      </c>
      <c r="B54" s="279"/>
      <c r="C54" s="279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169" t="str">
        <f t="shared" si="2"/>
        <v/>
      </c>
    </row>
    <row r="55" spans="1:15" ht="18" customHeight="1">
      <c r="A55" s="280">
        <v>8</v>
      </c>
      <c r="B55" s="279"/>
      <c r="C55" s="279"/>
      <c r="D55" s="280" t="str">
        <f t="shared" ref="D55" si="15">IF(E55="","",ROUNDUP(E55^2*PI()/4*F55*7.93/10^6,1))</f>
        <v/>
      </c>
      <c r="E55" s="280"/>
      <c r="F55" s="280"/>
      <c r="G55" s="280"/>
      <c r="H55" s="280" t="str">
        <f>IF(C55="","",VLOOKUP(C55,汇总!$J$4:$K$24,2,FALSE))</f>
        <v/>
      </c>
      <c r="I55" s="280" t="str">
        <f t="shared" ref="I55" si="16">IF(B55="管板",150+G55*85,IF(B55="压板",150+G55*15,""))</f>
        <v/>
      </c>
      <c r="J55" s="280"/>
      <c r="K55" s="280" t="str">
        <f>IF(B55="","",IF(B55="管板",H55*D55*1.6+I55,IF(B55="压板",H55*D55+I55,VLOOKUP(B55,$J$118:$K$135,2,FALSE))))</f>
        <v/>
      </c>
      <c r="L55" s="280" t="str">
        <f t="shared" si="13"/>
        <v/>
      </c>
      <c r="M55" s="280"/>
      <c r="N55" s="169" t="str">
        <f t="shared" si="2"/>
        <v/>
      </c>
    </row>
    <row r="56" spans="1:15" ht="18" customHeight="1">
      <c r="A56" s="173"/>
      <c r="B56" s="302" t="s">
        <v>1947</v>
      </c>
      <c r="C56" s="173"/>
      <c r="D56" s="173">
        <f>SUM(D48:D55)</f>
        <v>121.7</v>
      </c>
      <c r="E56" s="173"/>
      <c r="F56" s="173"/>
      <c r="G56" s="173"/>
      <c r="H56" s="173" t="str">
        <f>IF(C56="","",VLOOKUP(C56,汇总!$J$4:$K$24,2,FALSE))</f>
        <v/>
      </c>
      <c r="I56" s="173"/>
      <c r="J56" s="173"/>
      <c r="K56" s="173"/>
      <c r="L56" s="173">
        <f>SUM(L48:L55)</f>
        <v>9006.9200000000019</v>
      </c>
      <c r="M56" s="173"/>
      <c r="N56" s="169"/>
    </row>
    <row r="57" spans="1:15" ht="18" customHeight="1">
      <c r="A57" s="205" t="s">
        <v>1170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7"/>
      <c r="N57" s="169"/>
    </row>
    <row r="58" spans="1:15" ht="18" customHeight="1">
      <c r="A58" s="280"/>
      <c r="B58" s="279" t="s">
        <v>115</v>
      </c>
      <c r="C58" s="279" t="s">
        <v>1567</v>
      </c>
      <c r="D58" s="279" t="s">
        <v>85</v>
      </c>
      <c r="E58" s="279" t="s">
        <v>1136</v>
      </c>
      <c r="F58" s="279" t="s">
        <v>1604</v>
      </c>
      <c r="G58" s="280"/>
      <c r="H58" s="280"/>
      <c r="I58" s="279" t="s">
        <v>1611</v>
      </c>
      <c r="J58" s="279" t="s">
        <v>1493</v>
      </c>
      <c r="K58" s="279" t="s">
        <v>1191</v>
      </c>
      <c r="L58" s="279" t="s">
        <v>1192</v>
      </c>
      <c r="M58" s="279" t="s">
        <v>1573</v>
      </c>
      <c r="N58" s="169"/>
    </row>
    <row r="59" spans="1:15" ht="18" customHeight="1">
      <c r="A59" s="280">
        <v>1</v>
      </c>
      <c r="B59" s="280">
        <f>IF(B18="","",B18)</f>
        <v>600</v>
      </c>
      <c r="C59" s="279" t="s">
        <v>1703</v>
      </c>
      <c r="D59" s="280">
        <f>IF(D18="","",D18)</f>
        <v>47023</v>
      </c>
      <c r="E59" s="279" t="str">
        <f>IF(B59="","",IF(D59="J47021","M"&amp;jbt4701cs("M",F18,B18),IF(D59="47022","M"&amp;jbt4702cs("M",F18,B18),"M"&amp;jbt4703cs("M",F18,B18))))</f>
        <v>M24</v>
      </c>
      <c r="F59" s="280">
        <f>IF(B59="","",(ROUND((IF(D59="47021",jbt4701cs("T",F18,B18),IF(D59="47022",jbt4702cs("T",F18,B18),jbt4703cs("T",F18,B18)))*2+RIGHT(E59,2)*2+20)/5,0)*5))</f>
        <v>150</v>
      </c>
      <c r="G59" s="280"/>
      <c r="H59" s="280"/>
      <c r="I59" s="280">
        <f>IF(B59="","",IF(D59="47021",jbt4701cs("n",F18,B18),IF(D59="47022",jbt4702cs("n",F18,B18),jbt4703cs("n",F18,B18))))</f>
        <v>24</v>
      </c>
      <c r="J59" s="280">
        <v>7</v>
      </c>
      <c r="K59" s="280">
        <f>IF(B59="","",VLOOKUP(E59,汇总!$M$4:$N$14,2))</f>
        <v>10</v>
      </c>
      <c r="L59" s="280">
        <f>IF(B59="","",I59*J59*K59)</f>
        <v>1680</v>
      </c>
      <c r="M59" s="280"/>
      <c r="N59" s="169"/>
      <c r="O59" s="184" t="s">
        <v>1923</v>
      </c>
    </row>
    <row r="60" spans="1:15" ht="18" customHeight="1">
      <c r="A60" s="280">
        <v>2</v>
      </c>
      <c r="B60" s="280" t="str">
        <f>IF(B19="","",B19)</f>
        <v/>
      </c>
      <c r="C60" s="279"/>
      <c r="D60" s="280" t="str">
        <f>IF(D19="","",D19)</f>
        <v/>
      </c>
      <c r="E60" s="279" t="str">
        <f>IF(B60="","",IF(D60="J47021","M"&amp;jbt4701cs("M",F19,B19),IF(D60="47022","M"&amp;jbt4702cs("M",F19,B19),"M"&amp;jbt4703cs("M",F19,B19))))</f>
        <v/>
      </c>
      <c r="F60" s="280" t="str">
        <f>IF(B60="","",(ROUND((IF(D60="47021",jbt4701cs("T",F19,B19),IF(D60="47022",jbt4702cs("T",F19,B19),jbt4703cs("T",F19,B19)))*2+RIGHT(E60,2)*2+20)/5,0)*5))</f>
        <v/>
      </c>
      <c r="G60" s="280"/>
      <c r="H60" s="280"/>
      <c r="I60" s="280" t="str">
        <f>IF(B60="","",IF(D60="47021",jbt4701cs("n",F19,B19),IF(D60="47022",jbt4702cs("n",F19,B19),jbt4703cs("n",F19,B19))))</f>
        <v/>
      </c>
      <c r="J60" s="280" t="str">
        <f>IF(B60="","",ROUNDUP(I19/2,0))</f>
        <v/>
      </c>
      <c r="K60" s="280" t="str">
        <f>IF(B60="","",VLOOKUP(E60,汇总!$M$4:$N$14,2))</f>
        <v/>
      </c>
      <c r="L60" s="280" t="str">
        <f t="shared" ref="L60:L67" si="17">IF(B60="","",I60*J60*K60)</f>
        <v/>
      </c>
      <c r="M60" s="280"/>
      <c r="N60" s="169"/>
    </row>
    <row r="61" spans="1:15" ht="18" customHeight="1">
      <c r="A61" s="280">
        <v>3</v>
      </c>
      <c r="B61" s="280" t="str">
        <f>IF(B20="","",B20)</f>
        <v/>
      </c>
      <c r="C61" s="279"/>
      <c r="D61" s="280" t="str">
        <f>IF(D20="","",D20)</f>
        <v/>
      </c>
      <c r="E61" s="279" t="str">
        <f>IF(B61="","",IF(D61="J47021","M"&amp;jbt4701cs("M",F20,B20),IF(D61="47022","M"&amp;jbt4702cs("M",F20,B20),"M"&amp;jbt4703cs("M",F20,B20))))</f>
        <v/>
      </c>
      <c r="F61" s="280" t="str">
        <f>IF(B61="","",(ROUND((IF(D61="47021",jbt4701cs("T",F20,B20),IF(D61="47022",jbt4702cs("T",F20,B20),jbt4703cs("T",F20,B20)))*2+RIGHT(E61,2)*2+20)/5,0)*5))</f>
        <v/>
      </c>
      <c r="G61" s="280"/>
      <c r="H61" s="280"/>
      <c r="I61" s="280" t="str">
        <f>IF(B61="","",IF(D61="47021",jbt4701cs("n",F20,B20),IF(D61="47022",jbt4702cs("n",F20,B20),jbt4703cs("n",F20,B20))))</f>
        <v/>
      </c>
      <c r="J61" s="280" t="str">
        <f>IF(B61="","",ROUNDUP(I20/2,0))</f>
        <v/>
      </c>
      <c r="K61" s="280" t="str">
        <f>IF(B61="","",VLOOKUP(E61,汇总!$M$4:$N$14,2))</f>
        <v/>
      </c>
      <c r="L61" s="280" t="str">
        <f t="shared" si="17"/>
        <v/>
      </c>
      <c r="M61" s="280"/>
      <c r="N61" s="169"/>
    </row>
    <row r="62" spans="1:15" ht="18" customHeight="1">
      <c r="A62" s="280">
        <v>4</v>
      </c>
      <c r="B62" s="280">
        <f t="shared" ref="B62:B67" si="18">IF(B24=0,"",B24)</f>
        <v>250</v>
      </c>
      <c r="C62" s="280"/>
      <c r="D62" s="280" t="str">
        <f t="shared" ref="D62:D67" si="19">MID(D24,3,8)</f>
        <v>20615</v>
      </c>
      <c r="E62" s="279" t="s">
        <v>1706</v>
      </c>
      <c r="F62" s="280">
        <v>420</v>
      </c>
      <c r="G62" s="280"/>
      <c r="H62" s="280"/>
      <c r="I62" s="280">
        <v>28</v>
      </c>
      <c r="J62" s="280"/>
      <c r="K62" s="280">
        <f>IF(B62="","",VLOOKUP(E62,汇总!$M$4:$N$14,2))</f>
        <v>105</v>
      </c>
      <c r="L62" s="280">
        <f t="shared" si="17"/>
        <v>0</v>
      </c>
      <c r="M62" s="280"/>
      <c r="N62" s="169"/>
    </row>
    <row r="63" spans="1:15" ht="18" customHeight="1">
      <c r="A63" s="280">
        <v>5</v>
      </c>
      <c r="B63" s="280">
        <f t="shared" si="18"/>
        <v>50</v>
      </c>
      <c r="C63" s="280"/>
      <c r="D63" s="280" t="str">
        <f t="shared" si="19"/>
        <v>20615</v>
      </c>
      <c r="E63" s="280" t="str">
        <f>IF(B63="","",IF(D63="20592",E145,K152))</f>
        <v>M16</v>
      </c>
      <c r="F63" s="280">
        <f>IF(B63="","",IF(D63="20592",F145,L145))</f>
        <v>85</v>
      </c>
      <c r="G63" s="280"/>
      <c r="H63" s="280"/>
      <c r="I63" s="280">
        <v>28</v>
      </c>
      <c r="J63" s="280"/>
      <c r="K63" s="280">
        <f>IF(B63="","",VLOOKUP(E63,汇总!$M$4:$N$14,2))</f>
        <v>5.5</v>
      </c>
      <c r="L63" s="280">
        <f t="shared" si="17"/>
        <v>0</v>
      </c>
      <c r="M63" s="280"/>
      <c r="N63" s="169"/>
    </row>
    <row r="64" spans="1:15" ht="18" customHeight="1">
      <c r="A64" s="280">
        <v>6</v>
      </c>
      <c r="B64" s="280">
        <f t="shared" si="18"/>
        <v>25</v>
      </c>
      <c r="C64" s="280"/>
      <c r="D64" s="280" t="str">
        <f t="shared" si="19"/>
        <v>20615</v>
      </c>
      <c r="E64" s="280" t="str">
        <f>IF(B64="","",IF(D64="20592",E146,K153))</f>
        <v>M14</v>
      </c>
      <c r="F64" s="280">
        <f>IF(B64="","",IF(D64="20592",F146,L146))</f>
        <v>70</v>
      </c>
      <c r="G64" s="280"/>
      <c r="H64" s="280"/>
      <c r="I64" s="280">
        <f>IF(B64="","",IF(D64="20592",D146,J153))</f>
        <v>4</v>
      </c>
      <c r="J64" s="280">
        <v>4</v>
      </c>
      <c r="K64" s="280">
        <f>IF(B64="","",VLOOKUP(E64,汇总!$M$4:$N$14,2))</f>
        <v>4.5</v>
      </c>
      <c r="L64" s="280">
        <f t="shared" si="17"/>
        <v>72</v>
      </c>
      <c r="M64" s="280"/>
      <c r="N64" s="169" t="str">
        <f t="shared" si="2"/>
        <v>碳钢</v>
      </c>
      <c r="O64" s="184" t="s">
        <v>1925</v>
      </c>
    </row>
    <row r="65" spans="1:16" ht="18" customHeight="1">
      <c r="A65" s="280">
        <v>7</v>
      </c>
      <c r="B65" s="280" t="str">
        <f t="shared" si="18"/>
        <v/>
      </c>
      <c r="C65" s="280"/>
      <c r="D65" s="280" t="str">
        <f t="shared" si="19"/>
        <v>20615</v>
      </c>
      <c r="E65" s="280" t="str">
        <f>IF(B65="","",IF(D65="20592",E147,K154))</f>
        <v/>
      </c>
      <c r="F65" s="280" t="str">
        <f>IF(B65="","",IF(D65="20592",F147,L147))</f>
        <v/>
      </c>
      <c r="G65" s="280"/>
      <c r="H65" s="280"/>
      <c r="I65" s="280">
        <v>4</v>
      </c>
      <c r="J65" s="280"/>
      <c r="K65" s="280">
        <v>5.5</v>
      </c>
      <c r="L65" s="280" t="str">
        <f t="shared" si="17"/>
        <v/>
      </c>
      <c r="M65" s="280"/>
      <c r="N65" s="169" t="str">
        <f t="shared" si="2"/>
        <v/>
      </c>
      <c r="O65" s="184"/>
    </row>
    <row r="66" spans="1:16" ht="18" customHeight="1">
      <c r="A66" s="280">
        <v>8</v>
      </c>
      <c r="B66" s="280" t="str">
        <f t="shared" si="18"/>
        <v/>
      </c>
      <c r="C66" s="280"/>
      <c r="D66" s="280" t="str">
        <f t="shared" si="19"/>
        <v>20615</v>
      </c>
      <c r="E66" s="280" t="str">
        <f>IF(B66="","",IF(D66="20592",E148,K155))</f>
        <v/>
      </c>
      <c r="F66" s="280" t="str">
        <f>IF(B66="","",IF(D66="20592",F148,L148))</f>
        <v/>
      </c>
      <c r="G66" s="280"/>
      <c r="H66" s="280"/>
      <c r="I66" s="280" t="str">
        <f>IF(B66="","",IF(D66="20592",D148,J155))</f>
        <v/>
      </c>
      <c r="J66" s="280"/>
      <c r="K66" s="280" t="str">
        <f>IF(B66="","",VLOOKUP(E66,汇总!$M$4:$N$14,2))</f>
        <v/>
      </c>
      <c r="L66" s="280" t="str">
        <f t="shared" si="17"/>
        <v/>
      </c>
      <c r="M66" s="280"/>
      <c r="N66" s="169" t="str">
        <f t="shared" si="2"/>
        <v/>
      </c>
    </row>
    <row r="67" spans="1:16" ht="18" customHeight="1">
      <c r="A67" s="280">
        <v>9</v>
      </c>
      <c r="B67" s="280" t="str">
        <f t="shared" si="18"/>
        <v/>
      </c>
      <c r="C67" s="280"/>
      <c r="D67" s="280" t="str">
        <f t="shared" si="19"/>
        <v>20615</v>
      </c>
      <c r="E67" s="280" t="str">
        <f>IF(B67="","",IF(D67="20592",E149,K156))</f>
        <v/>
      </c>
      <c r="F67" s="280" t="str">
        <f>IF(B67="","",IF(D67="20592",F149,L149))</f>
        <v/>
      </c>
      <c r="G67" s="280"/>
      <c r="H67" s="280"/>
      <c r="I67" s="280" t="str">
        <f>IF(B67="","",IF(D67="20592",D149,J156))</f>
        <v/>
      </c>
      <c r="J67" s="280"/>
      <c r="K67" s="280" t="str">
        <f>IF(B67="","",VLOOKUP(E67,汇总!$M$4:$N$14,2))</f>
        <v/>
      </c>
      <c r="L67" s="280" t="str">
        <f t="shared" si="17"/>
        <v/>
      </c>
      <c r="M67" s="280"/>
      <c r="N67" s="169" t="str">
        <f t="shared" si="2"/>
        <v/>
      </c>
    </row>
    <row r="68" spans="1:16" ht="18" customHeight="1">
      <c r="A68" s="173"/>
      <c r="B68" s="302" t="s">
        <v>1947</v>
      </c>
      <c r="C68" s="173"/>
      <c r="D68" s="173"/>
      <c r="E68" s="173"/>
      <c r="F68" s="173"/>
      <c r="G68" s="173"/>
      <c r="H68" s="173"/>
      <c r="I68" s="173"/>
      <c r="J68" s="173"/>
      <c r="K68" s="173"/>
      <c r="L68" s="173">
        <f>SUM(L59:L67)</f>
        <v>1752</v>
      </c>
      <c r="M68" s="173"/>
      <c r="N68" s="169"/>
    </row>
    <row r="69" spans="1:16" ht="18" customHeight="1">
      <c r="A69" s="205" t="s">
        <v>1194</v>
      </c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7"/>
      <c r="N69" s="169"/>
    </row>
    <row r="70" spans="1:16" ht="18" customHeight="1">
      <c r="A70" s="10" t="s">
        <v>14</v>
      </c>
      <c r="B70" s="10" t="s">
        <v>23</v>
      </c>
      <c r="C70" s="10" t="s">
        <v>1582</v>
      </c>
      <c r="D70" s="1"/>
      <c r="E70" s="1"/>
      <c r="F70" s="1"/>
      <c r="G70" s="10" t="s">
        <v>1171</v>
      </c>
      <c r="H70" s="10" t="s">
        <v>116</v>
      </c>
      <c r="I70" s="10" t="s">
        <v>1572</v>
      </c>
      <c r="J70" s="10" t="s">
        <v>1494</v>
      </c>
      <c r="K70" s="10" t="s">
        <v>1191</v>
      </c>
      <c r="L70" s="10" t="s">
        <v>1192</v>
      </c>
      <c r="M70" s="10" t="s">
        <v>1573</v>
      </c>
      <c r="N70" s="169"/>
    </row>
    <row r="71" spans="1:16" ht="18" customHeight="1">
      <c r="A71" s="282">
        <v>1</v>
      </c>
      <c r="B71" s="283" t="s">
        <v>1489</v>
      </c>
      <c r="C71" s="284" t="s">
        <v>1945</v>
      </c>
      <c r="D71" s="285"/>
      <c r="E71" s="286"/>
      <c r="F71" s="287"/>
      <c r="G71" s="288" t="s">
        <v>1550</v>
      </c>
      <c r="H71" s="281">
        <v>2</v>
      </c>
      <c r="I71" s="289">
        <f>VLOOKUP(C71,支腿数据!B30:D72,3,FALSE)</f>
        <v>25</v>
      </c>
      <c r="J71" s="290">
        <f t="shared" ref="J71:J78" si="20">I71*H71</f>
        <v>50</v>
      </c>
      <c r="K71" s="289">
        <f>VLOOKUP(G71,汇总!$J$4:$K$24,2,FALSE)</f>
        <v>17</v>
      </c>
      <c r="L71" s="291">
        <f>K71*J71</f>
        <v>850</v>
      </c>
      <c r="M71" s="281"/>
      <c r="N71" s="169" t="str">
        <f>IF(H71=0,"",IF(LEFT(G71,1)="S","不锈钢","碳钢"))</f>
        <v>不锈钢</v>
      </c>
    </row>
    <row r="72" spans="1:16" ht="18" customHeight="1">
      <c r="A72" s="292"/>
      <c r="B72" s="293" t="s">
        <v>1484</v>
      </c>
      <c r="C72" s="281">
        <f>VLOOKUP(C71,支腿数据!B30:G70,4,FALSE)</f>
        <v>700</v>
      </c>
      <c r="D72" s="281"/>
      <c r="E72" s="281">
        <f>VLOOKUP(C71,支腿数据!B30:G70,5,FALSE)</f>
        <v>250</v>
      </c>
      <c r="F72" s="281">
        <v>8</v>
      </c>
      <c r="G72" s="288" t="s">
        <v>1550</v>
      </c>
      <c r="H72" s="281">
        <v>2</v>
      </c>
      <c r="I72" s="294">
        <f>C72*F72*E72*IF(G72="Q345",7.85,8)/10^6</f>
        <v>11.2</v>
      </c>
      <c r="J72" s="290">
        <f t="shared" si="20"/>
        <v>22.4</v>
      </c>
      <c r="K72" s="289">
        <f>VLOOKUP(G72,汇总!$J$4:$K$24,2,FALSE)</f>
        <v>17</v>
      </c>
      <c r="L72" s="291">
        <f>K72*J72</f>
        <v>380.79999999999995</v>
      </c>
      <c r="M72" s="281"/>
      <c r="N72" s="169" t="str">
        <f t="shared" ref="N72:N78" si="21">IF(H72=0,"",IF(LEFT(G72,1)="S","不锈钢","碳钢"))</f>
        <v>不锈钢</v>
      </c>
    </row>
    <row r="73" spans="1:16" ht="18" customHeight="1">
      <c r="A73" s="292"/>
      <c r="B73" s="283" t="s">
        <v>1490</v>
      </c>
      <c r="C73" s="284" t="s">
        <v>1928</v>
      </c>
      <c r="D73" s="285"/>
      <c r="E73" s="286"/>
      <c r="F73" s="287"/>
      <c r="G73" s="281" t="s">
        <v>1901</v>
      </c>
      <c r="H73" s="281"/>
      <c r="I73" s="289">
        <f>VLOOKUP(C73,支腿数据!L2:N32,3,FALSE)</f>
        <v>25.4</v>
      </c>
      <c r="J73" s="290">
        <f t="shared" si="20"/>
        <v>0</v>
      </c>
      <c r="K73" s="289">
        <f>VLOOKUP(G73,汇总!$J$4:$K$24,2,FALSE)</f>
        <v>9</v>
      </c>
      <c r="L73" s="291">
        <f t="shared" ref="L73:L78" si="22">K73*J73</f>
        <v>0</v>
      </c>
      <c r="M73" s="281"/>
      <c r="N73" s="169" t="str">
        <f>IF(H73=0,"",IF(LEFT(G73,1)="S","不锈钢","碳钢"))&amp;"板材"</f>
        <v>板材</v>
      </c>
    </row>
    <row r="74" spans="1:16" ht="18" customHeight="1">
      <c r="A74" s="292"/>
      <c r="B74" s="293" t="s">
        <v>1484</v>
      </c>
      <c r="C74" s="281">
        <f>VLOOKUP(C73,支腿数据!L2:P32,4,FALSE)</f>
        <v>300</v>
      </c>
      <c r="D74" s="281"/>
      <c r="E74" s="281">
        <f>VLOOKUP(C73,支腿数据!L2:P32,5,FALSE)</f>
        <v>220</v>
      </c>
      <c r="F74" s="281">
        <v>6</v>
      </c>
      <c r="G74" s="281" t="s">
        <v>1901</v>
      </c>
      <c r="H74" s="281"/>
      <c r="I74" s="294">
        <f>PI()*C74*F74*E74*IF(G74="Q345",7.85,8)/10^6</f>
        <v>9.9525655265724637</v>
      </c>
      <c r="J74" s="290">
        <f t="shared" si="20"/>
        <v>0</v>
      </c>
      <c r="K74" s="289">
        <f>VLOOKUP(G74,汇总!$J$4:$K$24,2,FALSE)</f>
        <v>9</v>
      </c>
      <c r="L74" s="291">
        <f t="shared" si="22"/>
        <v>0</v>
      </c>
      <c r="M74" s="281"/>
      <c r="N74" s="169" t="str">
        <f>IF(H74=0,"",IF(LEFT(G74,1)="S","不锈钢","碳钢"))&amp;"板材"</f>
        <v>板材</v>
      </c>
    </row>
    <row r="75" spans="1:16" ht="18" customHeight="1">
      <c r="A75" s="292"/>
      <c r="B75" s="283" t="s">
        <v>1491</v>
      </c>
      <c r="C75" s="284" t="s">
        <v>1707</v>
      </c>
      <c r="D75" s="285"/>
      <c r="E75" s="286"/>
      <c r="F75" s="287"/>
      <c r="G75" s="281" t="s">
        <v>1550</v>
      </c>
      <c r="H75" s="281"/>
      <c r="I75" s="289">
        <f>VLOOKUP(C75,支腿数据!V9:X24,3,FALSE)</f>
        <v>26.6</v>
      </c>
      <c r="J75" s="290">
        <f t="shared" si="20"/>
        <v>0</v>
      </c>
      <c r="K75" s="289">
        <f>VLOOKUP(G75,汇总!$J$4:$K$24,2,FALSE)</f>
        <v>17</v>
      </c>
      <c r="L75" s="291">
        <f t="shared" si="22"/>
        <v>0</v>
      </c>
      <c r="M75" s="281"/>
      <c r="N75" s="169" t="str">
        <f t="shared" si="21"/>
        <v/>
      </c>
    </row>
    <row r="76" spans="1:16" ht="18" customHeight="1">
      <c r="A76" s="292"/>
      <c r="B76" s="293" t="s">
        <v>1484</v>
      </c>
      <c r="C76" s="281">
        <f>VLOOKUP(C75,支腿数据!V7:Z24,4,FALSE)</f>
        <v>290</v>
      </c>
      <c r="D76" s="281"/>
      <c r="E76" s="281">
        <f>C76</f>
        <v>290</v>
      </c>
      <c r="F76" s="281">
        <f>VLOOKUP(C75,支腿数据!V11:Z24,5,FALSE)</f>
        <v>10</v>
      </c>
      <c r="G76" s="281" t="s">
        <v>1550</v>
      </c>
      <c r="H76" s="281"/>
      <c r="I76" s="294">
        <f>PI()*C76*F76*E76*IF(G76="Q345",7.85,8)/10^6</f>
        <v>21.136635373352124</v>
      </c>
      <c r="J76" s="290">
        <f t="shared" si="20"/>
        <v>0</v>
      </c>
      <c r="K76" s="289">
        <f>VLOOKUP(G76,汇总!$J$4:$K$24,2,FALSE)</f>
        <v>17</v>
      </c>
      <c r="L76" s="291">
        <f t="shared" si="22"/>
        <v>0</v>
      </c>
      <c r="M76" s="281"/>
      <c r="N76" s="169" t="str">
        <f t="shared" si="21"/>
        <v/>
      </c>
    </row>
    <row r="77" spans="1:16" ht="18" customHeight="1">
      <c r="A77" s="295"/>
      <c r="B77" s="296" t="s">
        <v>1877</v>
      </c>
      <c r="C77" s="297" t="s">
        <v>1878</v>
      </c>
      <c r="D77" s="286"/>
      <c r="E77" s="286"/>
      <c r="F77" s="287"/>
      <c r="G77" s="281" t="s">
        <v>1550</v>
      </c>
      <c r="H77" s="281"/>
      <c r="I77" s="294">
        <f>VLOOKUP(C77,支腿数据!$R$7:$T$30,3,FALSE)</f>
        <v>1.7</v>
      </c>
      <c r="J77" s="290">
        <f>I77*H77</f>
        <v>0</v>
      </c>
      <c r="K77" s="289">
        <f>VLOOKUP(G77,汇总!$J$4:$K$24,2,FALSE)</f>
        <v>17</v>
      </c>
      <c r="L77" s="291">
        <f t="shared" si="22"/>
        <v>0</v>
      </c>
      <c r="M77" s="281"/>
      <c r="N77" s="169"/>
    </row>
    <row r="78" spans="1:16" ht="29.25" customHeight="1">
      <c r="A78" s="280">
        <v>2</v>
      </c>
      <c r="B78" s="296" t="s">
        <v>1553</v>
      </c>
      <c r="C78" s="280"/>
      <c r="D78" s="280"/>
      <c r="E78" s="280"/>
      <c r="F78" s="281"/>
      <c r="G78" s="281" t="s">
        <v>1550</v>
      </c>
      <c r="H78" s="281">
        <v>20</v>
      </c>
      <c r="I78" s="281">
        <v>5</v>
      </c>
      <c r="J78" s="290">
        <f t="shared" si="20"/>
        <v>100</v>
      </c>
      <c r="K78" s="289">
        <f>VLOOKUP(G78,汇总!$J$4:$K$24,2,FALSE)</f>
        <v>17</v>
      </c>
      <c r="L78" s="291">
        <f t="shared" si="22"/>
        <v>1700</v>
      </c>
      <c r="M78" s="281"/>
      <c r="N78" s="169" t="str">
        <f t="shared" si="21"/>
        <v>不锈钢</v>
      </c>
      <c r="O78" s="184" t="s">
        <v>1940</v>
      </c>
    </row>
    <row r="79" spans="1:16" ht="18" customHeight="1">
      <c r="A79" s="280">
        <v>3</v>
      </c>
      <c r="B79" s="279" t="s">
        <v>1581</v>
      </c>
      <c r="C79" s="280"/>
      <c r="D79" s="280"/>
      <c r="E79" s="280"/>
      <c r="F79" s="280"/>
      <c r="G79" s="280"/>
      <c r="H79" s="280"/>
      <c r="I79" s="280"/>
      <c r="J79" s="280"/>
      <c r="K79" s="280"/>
      <c r="L79" s="280">
        <v>600</v>
      </c>
      <c r="M79" s="279" t="s">
        <v>1492</v>
      </c>
      <c r="O79" s="184" t="s">
        <v>1934</v>
      </c>
    </row>
    <row r="80" spans="1:16" ht="18" customHeight="1">
      <c r="A80" s="303"/>
      <c r="B80" s="302" t="s">
        <v>1947</v>
      </c>
      <c r="C80" s="303"/>
      <c r="D80" s="303"/>
      <c r="E80" s="303"/>
      <c r="F80" s="303"/>
      <c r="G80" s="303"/>
      <c r="H80" s="303"/>
      <c r="I80" s="303"/>
      <c r="J80" s="174">
        <f>SUM(J71:J78)</f>
        <v>172.4</v>
      </c>
      <c r="K80" s="303"/>
      <c r="L80" s="174">
        <f>SUM(L71:L79)</f>
        <v>3530.8</v>
      </c>
      <c r="M80" s="173"/>
      <c r="O80" s="184"/>
      <c r="P80" s="169"/>
    </row>
    <row r="81" spans="1:16" ht="18" customHeight="1">
      <c r="A81" s="304">
        <v>1</v>
      </c>
      <c r="B81" s="305" t="s">
        <v>1948</v>
      </c>
      <c r="C81" s="305"/>
      <c r="D81" s="305"/>
      <c r="E81" s="305"/>
      <c r="F81" s="305"/>
      <c r="G81" s="305"/>
      <c r="H81" s="305"/>
      <c r="I81" s="306" t="s">
        <v>1494</v>
      </c>
      <c r="J81" s="307">
        <f>J80+D56+J44+J33+J21+J15</f>
        <v>757.22</v>
      </c>
      <c r="K81" s="308" t="s">
        <v>1192</v>
      </c>
      <c r="L81" s="309">
        <f>L80+L68+L56+L44+L33+L21+L15</f>
        <v>28356.560000000001</v>
      </c>
      <c r="M81" s="310"/>
      <c r="P81" s="169"/>
    </row>
    <row r="82" spans="1:16" ht="18" customHeight="1">
      <c r="A82" s="104"/>
      <c r="B82" s="104"/>
      <c r="C82" s="104"/>
      <c r="D82" s="104"/>
      <c r="E82" s="104"/>
      <c r="F82" s="104"/>
      <c r="G82" s="104"/>
      <c r="H82" s="104"/>
      <c r="I82" s="104"/>
      <c r="J82" s="104"/>
      <c r="K82" s="104"/>
      <c r="L82" s="112"/>
      <c r="M82" s="104"/>
      <c r="P82" s="169"/>
    </row>
    <row r="83" spans="1:16" ht="18" customHeight="1">
      <c r="A83" s="310">
        <v>2</v>
      </c>
      <c r="B83" s="310" t="s">
        <v>1195</v>
      </c>
      <c r="C83" s="310"/>
      <c r="D83" s="310"/>
      <c r="E83" s="310"/>
      <c r="F83" s="310"/>
      <c r="G83" s="310"/>
      <c r="H83" s="310"/>
      <c r="I83" s="310"/>
      <c r="J83" s="311">
        <v>8000</v>
      </c>
      <c r="K83" s="310" t="s">
        <v>1196</v>
      </c>
      <c r="L83" s="312">
        <f>J83*J81/1000</f>
        <v>6057.76</v>
      </c>
      <c r="M83" s="310" t="str">
        <f>IF(OR(C9="Q345R",C9="Q235B",C9="Q355B"),"碳钢","不锈钢")</f>
        <v>不锈钢</v>
      </c>
      <c r="P83" s="169"/>
    </row>
    <row r="84" spans="1:16" ht="18" customHeight="1">
      <c r="A84" s="111">
        <v>1</v>
      </c>
      <c r="B84" s="164" t="s">
        <v>1197</v>
      </c>
      <c r="C84" s="164"/>
      <c r="D84" s="164"/>
      <c r="E84" s="164"/>
      <c r="F84" s="164"/>
      <c r="G84" s="164"/>
      <c r="H84" s="164"/>
      <c r="I84" s="164"/>
      <c r="J84" s="321">
        <v>0.02</v>
      </c>
      <c r="K84" s="164"/>
      <c r="L84" s="322">
        <f>ROUNDUP(L81*J84/10,0)*10</f>
        <v>570</v>
      </c>
      <c r="M84" s="164"/>
      <c r="P84" s="169"/>
    </row>
    <row r="85" spans="1:16" ht="18" customHeight="1">
      <c r="A85" s="111">
        <v>2</v>
      </c>
      <c r="B85" s="164" t="s">
        <v>1199</v>
      </c>
      <c r="C85" s="164"/>
      <c r="D85" s="164"/>
      <c r="E85" s="164"/>
      <c r="F85" s="164"/>
      <c r="G85" s="164"/>
      <c r="H85" s="164"/>
      <c r="I85" s="164"/>
      <c r="J85" s="321">
        <v>0.02</v>
      </c>
      <c r="K85" s="164"/>
      <c r="L85" s="165">
        <f>ROUNDUP(J85*L81/10,0)*10</f>
        <v>570</v>
      </c>
      <c r="M85" s="164"/>
      <c r="O85" s="184"/>
      <c r="P85" s="169"/>
    </row>
    <row r="86" spans="1:16" ht="18" customHeight="1">
      <c r="A86" s="111">
        <v>3</v>
      </c>
      <c r="B86" s="176" t="s">
        <v>1198</v>
      </c>
      <c r="C86" s="164"/>
      <c r="D86" s="164"/>
      <c r="E86" s="164"/>
      <c r="F86" s="164"/>
      <c r="G86" s="164"/>
      <c r="H86" s="164"/>
      <c r="I86" s="164"/>
      <c r="J86" s="323" t="s">
        <v>1933</v>
      </c>
      <c r="K86" s="164"/>
      <c r="L86" s="322">
        <f>VLOOKUP(J86,C154:D157,2,FALSE)</f>
        <v>380</v>
      </c>
      <c r="M86" s="324"/>
      <c r="P86" s="169"/>
    </row>
    <row r="87" spans="1:16" ht="18" customHeight="1">
      <c r="A87" s="111">
        <v>4</v>
      </c>
      <c r="B87" s="176" t="s">
        <v>1551</v>
      </c>
      <c r="C87" s="143"/>
      <c r="D87" s="144"/>
      <c r="E87" s="145"/>
      <c r="F87" s="164"/>
      <c r="G87" s="164"/>
      <c r="H87" s="164"/>
      <c r="I87" s="164"/>
      <c r="J87" s="164"/>
      <c r="K87" s="187"/>
      <c r="L87" s="325"/>
      <c r="M87" s="164"/>
    </row>
    <row r="88" spans="1:16" ht="18" customHeight="1">
      <c r="A88" s="111">
        <v>5</v>
      </c>
      <c r="B88" s="176" t="s">
        <v>1952</v>
      </c>
      <c r="C88" s="205"/>
      <c r="D88" s="206"/>
      <c r="E88" s="207"/>
      <c r="F88" s="176"/>
      <c r="G88" s="176"/>
      <c r="H88" s="176"/>
      <c r="I88" s="326">
        <v>20</v>
      </c>
      <c r="J88" s="176" t="s">
        <v>1200</v>
      </c>
      <c r="K88" s="176">
        <v>130</v>
      </c>
      <c r="L88" s="176">
        <f>K88*I88</f>
        <v>2600</v>
      </c>
      <c r="M88" s="164" t="s">
        <v>1903</v>
      </c>
      <c r="O88" s="184" t="s">
        <v>1941</v>
      </c>
    </row>
    <row r="89" spans="1:16" ht="18" customHeight="1">
      <c r="A89" s="111">
        <v>6</v>
      </c>
      <c r="B89" s="176" t="s">
        <v>1951</v>
      </c>
      <c r="C89" s="190"/>
      <c r="D89" s="191"/>
      <c r="E89" s="192"/>
      <c r="F89" s="176"/>
      <c r="G89" s="176"/>
      <c r="H89" s="176"/>
      <c r="I89" s="326">
        <v>20</v>
      </c>
      <c r="J89" s="176" t="s">
        <v>1200</v>
      </c>
      <c r="K89" s="176">
        <v>130</v>
      </c>
      <c r="L89" s="176">
        <f>K89*I89</f>
        <v>2600</v>
      </c>
      <c r="M89" s="164"/>
      <c r="O89" s="184"/>
    </row>
    <row r="90" spans="1:16" ht="18" customHeight="1">
      <c r="A90" s="111">
        <v>7</v>
      </c>
      <c r="B90" s="176" t="s">
        <v>1902</v>
      </c>
      <c r="C90" s="143"/>
      <c r="D90" s="144"/>
      <c r="E90" s="145"/>
      <c r="F90" s="164"/>
      <c r="G90" s="164"/>
      <c r="H90" s="164"/>
      <c r="I90" s="326"/>
      <c r="J90" s="176" t="s">
        <v>1200</v>
      </c>
      <c r="K90" s="176"/>
      <c r="L90" s="176">
        <f>K90*I90</f>
        <v>0</v>
      </c>
      <c r="M90" s="164" t="s">
        <v>1903</v>
      </c>
      <c r="O90" s="184"/>
    </row>
    <row r="91" spans="1:16" ht="18" customHeight="1">
      <c r="A91" s="111">
        <v>8</v>
      </c>
      <c r="B91" s="176" t="s">
        <v>1953</v>
      </c>
      <c r="C91" s="143"/>
      <c r="D91" s="144"/>
      <c r="E91" s="145"/>
      <c r="F91" s="164"/>
      <c r="G91" s="164"/>
      <c r="H91" s="164"/>
      <c r="I91" s="326"/>
      <c r="J91" s="176" t="s">
        <v>1200</v>
      </c>
      <c r="K91" s="176"/>
      <c r="L91" s="176">
        <f>K91*I91</f>
        <v>0</v>
      </c>
      <c r="M91" s="164" t="s">
        <v>1903</v>
      </c>
      <c r="O91" s="184"/>
    </row>
    <row r="92" spans="1:16" ht="18" customHeight="1">
      <c r="A92" s="111">
        <v>9</v>
      </c>
      <c r="B92" s="176" t="s">
        <v>1954</v>
      </c>
      <c r="C92" s="143"/>
      <c r="D92" s="144"/>
      <c r="E92" s="145"/>
      <c r="F92" s="164"/>
      <c r="G92" s="164"/>
      <c r="H92" s="164"/>
      <c r="I92" s="326"/>
      <c r="J92" s="176"/>
      <c r="K92" s="176"/>
      <c r="L92" s="176"/>
      <c r="M92" s="164"/>
      <c r="O92" s="184"/>
    </row>
    <row r="93" spans="1:16" ht="18" customHeight="1">
      <c r="A93" s="111">
        <v>10</v>
      </c>
      <c r="B93" s="176" t="s">
        <v>1955</v>
      </c>
      <c r="C93" s="143"/>
      <c r="D93" s="144"/>
      <c r="E93" s="145"/>
      <c r="F93" s="164"/>
      <c r="G93" s="164"/>
      <c r="H93" s="164"/>
      <c r="I93" s="326"/>
      <c r="J93" s="176"/>
      <c r="K93" s="176"/>
      <c r="L93" s="176"/>
      <c r="M93" s="164"/>
      <c r="O93" s="184"/>
    </row>
    <row r="94" spans="1:16" ht="18" customHeight="1">
      <c r="A94" s="111">
        <v>11</v>
      </c>
      <c r="B94" s="176" t="s">
        <v>1893</v>
      </c>
      <c r="C94" s="143"/>
      <c r="D94" s="144"/>
      <c r="E94" s="145"/>
      <c r="F94" s="164"/>
      <c r="G94" s="164"/>
      <c r="H94" s="164"/>
      <c r="I94" s="164"/>
      <c r="J94" s="164"/>
      <c r="K94" s="187"/>
      <c r="L94" s="325"/>
      <c r="M94" s="164"/>
      <c r="O94" s="184"/>
    </row>
    <row r="95" spans="1:16" ht="18" customHeight="1">
      <c r="A95" s="111">
        <v>11</v>
      </c>
      <c r="B95" s="176" t="s">
        <v>1956</v>
      </c>
      <c r="C95" s="143"/>
      <c r="D95" s="144"/>
      <c r="E95" s="145"/>
      <c r="F95" s="164"/>
      <c r="G95" s="164"/>
      <c r="H95" s="164"/>
      <c r="I95" s="164"/>
      <c r="J95" s="164"/>
      <c r="K95" s="187"/>
      <c r="L95" s="325"/>
      <c r="M95" s="164"/>
      <c r="O95" s="184"/>
    </row>
    <row r="96" spans="1:16" ht="18" customHeight="1">
      <c r="A96" s="310">
        <v>3</v>
      </c>
      <c r="B96" s="310" t="s">
        <v>1949</v>
      </c>
      <c r="C96" s="304"/>
      <c r="D96" s="305"/>
      <c r="E96" s="313"/>
      <c r="F96" s="310"/>
      <c r="G96" s="310"/>
      <c r="H96" s="310"/>
      <c r="I96" s="310"/>
      <c r="J96" s="310"/>
      <c r="K96" s="314"/>
      <c r="L96" s="309">
        <f>SUM(L84:L95)</f>
        <v>6720</v>
      </c>
      <c r="M96" s="310"/>
    </row>
    <row r="97" spans="1:13" ht="18" customHeight="1">
      <c r="A97" s="315"/>
      <c r="B97" s="315"/>
      <c r="C97" s="316"/>
      <c r="D97" s="317"/>
      <c r="E97" s="318"/>
      <c r="F97" s="315"/>
      <c r="G97" s="315"/>
      <c r="H97" s="315"/>
      <c r="I97" s="315"/>
      <c r="J97" s="315"/>
      <c r="K97" s="319"/>
      <c r="L97" s="320"/>
      <c r="M97" s="315"/>
    </row>
    <row r="98" spans="1:13" ht="18" customHeight="1">
      <c r="A98" s="315"/>
      <c r="B98" s="315"/>
      <c r="C98" s="316"/>
      <c r="D98" s="317"/>
      <c r="E98" s="318"/>
      <c r="F98" s="315"/>
      <c r="G98" s="315"/>
      <c r="H98" s="315"/>
      <c r="I98" s="315"/>
      <c r="J98" s="315"/>
      <c r="K98" s="319"/>
      <c r="L98" s="320"/>
      <c r="M98" s="315"/>
    </row>
    <row r="99" spans="1:13" ht="18" customHeight="1">
      <c r="A99" s="310">
        <v>4</v>
      </c>
      <c r="B99" s="310" t="s">
        <v>1950</v>
      </c>
      <c r="C99" s="304"/>
      <c r="D99" s="305"/>
      <c r="E99" s="313"/>
      <c r="F99" s="310"/>
      <c r="G99" s="310"/>
      <c r="H99" s="310"/>
      <c r="I99" s="310"/>
      <c r="J99" s="310"/>
      <c r="K99" s="314"/>
      <c r="L99" s="309">
        <f>SUM(L97:L98)</f>
        <v>0</v>
      </c>
      <c r="M99" s="310"/>
    </row>
    <row r="100" spans="1:13" ht="18" customHeight="1">
      <c r="A100" s="143"/>
      <c r="B100" s="144"/>
      <c r="C100" s="144"/>
      <c r="D100" s="144"/>
      <c r="E100" s="144"/>
      <c r="F100" s="144"/>
      <c r="G100" s="144"/>
      <c r="H100" s="144"/>
      <c r="I100" s="144"/>
      <c r="J100" s="145" t="s">
        <v>1167</v>
      </c>
      <c r="K100" s="164"/>
      <c r="L100" s="165">
        <f>L99+L96+L83+L81</f>
        <v>41134.32</v>
      </c>
      <c r="M100" s="164"/>
    </row>
    <row r="101" spans="1:13" ht="31.5" customHeight="1"/>
    <row r="102" spans="1:13">
      <c r="B102" s="169" t="s">
        <v>1600</v>
      </c>
      <c r="D102" s="169" t="s">
        <v>1601</v>
      </c>
    </row>
    <row r="103" spans="1:13">
      <c r="B103" s="169" t="s">
        <v>1587</v>
      </c>
      <c r="C103" s="169" t="s">
        <v>1594</v>
      </c>
      <c r="D103" s="68">
        <v>4</v>
      </c>
      <c r="E103" s="169" t="s">
        <v>1614</v>
      </c>
      <c r="F103" s="194" t="s">
        <v>1620</v>
      </c>
      <c r="G103" s="194"/>
      <c r="H103" s="169" t="s">
        <v>1640</v>
      </c>
      <c r="I103" s="169" t="s">
        <v>1643</v>
      </c>
    </row>
    <row r="104" spans="1:13">
      <c r="B104" s="68" t="s">
        <v>1588</v>
      </c>
      <c r="C104" s="169" t="s">
        <v>1562</v>
      </c>
      <c r="D104" s="68">
        <v>0.6</v>
      </c>
      <c r="E104" s="169" t="s">
        <v>1615</v>
      </c>
      <c r="F104" s="194" t="s">
        <v>1621</v>
      </c>
      <c r="G104" s="194"/>
      <c r="H104" s="169" t="s">
        <v>1641</v>
      </c>
      <c r="I104" s="169" t="s">
        <v>1644</v>
      </c>
    </row>
    <row r="105" spans="1:13">
      <c r="B105" s="68" t="s">
        <v>1589</v>
      </c>
      <c r="C105" s="169" t="s">
        <v>1595</v>
      </c>
      <c r="D105" s="175">
        <v>1</v>
      </c>
      <c r="E105" s="169" t="s">
        <v>1616</v>
      </c>
      <c r="F105" s="194" t="s">
        <v>1257</v>
      </c>
      <c r="G105" s="194"/>
      <c r="H105" s="169" t="s">
        <v>1642</v>
      </c>
      <c r="I105" s="169" t="s">
        <v>1645</v>
      </c>
    </row>
    <row r="106" spans="1:13">
      <c r="B106" s="68" t="s">
        <v>1590</v>
      </c>
      <c r="C106" s="169" t="s">
        <v>1596</v>
      </c>
      <c r="D106" s="68">
        <v>1.6</v>
      </c>
      <c r="E106" s="169" t="s">
        <v>1617</v>
      </c>
      <c r="F106" s="194" t="s">
        <v>1622</v>
      </c>
      <c r="G106" s="194"/>
      <c r="H106" s="169" t="s">
        <v>1602</v>
      </c>
      <c r="I106" s="169" t="s">
        <v>1646</v>
      </c>
    </row>
    <row r="107" spans="1:13">
      <c r="B107" s="68" t="s">
        <v>1591</v>
      </c>
      <c r="C107" s="169" t="s">
        <v>1597</v>
      </c>
      <c r="D107" s="68">
        <v>2.5</v>
      </c>
      <c r="E107" s="169" t="s">
        <v>1619</v>
      </c>
      <c r="F107" s="194" t="s">
        <v>1623</v>
      </c>
      <c r="G107" s="194"/>
      <c r="I107" s="169" t="s">
        <v>1647</v>
      </c>
      <c r="K107" s="109"/>
    </row>
    <row r="108" spans="1:13">
      <c r="B108" s="68" t="s">
        <v>1592</v>
      </c>
      <c r="C108" s="169" t="s">
        <v>1598</v>
      </c>
      <c r="D108" s="68">
        <v>6.3</v>
      </c>
      <c r="E108" s="169" t="s">
        <v>1614</v>
      </c>
      <c r="F108" s="194" t="s">
        <v>1624</v>
      </c>
      <c r="G108" s="194"/>
    </row>
    <row r="109" spans="1:13">
      <c r="B109" s="169" t="s">
        <v>1593</v>
      </c>
      <c r="C109" s="169" t="s">
        <v>1599</v>
      </c>
      <c r="D109" s="169"/>
    </row>
    <row r="111" spans="1:13">
      <c r="B111" s="195" t="s">
        <v>35</v>
      </c>
      <c r="C111" s="196"/>
      <c r="D111" s="10" t="s">
        <v>35</v>
      </c>
      <c r="E111" s="10" t="s">
        <v>1205</v>
      </c>
      <c r="F111" s="20" t="s">
        <v>1608</v>
      </c>
      <c r="G111" s="10" t="s">
        <v>1609</v>
      </c>
      <c r="H111" s="26" t="s">
        <v>55</v>
      </c>
      <c r="I111" s="171" t="s">
        <v>15</v>
      </c>
      <c r="J111" s="108" t="s">
        <v>16</v>
      </c>
      <c r="K111" s="10" t="s">
        <v>1611</v>
      </c>
      <c r="L111" s="10" t="s">
        <v>1612</v>
      </c>
    </row>
    <row r="112" spans="1:13">
      <c r="B112" s="27">
        <v>47021</v>
      </c>
      <c r="C112" s="27" t="s">
        <v>1605</v>
      </c>
      <c r="D112" s="27" t="str">
        <f>IF(D18="","",VLOOKUP(D18,$B$112:$C$115,2,FALSE))</f>
        <v>JB/T4703</v>
      </c>
      <c r="E112" s="23">
        <f>B18</f>
        <v>600</v>
      </c>
      <c r="F112" s="12">
        <f>F18</f>
        <v>2.5</v>
      </c>
      <c r="G112" s="27" t="s">
        <v>1603</v>
      </c>
      <c r="H112" s="14">
        <f>IF(D112="","",flangwt(D112,E112,F112,G112))</f>
        <v>71.599999999999994</v>
      </c>
      <c r="I112" s="108">
        <f>IF(D112="","",_xlfn.IFS(D112="JB/T4701",jbt4701cs("D",F112,E112),D112="JB/T4702",jbt4702cs("D",F112,E112),D112="JB/T4703",jbt4703cs("D",F112,E112),D112="其他",jbt4702cs("D",F112,E112)))</f>
        <v>760</v>
      </c>
      <c r="J112" s="108">
        <f>IF(D112="","",_xlfn.IFS(D112="JB/T4701",jbt4701cs("T",F112,E112),D112="JB/T4702",jbt4702cs("T",F112,E112),D112="JB/T4703",jbt4703cs("T",F112,E112),D112="其他",jbt4702cs("T",F112,E112)))</f>
        <v>42</v>
      </c>
      <c r="K112" s="1">
        <f>IF(D112="","",_xlfn.IFS(D112="JB/T4701",jbt4701cs("n",F112,E112),D112="JB/T4702",jbt4702cs("n",F112,E112),D112="JB/T4703",jbt4703cs("n",F112,E112),D112="其他",jbt4702cs("n",F112,E112)))</f>
        <v>24</v>
      </c>
      <c r="L112" s="1">
        <f>IF(D112="","",_xlfn.IFS(D112="JB/T4701",jbt4701cs("M",F112,E112),D112="JB/T4702",jbt4702cs("M",F112,E112),D112="JB/T4703",jbt4703cs("M",F112,E112),D112="其他",jbt4702cs("n",F112,E112)))</f>
        <v>24</v>
      </c>
    </row>
    <row r="113" spans="2:12">
      <c r="B113" s="27">
        <v>47022</v>
      </c>
      <c r="C113" s="27" t="s">
        <v>1606</v>
      </c>
      <c r="D113" s="27" t="str">
        <f>IF(D19="","",VLOOKUP(D19,$B$112:$C$115,2,FALSE))</f>
        <v/>
      </c>
      <c r="E113" s="23" t="str">
        <f>B19</f>
        <v/>
      </c>
      <c r="F113" s="12">
        <f>F19</f>
        <v>0</v>
      </c>
      <c r="G113" s="27" t="s">
        <v>1603</v>
      </c>
      <c r="H113" s="14" t="str">
        <f>IF(D113="","",flangwt(D113,E113,F113,G113))</f>
        <v/>
      </c>
      <c r="I113" s="108" t="str">
        <f>IF(D113="","",_xlfn.IFS(D113="JB/T4701",jbt4701cs("D",F113,E113),D113="JB/T4702",jbt4702cs("D",F113,E113),D113="JB/T4703",jbt4703cs("D",F113,E113),D113="其他",jbt4702cs("D",F113,E113)))</f>
        <v/>
      </c>
      <c r="J113" s="108" t="str">
        <f>IF(D113="","",_xlfn.IFS(D113="JB/T4701",jbt4701cs("T",F113,E113),D113="JB/T4702",jbt4702cs("T",F113,E113),D113="JB/T4703",jbt4703cs("T",F113,E113),D113="其他",jbt4702cs("T",F113,E113)))</f>
        <v/>
      </c>
      <c r="K113" s="1"/>
      <c r="L113" s="1"/>
    </row>
    <row r="114" spans="2:12">
      <c r="B114" s="27">
        <v>47023</v>
      </c>
      <c r="C114" s="27" t="s">
        <v>1607</v>
      </c>
      <c r="D114" s="27" t="str">
        <f>IF(D20="","",VLOOKUP(D20,$B$112:$C$115,2,FALSE))</f>
        <v/>
      </c>
      <c r="E114" s="23">
        <f>B20</f>
        <v>0</v>
      </c>
      <c r="F114" s="12">
        <f>F20</f>
        <v>0</v>
      </c>
      <c r="G114" s="27" t="s">
        <v>1603</v>
      </c>
      <c r="H114" s="14" t="str">
        <f>IF(D114="","",flangwt(D114,E114,F114,G114))</f>
        <v/>
      </c>
      <c r="I114" s="108" t="str">
        <f>IF(D114="","",_xlfn.IFS(D114="JB/T4701",jbt4701cs("D",F114,E114),D114="JB/T4702",jbt4702cs("D",F114,E114),D114="JB/T4703",jbt4703cs("D",F114,E114),D114="其他",jbt4702cs("D",F114,E114)))</f>
        <v/>
      </c>
      <c r="J114" s="108" t="str">
        <f>IF(D114="","",_xlfn.IFS(D114="JB/T4701",jbt4701cs("T",F114,E114),D114="JB/T4702",jbt4702cs("T",F114,E114),D114="JB/T4703",jbt4703cs("T",F114,E114),D114="其他",jbt4702cs("T",F114,E114)))</f>
        <v/>
      </c>
      <c r="K114" s="1"/>
      <c r="L114" s="1"/>
    </row>
    <row r="115" spans="2:12">
      <c r="B115" s="27" t="s">
        <v>1602</v>
      </c>
      <c r="C115" s="27" t="s">
        <v>1606</v>
      </c>
    </row>
    <row r="116" spans="2:12">
      <c r="B116" s="27"/>
      <c r="C116" s="27"/>
      <c r="G116" s="169" t="s">
        <v>1610</v>
      </c>
      <c r="J116" s="169" t="s">
        <v>1575</v>
      </c>
    </row>
    <row r="118" spans="2:12">
      <c r="B118" s="163" t="s">
        <v>1529</v>
      </c>
      <c r="C118" s="104">
        <v>2</v>
      </c>
      <c r="E118" s="115" t="s">
        <v>1201</v>
      </c>
      <c r="F118" s="197" t="s">
        <v>1202</v>
      </c>
      <c r="G118" s="198"/>
      <c r="H118" s="199"/>
      <c r="J118" s="68" t="s">
        <v>1552</v>
      </c>
      <c r="K118" s="68">
        <v>28</v>
      </c>
    </row>
    <row r="119" spans="2:12">
      <c r="B119" s="163" t="s">
        <v>1530</v>
      </c>
      <c r="C119" s="104">
        <v>5</v>
      </c>
      <c r="E119" s="115" t="s">
        <v>1203</v>
      </c>
      <c r="F119" s="197" t="s">
        <v>1204</v>
      </c>
      <c r="G119" s="198"/>
      <c r="H119" s="199"/>
      <c r="J119" s="68" t="s">
        <v>1576</v>
      </c>
      <c r="K119" s="68">
        <v>19</v>
      </c>
    </row>
    <row r="120" spans="2:12">
      <c r="B120" s="163" t="s">
        <v>1531</v>
      </c>
      <c r="C120" s="104">
        <v>11</v>
      </c>
      <c r="E120" s="115" t="s">
        <v>1205</v>
      </c>
      <c r="F120" s="1" t="s">
        <v>142</v>
      </c>
      <c r="G120" s="1"/>
      <c r="H120" s="1" t="s">
        <v>143</v>
      </c>
      <c r="J120" s="169" t="s">
        <v>1627</v>
      </c>
      <c r="K120" s="68">
        <v>75</v>
      </c>
    </row>
    <row r="121" spans="2:12">
      <c r="B121" s="163" t="s">
        <v>1532</v>
      </c>
      <c r="C121" s="104">
        <v>15</v>
      </c>
      <c r="E121" s="115">
        <v>10</v>
      </c>
      <c r="F121" s="1">
        <v>17.2</v>
      </c>
      <c r="G121" s="1"/>
      <c r="H121" s="1">
        <v>14</v>
      </c>
      <c r="J121" s="169" t="s">
        <v>1628</v>
      </c>
      <c r="K121" s="68">
        <v>45</v>
      </c>
    </row>
    <row r="122" spans="2:12">
      <c r="B122" s="163" t="s">
        <v>1539</v>
      </c>
      <c r="C122" s="104">
        <v>0.25</v>
      </c>
      <c r="E122" s="115">
        <v>15</v>
      </c>
      <c r="F122" s="1">
        <v>21.3</v>
      </c>
      <c r="G122" s="1"/>
      <c r="H122" s="1">
        <v>18</v>
      </c>
      <c r="J122" s="169" t="s">
        <v>1904</v>
      </c>
      <c r="K122" s="68">
        <v>33</v>
      </c>
    </row>
    <row r="123" spans="2:12">
      <c r="B123" s="163" t="s">
        <v>1533</v>
      </c>
      <c r="C123" s="104">
        <v>0.6</v>
      </c>
      <c r="E123" s="115">
        <v>20</v>
      </c>
      <c r="F123" s="1">
        <v>26.9</v>
      </c>
      <c r="G123" s="1"/>
      <c r="H123" s="1">
        <v>25</v>
      </c>
      <c r="J123" s="169" t="s">
        <v>1905</v>
      </c>
      <c r="K123" s="68">
        <v>50</v>
      </c>
    </row>
    <row r="124" spans="2:12">
      <c r="B124" s="163" t="s">
        <v>1534</v>
      </c>
      <c r="C124" s="104">
        <v>1</v>
      </c>
      <c r="E124" s="115">
        <v>25</v>
      </c>
      <c r="F124" s="1">
        <v>33.700000000000003</v>
      </c>
      <c r="G124" s="1"/>
      <c r="H124" s="1">
        <v>32</v>
      </c>
      <c r="J124" s="169" t="s">
        <v>1906</v>
      </c>
      <c r="K124" s="68">
        <v>48</v>
      </c>
    </row>
    <row r="125" spans="2:12">
      <c r="B125" s="163" t="s">
        <v>1535</v>
      </c>
      <c r="C125" s="104">
        <v>1.6</v>
      </c>
      <c r="E125" s="115">
        <v>32</v>
      </c>
      <c r="F125" s="1">
        <v>42.4</v>
      </c>
      <c r="G125" s="1"/>
      <c r="H125" s="1">
        <v>38</v>
      </c>
      <c r="J125" s="169" t="s">
        <v>1909</v>
      </c>
      <c r="K125" s="68">
        <v>45</v>
      </c>
    </row>
    <row r="126" spans="2:12">
      <c r="B126" s="163" t="s">
        <v>1536</v>
      </c>
      <c r="C126" s="104">
        <v>2.5</v>
      </c>
      <c r="E126" s="115">
        <v>40</v>
      </c>
      <c r="F126" s="1">
        <v>48.3</v>
      </c>
      <c r="G126" s="1"/>
      <c r="H126" s="1">
        <v>45</v>
      </c>
      <c r="J126" s="169" t="s">
        <v>1910</v>
      </c>
      <c r="K126" s="68">
        <v>34</v>
      </c>
    </row>
    <row r="127" spans="2:12">
      <c r="B127" s="163" t="s">
        <v>1537</v>
      </c>
      <c r="C127" s="104">
        <v>4</v>
      </c>
      <c r="E127" s="115">
        <v>50</v>
      </c>
      <c r="F127" s="1">
        <v>60.3</v>
      </c>
      <c r="G127" s="1"/>
      <c r="H127" s="1">
        <v>57</v>
      </c>
      <c r="J127" s="169" t="s">
        <v>1625</v>
      </c>
      <c r="K127" s="68">
        <v>800</v>
      </c>
    </row>
    <row r="128" spans="2:12">
      <c r="B128" s="163" t="s">
        <v>1538</v>
      </c>
      <c r="C128" s="104">
        <v>6.3</v>
      </c>
      <c r="E128" s="115">
        <v>65</v>
      </c>
      <c r="F128" s="1">
        <v>76.099999999999994</v>
      </c>
      <c r="G128" s="1"/>
      <c r="H128" s="1">
        <v>76</v>
      </c>
      <c r="J128" s="169" t="s">
        <v>1626</v>
      </c>
      <c r="K128" s="68">
        <v>1100</v>
      </c>
    </row>
    <row r="129" spans="2:13">
      <c r="E129" s="115">
        <v>80</v>
      </c>
      <c r="F129" s="1">
        <v>88.9</v>
      </c>
      <c r="G129" s="1"/>
      <c r="H129" s="1">
        <v>89</v>
      </c>
      <c r="J129" s="68" t="s">
        <v>1580</v>
      </c>
      <c r="K129" s="68">
        <v>800</v>
      </c>
    </row>
    <row r="130" spans="2:13">
      <c r="E130" s="115">
        <v>100</v>
      </c>
      <c r="F130" s="1">
        <v>114.3</v>
      </c>
      <c r="G130" s="1"/>
      <c r="H130" s="1">
        <v>108</v>
      </c>
      <c r="J130" s="169" t="s">
        <v>1629</v>
      </c>
      <c r="K130" s="68">
        <v>30</v>
      </c>
    </row>
    <row r="131" spans="2:13">
      <c r="E131" s="115">
        <v>125</v>
      </c>
      <c r="F131" s="1">
        <v>139.69999999999999</v>
      </c>
      <c r="G131" s="1"/>
      <c r="H131" s="1">
        <v>133</v>
      </c>
      <c r="J131" s="169" t="s">
        <v>1907</v>
      </c>
      <c r="K131" s="68">
        <v>33</v>
      </c>
    </row>
    <row r="132" spans="2:13">
      <c r="E132" s="115">
        <v>150</v>
      </c>
      <c r="F132" s="1">
        <v>168.3</v>
      </c>
      <c r="G132" s="1"/>
      <c r="H132" s="1">
        <v>159</v>
      </c>
      <c r="J132" s="169" t="s">
        <v>1908</v>
      </c>
      <c r="K132" s="68">
        <v>26</v>
      </c>
    </row>
    <row r="133" spans="2:13">
      <c r="E133" s="115">
        <v>200</v>
      </c>
      <c r="F133" s="1">
        <v>219.1</v>
      </c>
      <c r="G133" s="1"/>
      <c r="H133" s="1">
        <v>219</v>
      </c>
      <c r="J133" s="169" t="s">
        <v>1911</v>
      </c>
      <c r="K133" s="68">
        <v>86</v>
      </c>
    </row>
    <row r="134" spans="2:13">
      <c r="E134" s="115">
        <v>250</v>
      </c>
      <c r="F134" s="116">
        <v>273</v>
      </c>
      <c r="G134" s="116"/>
      <c r="H134" s="116">
        <v>273</v>
      </c>
      <c r="J134" s="169" t="s">
        <v>1912</v>
      </c>
      <c r="K134" s="68">
        <v>75</v>
      </c>
    </row>
    <row r="135" spans="2:13">
      <c r="E135" s="115">
        <v>300</v>
      </c>
      <c r="F135" s="1">
        <v>323.89999999999998</v>
      </c>
      <c r="G135" s="1"/>
      <c r="H135" s="1">
        <v>325</v>
      </c>
      <c r="J135" s="169" t="s">
        <v>1602</v>
      </c>
      <c r="K135" s="68">
        <v>800</v>
      </c>
    </row>
    <row r="136" spans="2:13">
      <c r="E136" s="115">
        <v>350</v>
      </c>
      <c r="F136" s="1">
        <v>355.6</v>
      </c>
      <c r="G136" s="1"/>
      <c r="H136" s="1">
        <v>377</v>
      </c>
    </row>
    <row r="137" spans="2:13">
      <c r="E137" s="115">
        <v>400</v>
      </c>
      <c r="F137" s="1">
        <v>406.4</v>
      </c>
      <c r="G137" s="1"/>
      <c r="H137" s="1">
        <v>426</v>
      </c>
    </row>
    <row r="138" spans="2:13">
      <c r="E138" s="115">
        <v>450</v>
      </c>
      <c r="F138" s="1">
        <v>457</v>
      </c>
      <c r="G138" s="1"/>
      <c r="H138" s="1">
        <v>480</v>
      </c>
    </row>
    <row r="139" spans="2:13">
      <c r="E139" s="115">
        <v>500</v>
      </c>
      <c r="F139" s="1">
        <v>508</v>
      </c>
      <c r="G139" s="1"/>
      <c r="H139" s="1">
        <v>530</v>
      </c>
    </row>
    <row r="140" spans="2:13">
      <c r="E140" s="115">
        <v>600</v>
      </c>
      <c r="F140" s="1">
        <v>610</v>
      </c>
      <c r="G140" s="1"/>
      <c r="H140" s="1">
        <v>630</v>
      </c>
    </row>
    <row r="142" spans="2:13">
      <c r="B142" s="106" t="s">
        <v>1206</v>
      </c>
      <c r="C142" s="106"/>
      <c r="D142" s="106"/>
      <c r="E142" s="106"/>
      <c r="F142" s="106"/>
      <c r="G142" s="28"/>
      <c r="H142" s="28"/>
      <c r="I142" s="28"/>
      <c r="L142" s="28"/>
      <c r="M142" s="28"/>
    </row>
    <row r="143" spans="2:13">
      <c r="B143" s="193">
        <v>20592</v>
      </c>
      <c r="C143" s="193"/>
      <c r="D143" s="106" t="s">
        <v>116</v>
      </c>
      <c r="E143" s="106" t="s">
        <v>115</v>
      </c>
      <c r="F143" s="106" t="s">
        <v>1190</v>
      </c>
      <c r="G143" s="28"/>
      <c r="H143" s="193">
        <v>20615</v>
      </c>
      <c r="I143" s="193"/>
      <c r="L143" s="106" t="s">
        <v>1190</v>
      </c>
    </row>
    <row r="144" spans="2:13">
      <c r="B144" s="106">
        <f>B24</f>
        <v>250</v>
      </c>
      <c r="C144" s="106" t="str">
        <f>MID(F24,3,3)</f>
        <v>150</v>
      </c>
      <c r="D144" s="28" t="e">
        <f t="array" ref="D144">VLOOKUP(C144&amp;B144,IF({1,0},LSPN1&amp;LSDN1,LSSL1),2,0)</f>
        <v>#N/A</v>
      </c>
      <c r="E144" s="28" t="e">
        <f t="array" ref="E144">VLOOKUP(C144&amp;B144,IF({1,0},LSPN1&amp;LSDN1,LSGG),2,0)</f>
        <v>#N/A</v>
      </c>
      <c r="F144" s="28" t="e">
        <f t="array" ref="F144">VLOOKUP(C144&amp;B144,IF({1,0},LSPN1&amp;LSDN1,LSCD),2,0)</f>
        <v>#N/A</v>
      </c>
      <c r="G144" s="28"/>
      <c r="H144" s="106">
        <f>B24</f>
        <v>250</v>
      </c>
      <c r="I144" s="106" t="str">
        <f>MID(F24,3,3)</f>
        <v>150</v>
      </c>
      <c r="L144" s="28">
        <f t="array" ref="L144">VLOOKUP(I144&amp;H144,IF({1,0},BLPN1&amp;BLDN1,LSCD1),2,0)</f>
        <v>130</v>
      </c>
    </row>
    <row r="145" spans="2:12">
      <c r="B145" s="106">
        <f t="shared" ref="B145:B152" si="23">B25</f>
        <v>50</v>
      </c>
      <c r="C145" s="106" t="str">
        <f t="shared" ref="C145:C152" si="24">MID(F25,3,3)</f>
        <v>150</v>
      </c>
      <c r="D145" s="28" t="e">
        <f t="array" ref="D145">VLOOKUP(C145&amp;B145,IF({1,0},LSPN1&amp;LSDN1,LSSL1),2,0)</f>
        <v>#N/A</v>
      </c>
      <c r="E145" s="28" t="e">
        <f t="array" ref="E145">VLOOKUP(C145&amp;B145,IF({1,0},LSPN1&amp;LSDN1,LSGG),2,0)</f>
        <v>#N/A</v>
      </c>
      <c r="F145" s="28" t="e">
        <f t="array" ref="F145">VLOOKUP(C145&amp;B145,IF({1,0},LSPN1&amp;LSDN1,LSCD),2,0)</f>
        <v>#N/A</v>
      </c>
      <c r="G145" s="28"/>
      <c r="H145" s="106">
        <f t="shared" ref="H145:H152" si="25">B25</f>
        <v>50</v>
      </c>
      <c r="I145" s="106" t="str">
        <f t="shared" ref="I145:I152" si="26">MID(F25,3,3)</f>
        <v>150</v>
      </c>
      <c r="L145" s="28">
        <f t="array" ref="L145">VLOOKUP(I145&amp;H145,IF({1,0},BLPN1&amp;BLDN1,LSCD1),2,0)</f>
        <v>85</v>
      </c>
    </row>
    <row r="146" spans="2:12">
      <c r="B146" s="106">
        <f t="shared" si="23"/>
        <v>25</v>
      </c>
      <c r="C146" s="106" t="str">
        <f t="shared" si="24"/>
        <v>150</v>
      </c>
      <c r="D146" s="28" t="e">
        <f t="array" ref="D146">VLOOKUP(C146&amp;B146,IF({1,0},LSPN1&amp;LSDN1,LSSL1),2,0)</f>
        <v>#N/A</v>
      </c>
      <c r="E146" s="28" t="e">
        <f t="array" ref="E146">VLOOKUP(C146&amp;B146,IF({1,0},LSPN1&amp;LSDN1,LSGG),2,0)</f>
        <v>#N/A</v>
      </c>
      <c r="F146" s="28" t="e">
        <f t="array" ref="F146">VLOOKUP(C146&amp;B146,IF({1,0},LSPN1&amp;LSDN1,LSCD),2,0)</f>
        <v>#N/A</v>
      </c>
      <c r="G146" s="28"/>
      <c r="H146" s="106">
        <f t="shared" si="25"/>
        <v>25</v>
      </c>
      <c r="I146" s="106" t="str">
        <f t="shared" si="26"/>
        <v>150</v>
      </c>
      <c r="L146" s="28">
        <f t="array" ref="L146">VLOOKUP(I146&amp;H146,IF({1,0},BLPN1&amp;BLDN1,LSCD1),2,0)</f>
        <v>70</v>
      </c>
    </row>
    <row r="147" spans="2:12">
      <c r="B147" s="106">
        <f t="shared" si="23"/>
        <v>0</v>
      </c>
      <c r="C147" s="106" t="str">
        <f t="shared" si="24"/>
        <v>150</v>
      </c>
      <c r="D147" s="28" t="e">
        <f t="array" ref="D147">VLOOKUP(C147&amp;B147,IF({1,0},LSPN1&amp;LSDN1,LSSL1),2,0)</f>
        <v>#N/A</v>
      </c>
      <c r="E147" s="28" t="e">
        <f t="array" ref="E147">VLOOKUP(C147&amp;B147,IF({1,0},LSPN1&amp;LSDN1,LSGG),2,0)</f>
        <v>#N/A</v>
      </c>
      <c r="F147" s="28" t="e">
        <f t="array" ref="F147">VLOOKUP(C147&amp;B147,IF({1,0},LSPN1&amp;LSDN1,LSCD),2,0)</f>
        <v>#N/A</v>
      </c>
      <c r="G147" s="28"/>
      <c r="H147" s="106">
        <f t="shared" si="25"/>
        <v>0</v>
      </c>
      <c r="I147" s="106" t="str">
        <f t="shared" si="26"/>
        <v>150</v>
      </c>
      <c r="L147" s="28" t="e">
        <f t="array" ref="L147">VLOOKUP(I147&amp;H147,IF({1,0},BLPN1&amp;BLDN1,LSCD1),2,0)</f>
        <v>#N/A</v>
      </c>
    </row>
    <row r="148" spans="2:12">
      <c r="B148" s="106">
        <f t="shared" si="23"/>
        <v>0</v>
      </c>
      <c r="C148" s="106" t="str">
        <f t="shared" si="24"/>
        <v>600</v>
      </c>
      <c r="D148" s="28" t="e">
        <f t="array" ref="D148">VLOOKUP(C148&amp;B148,IF({1,0},LSPN1&amp;LSDN1,LSSL1),2,0)</f>
        <v>#N/A</v>
      </c>
      <c r="E148" s="28" t="e">
        <f t="array" ref="E148">VLOOKUP(C148&amp;B148,IF({1,0},LSPN1&amp;LSDN1,LSGG),2,0)</f>
        <v>#N/A</v>
      </c>
      <c r="F148" s="28" t="e">
        <f t="array" ref="F148">VLOOKUP(C148&amp;B148,IF({1,0},LSPN1&amp;LSDN1,LSCD),2,0)</f>
        <v>#N/A</v>
      </c>
      <c r="G148" s="28"/>
      <c r="H148" s="106">
        <f t="shared" si="25"/>
        <v>0</v>
      </c>
      <c r="I148" s="106" t="str">
        <f t="shared" si="26"/>
        <v>600</v>
      </c>
      <c r="L148" s="28" t="e">
        <f t="array" ref="L148">VLOOKUP(I148&amp;H148,IF({1,0},BLPN1&amp;BLDN1,LSCD1),2,0)</f>
        <v>#N/A</v>
      </c>
    </row>
    <row r="149" spans="2:12">
      <c r="B149" s="106">
        <f t="shared" si="23"/>
        <v>0</v>
      </c>
      <c r="C149" s="106" t="str">
        <f t="shared" si="24"/>
        <v>150</v>
      </c>
      <c r="D149" s="28" t="e">
        <f t="array" ref="D149">VLOOKUP(C149&amp;B149,IF({1,0},LSPN1&amp;LSDN1,LSSL1),2,0)</f>
        <v>#N/A</v>
      </c>
      <c r="E149" s="28" t="e">
        <f t="array" ref="E149">VLOOKUP(C149&amp;B149,IF({1,0},LSPN1&amp;LSDN1,LSGG),2,0)</f>
        <v>#N/A</v>
      </c>
      <c r="F149" s="28" t="e">
        <f t="array" ref="F149">VLOOKUP(C149&amp;B149,IF({1,0},LSPN1&amp;LSDN1,LSCD),2,0)</f>
        <v>#N/A</v>
      </c>
      <c r="G149" s="28"/>
      <c r="H149" s="106">
        <f t="shared" si="25"/>
        <v>0</v>
      </c>
      <c r="I149" s="106" t="str">
        <f t="shared" si="26"/>
        <v>150</v>
      </c>
      <c r="J149" s="28"/>
      <c r="K149" s="28"/>
      <c r="L149" s="28" t="e">
        <f t="array" ref="L149">VLOOKUP(I149&amp;H149,IF({1,0},BLPN1&amp;BLDN1,LSCD1),2,0)</f>
        <v>#N/A</v>
      </c>
    </row>
    <row r="150" spans="2:12">
      <c r="B150" s="106">
        <f t="shared" si="23"/>
        <v>0</v>
      </c>
      <c r="C150" s="106" t="str">
        <f t="shared" si="24"/>
        <v>150</v>
      </c>
      <c r="D150" s="28" t="e">
        <f t="array" ref="D150">VLOOKUP(C150&amp;B150,IF({1,0},LSPN1&amp;LSDN1,LSSL1),2,0)</f>
        <v>#N/A</v>
      </c>
      <c r="E150" s="28" t="e">
        <f t="array" ref="E150">VLOOKUP(C150&amp;B150,IF({1,0},LSPN1&amp;LSDN1,LSGG),2,0)</f>
        <v>#N/A</v>
      </c>
      <c r="F150" s="28" t="e">
        <f t="array" ref="F150">VLOOKUP(C150&amp;B150,IF({1,0},LSPN1&amp;LSDN1,LSCD),2,0)</f>
        <v>#N/A</v>
      </c>
      <c r="G150" s="28"/>
      <c r="H150" s="106">
        <f t="shared" si="25"/>
        <v>0</v>
      </c>
      <c r="I150" s="106" t="str">
        <f t="shared" si="26"/>
        <v>150</v>
      </c>
      <c r="J150" s="106" t="s">
        <v>116</v>
      </c>
      <c r="K150" s="106" t="s">
        <v>115</v>
      </c>
      <c r="L150" s="28" t="e">
        <f t="array" ref="L150">VLOOKUP(I150&amp;H150,IF({1,0},BLPN1&amp;BLDN1,LSCD1),2,0)</f>
        <v>#N/A</v>
      </c>
    </row>
    <row r="151" spans="2:12">
      <c r="B151" s="106">
        <f t="shared" si="23"/>
        <v>0</v>
      </c>
      <c r="C151" s="106" t="str">
        <f t="shared" si="24"/>
        <v/>
      </c>
      <c r="D151" s="28" t="e">
        <f t="array" ref="D151">VLOOKUP(C151&amp;B151,IF({1,0},LSPN1&amp;LSDN1,LSSL1),2,0)</f>
        <v>#N/A</v>
      </c>
      <c r="E151" s="28" t="e">
        <f t="array" ref="E151">VLOOKUP(C151&amp;B151,IF({1,0},LSPN1&amp;LSDN1,LSGG),2,0)</f>
        <v>#N/A</v>
      </c>
      <c r="F151" s="28" t="e">
        <f t="array" ref="F151">VLOOKUP(C151&amp;B151,IF({1,0},LSPN1&amp;LSDN1,LSCD),2,0)</f>
        <v>#N/A</v>
      </c>
      <c r="G151" s="28"/>
      <c r="H151" s="106">
        <f t="shared" si="25"/>
        <v>0</v>
      </c>
      <c r="I151" s="106" t="str">
        <f t="shared" si="26"/>
        <v/>
      </c>
      <c r="J151" s="28">
        <f t="array" ref="J151">VLOOKUP(I144&amp;H144,IF({1,0},BLPN1&amp;BLDN1,_LSK1),2,0)</f>
        <v>12</v>
      </c>
      <c r="K151" s="28" t="str">
        <f t="array" ref="K151">VLOOKUP(I144&amp;H144,IF({1,0},BLPN1&amp;BLDN1,LSGG1),2,0)</f>
        <v>M24</v>
      </c>
      <c r="L151" s="28" t="e">
        <f t="array" ref="L151">VLOOKUP(I151&amp;H151,IF({1,0},BLPN1&amp;BLDN1,LSCD1),2,0)</f>
        <v>#N/A</v>
      </c>
    </row>
    <row r="152" spans="2:12">
      <c r="B152" s="106">
        <f t="shared" si="23"/>
        <v>0</v>
      </c>
      <c r="C152" s="106" t="str">
        <f t="shared" si="24"/>
        <v/>
      </c>
      <c r="D152" s="28" t="e">
        <f t="array" ref="D152">VLOOKUP(C152&amp;B152,IF({1,0},LSPN1&amp;LSDN1,LSSL1),2,0)</f>
        <v>#N/A</v>
      </c>
      <c r="E152" s="28" t="e">
        <f t="array" ref="E152">VLOOKUP(C152&amp;B152,IF({1,0},LSPN1&amp;LSDN1,LSGG),2,0)</f>
        <v>#N/A</v>
      </c>
      <c r="F152" s="28" t="e">
        <f t="array" ref="F152">VLOOKUP(C152&amp;B152,IF({1,0},LSPN1&amp;LSDN1,LSCD),2,0)</f>
        <v>#N/A</v>
      </c>
      <c r="G152" s="28"/>
      <c r="H152" s="106">
        <f t="shared" si="25"/>
        <v>0</v>
      </c>
      <c r="I152" s="106" t="str">
        <f t="shared" si="26"/>
        <v/>
      </c>
      <c r="J152" s="28">
        <f t="array" ref="J152">VLOOKUP(I145&amp;H145,IF({1,0},BLPN1&amp;BLDN1,_LSK1),2,0)</f>
        <v>4</v>
      </c>
      <c r="K152" s="28" t="str">
        <f t="array" ref="K152">VLOOKUP(I145&amp;H145,IF({1,0},BLPN1&amp;BLDN1,LSGG1),2,0)</f>
        <v>M16</v>
      </c>
      <c r="L152" s="28" t="e">
        <f t="array" ref="L152">VLOOKUP(I152&amp;H152,IF({1,0},BLPN1&amp;BLDN1,LSCD1),2,0)</f>
        <v>#N/A</v>
      </c>
    </row>
    <row r="153" spans="2:12">
      <c r="J153" s="28">
        <f t="array" ref="J153">VLOOKUP(I146&amp;H146,IF({1,0},BLPN1&amp;BLDN1,_LSK1),2,0)</f>
        <v>4</v>
      </c>
      <c r="K153" s="28" t="str">
        <f t="array" ref="K153">VLOOKUP(I146&amp;H146,IF({1,0},BLPN1&amp;BLDN1,LSGG1),2,0)</f>
        <v>M14</v>
      </c>
    </row>
    <row r="154" spans="2:12">
      <c r="B154" s="152" t="s">
        <v>1495</v>
      </c>
      <c r="C154" s="166" t="s">
        <v>1543</v>
      </c>
      <c r="D154" s="28">
        <f>ROUNDUP(D156/2,0)</f>
        <v>855</v>
      </c>
      <c r="J154" s="28" t="e">
        <f t="array" ref="J154">VLOOKUP(I147&amp;H147,IF({1,0},BLPN1&amp;BLDN1,_LSK1),2,0)</f>
        <v>#N/A</v>
      </c>
      <c r="K154" s="28" t="e">
        <f t="array" ref="K154">VLOOKUP(I147&amp;H147,IF({1,0},BLPN1&amp;BLDN1,LSGG1),2,0)</f>
        <v>#N/A</v>
      </c>
    </row>
    <row r="155" spans="2:12">
      <c r="B155" s="28"/>
      <c r="C155" s="153" t="s">
        <v>1496</v>
      </c>
      <c r="D155" s="114">
        <f>ROUNDUP(D158*D159/4.5,0)</f>
        <v>380</v>
      </c>
      <c r="J155" s="28" t="e">
        <f t="array" ref="J155">VLOOKUP(I148&amp;H148,IF({1,0},BLPN1&amp;BLDN1,_LSK1),2,0)</f>
        <v>#N/A</v>
      </c>
      <c r="K155" s="28" t="e">
        <f t="array" ref="K155">VLOOKUP(I148&amp;H148,IF({1,0},BLPN1&amp;BLDN1,LSGG1),2,0)</f>
        <v>#N/A</v>
      </c>
    </row>
    <row r="156" spans="2:12">
      <c r="B156" s="28"/>
      <c r="C156" s="153" t="s">
        <v>1497</v>
      </c>
      <c r="D156" s="114">
        <f>D158*D159</f>
        <v>1710</v>
      </c>
      <c r="J156" s="28" t="e">
        <f t="array" ref="J156">VLOOKUP(I149&amp;H149,IF({1,0},BLPN1&amp;BLDN1,_LSK1),2,0)</f>
        <v>#N/A</v>
      </c>
      <c r="K156" s="28" t="e">
        <f t="array" ref="K156">VLOOKUP(I149&amp;H149,IF({1,0},BLPN1&amp;BLDN1,LSGG1),2,0)</f>
        <v>#N/A</v>
      </c>
    </row>
    <row r="157" spans="2:12">
      <c r="B157" s="28"/>
      <c r="C157" s="154">
        <v>0</v>
      </c>
      <c r="D157" s="28"/>
      <c r="J157" s="28" t="e">
        <f t="array" ref="J157">VLOOKUP(I150&amp;H150,IF({1,0},BLPN1&amp;BLDN1,_LSK1),2,0)</f>
        <v>#N/A</v>
      </c>
      <c r="K157" s="28" t="e">
        <f t="array" ref="K157">VLOOKUP(I150&amp;H150,IF({1,0},BLPN1&amp;BLDN1,LSGG1),2,0)</f>
        <v>#N/A</v>
      </c>
    </row>
    <row r="158" spans="2:12">
      <c r="B158" s="28"/>
      <c r="C158" s="162" t="s">
        <v>1540</v>
      </c>
      <c r="D158" s="28">
        <f>ROUNDUP(D160/D161,0)</f>
        <v>38</v>
      </c>
      <c r="J158" s="28" t="e">
        <f t="array" ref="J158">VLOOKUP(I151&amp;H151,IF({1,0},LSPN1&amp;LSDN1,LSSL1),2,0)</f>
        <v>#N/A</v>
      </c>
      <c r="K158" s="28" t="e">
        <f t="array" ref="K158">VLOOKUP(I151&amp;H151,IF({1,0},BLPN1&amp;BLDN1,LSGG1),2,0)</f>
        <v>#N/A</v>
      </c>
    </row>
    <row r="159" spans="2:12">
      <c r="B159" s="28"/>
      <c r="C159" s="162" t="s">
        <v>1525</v>
      </c>
      <c r="D159" s="28">
        <v>45</v>
      </c>
      <c r="J159" s="28" t="e">
        <f t="array" ref="J159">VLOOKUP(I152&amp;H152,IF({1,0},LSPN1&amp;LSDN1,LSSL1),2,0)</f>
        <v>#N/A</v>
      </c>
      <c r="K159" s="28" t="e">
        <f t="array" ref="K159">VLOOKUP(I152&amp;H152,IF({1,0},BLPN1&amp;BLDN1,LSGG1),2,0)</f>
        <v>#N/A</v>
      </c>
    </row>
    <row r="160" spans="2:12">
      <c r="B160" s="28"/>
      <c r="C160" s="162" t="s">
        <v>1541</v>
      </c>
      <c r="D160" s="28">
        <f>ROUNDUP((PI()*(C3+H3)*(1+ROUNDUP(E3/1500,0))+E3),0)*1.1+ROUNDUP((PI()*(C4+H4)*(1+ROUNDUP(E4/1500,0))+E4),0)*1.1</f>
        <v>9287.3000000000011</v>
      </c>
    </row>
    <row r="161" spans="2:4">
      <c r="B161" s="28"/>
      <c r="C161" s="162" t="s">
        <v>1542</v>
      </c>
      <c r="D161" s="28">
        <v>250</v>
      </c>
    </row>
  </sheetData>
  <protectedRanges>
    <protectedRange sqref="E18:E21" name="区域1_60_60_60_60_60_60_60_60_60_60_60_9_2"/>
    <protectedRange sqref="B24:B32" name="区域1_60_60_60_60_60_60_60_60_60_60_60_10_2"/>
    <protectedRange sqref="E24:E32" name="区域1_60_60_60_60_60_60_60_60_60_60_60_11_2"/>
    <protectedRange sqref="F24:F32" name="区域1_60_60_60_60_60_60_60_60_60_60_60_12_2"/>
    <protectedRange sqref="D24:D32" name="区域1_60_60_60_60_60_60_60_60_60_60_60_14_2"/>
    <protectedRange sqref="C18:C20 C24:C33 G71:G78 C35:C43 C48:C55" name="区域1_60_60_60_60_60_60_60_60_60_60_60_1_2"/>
    <protectedRange sqref="F18:F21" name="区域1_60_60_60_60_60_60_60_60_60_60_60_4"/>
    <protectedRange sqref="D111:H114" name="区域1_60_60_60_60_60_60_60_60_60_60_60_8_2"/>
    <protectedRange sqref="B118:C128" name="区域1_60_60_60_60_60_60_60_60_60_60_60_3_2"/>
    <protectedRange sqref="E118:H140" name="区域1_60_60_60_60_60_60_60_60_60_60_60_13_2"/>
    <protectedRange sqref="B142:C152 D144:E152 J149:K159 G144:I152 L143:L152 D142:I143 L142:M142" name="区域1_60_60_60_60_60_60_60_60_60_60_60_65_92_45_45_45_45"/>
    <protectedRange sqref="B154:D161" name="区域1_60_60_60_60_60_60_60_60_60_60_60_67_2"/>
    <protectedRange sqref="F144:F152" name="区域1_60_60_60_60_60_60_60_60_60_60_60_20_20_9_9_9_9"/>
  </protectedRanges>
  <autoFilter ref="A1:T81" xr:uid="{013CBF3E-BB57-4B03-8CD8-D1B8E1571162}">
    <filterColumn colId="1" showButton="0"/>
    <filterColumn colId="4" showButton="0"/>
    <filterColumn colId="6" showButton="0"/>
  </autoFilter>
  <mergeCells count="52">
    <mergeCell ref="F108:G108"/>
    <mergeCell ref="B111:C111"/>
    <mergeCell ref="F118:H118"/>
    <mergeCell ref="F119:H119"/>
    <mergeCell ref="B143:C143"/>
    <mergeCell ref="H143:I143"/>
    <mergeCell ref="F107:G107"/>
    <mergeCell ref="A57:M57"/>
    <mergeCell ref="A69:M69"/>
    <mergeCell ref="A71:A77"/>
    <mergeCell ref="C71:F71"/>
    <mergeCell ref="C73:F73"/>
    <mergeCell ref="C75:F75"/>
    <mergeCell ref="C77:F77"/>
    <mergeCell ref="C88:E88"/>
    <mergeCell ref="F103:G103"/>
    <mergeCell ref="F104:G104"/>
    <mergeCell ref="F105:G105"/>
    <mergeCell ref="F106:G106"/>
    <mergeCell ref="M46:M47"/>
    <mergeCell ref="L7:L8"/>
    <mergeCell ref="M7:M8"/>
    <mergeCell ref="A16:M16"/>
    <mergeCell ref="A22:M22"/>
    <mergeCell ref="A45:M45"/>
    <mergeCell ref="A46:A47"/>
    <mergeCell ref="B46:B47"/>
    <mergeCell ref="C46:C47"/>
    <mergeCell ref="D46:D47"/>
    <mergeCell ref="E46:G46"/>
    <mergeCell ref="H46:H47"/>
    <mergeCell ref="I46:I47"/>
    <mergeCell ref="J46:J47"/>
    <mergeCell ref="K46:K47"/>
    <mergeCell ref="L46:L47"/>
    <mergeCell ref="A6:M6"/>
    <mergeCell ref="A7:A8"/>
    <mergeCell ref="B7:B8"/>
    <mergeCell ref="C7:C8"/>
    <mergeCell ref="D7:D8"/>
    <mergeCell ref="E7:G7"/>
    <mergeCell ref="H7:H8"/>
    <mergeCell ref="I7:I8"/>
    <mergeCell ref="J7:J8"/>
    <mergeCell ref="K7:K8"/>
    <mergeCell ref="B1:C1"/>
    <mergeCell ref="E1:F1"/>
    <mergeCell ref="G1:H1"/>
    <mergeCell ref="A2:M2"/>
    <mergeCell ref="A3:A4"/>
    <mergeCell ref="F3:G3"/>
    <mergeCell ref="F4:G4"/>
  </mergeCells>
  <phoneticPr fontId="5" type="noConversion"/>
  <conditionalFormatting sqref="P6:T12 T13:T17">
    <cfRule type="expression" dxfId="3" priority="2">
      <formula>$N$1=0</formula>
    </cfRule>
  </conditionalFormatting>
  <conditionalFormatting sqref="P6:T17">
    <cfRule type="expression" dxfId="2" priority="1">
      <formula>$N$1=0</formula>
    </cfRule>
  </conditionalFormatting>
  <dataValidations count="19">
    <dataValidation type="list" allowBlank="1" showInputMessage="1" showErrorMessage="1" sqref="C54:C55" xr:uid="{0E47BA0C-FF5C-4F7A-BB7D-5D99C3B717F9}">
      <formula1>$J$4:$J$24</formula1>
    </dataValidation>
    <dataValidation type="list" allowBlank="1" showInputMessage="1" showErrorMessage="1" sqref="B9:B14" xr:uid="{DBD7DA60-2ED4-47C4-B9C2-09C7335545BC}">
      <formula1>$P$6:$P$17</formula1>
    </dataValidation>
    <dataValidation type="list" allowBlank="1" showInputMessage="1" showErrorMessage="1" sqref="M88:M93" xr:uid="{20EC1032-C20D-44C2-AEE2-8D8689E7D4C9}">
      <formula1>"需要,不需要"</formula1>
    </dataValidation>
    <dataValidation type="list" allowBlank="1" showInputMessage="1" showErrorMessage="1" sqref="M24:M32" xr:uid="{20F4B80D-F016-493A-A6D4-2712C822AECF}">
      <formula1>$I$103:$I$108</formula1>
    </dataValidation>
    <dataValidation type="list" allowBlank="1" showInputMessage="1" showErrorMessage="1" sqref="D9:D14" xr:uid="{DAC7E8E5-CD59-44CA-8A1B-7047AC4A206D}">
      <formula1>$H$103:$H$107</formula1>
    </dataValidation>
    <dataValidation type="list" allowBlank="1" showInputMessage="1" showErrorMessage="1" sqref="D18:D21" xr:uid="{6F28D9A2-2DF6-48D3-8D04-811748C9E905}">
      <formula1>$B$112:$B$116</formula1>
    </dataValidation>
    <dataValidation type="list" allowBlank="1" showInputMessage="1" showErrorMessage="1" sqref="G112:G114" xr:uid="{90E81828-1266-4595-9CC9-62F52AC24D9E}">
      <formula1>"FF,M,FM"</formula1>
    </dataValidation>
    <dataValidation type="list" allowBlank="1" showInputMessage="1" showErrorMessage="1" sqref="F18:F21" xr:uid="{F8E85AEA-5A1D-4FCF-BFF6-6A59E41E2984}">
      <formula1>$D$103:$D$109</formula1>
    </dataValidation>
    <dataValidation type="list" allowBlank="1" showInputMessage="1" showErrorMessage="1" sqref="D24:D32" xr:uid="{B9EDCEA6-FB7E-4004-BF22-D1FEEE4EB5CC}">
      <formula1>"HG20592,HG20615"</formula1>
    </dataValidation>
    <dataValidation type="list" showInputMessage="1" showErrorMessage="1" sqref="F24:F32" xr:uid="{3F449DB1-A8D6-4C25-BFBA-B4F4AF716A84}">
      <formula1>"PN2.5,PN6,PN10,PN16,PN25,PN40,PN63,CL150,CL300,CL600,CL900"</formula1>
    </dataValidation>
    <dataValidation type="list" allowBlank="1" showInputMessage="1" showErrorMessage="1" sqref="E24:E32" xr:uid="{76EC20A8-4C0B-4C56-A1DE-841D424EAED2}">
      <formula1>"WN,SO,PL,BL"</formula1>
    </dataValidation>
    <dataValidation type="list" allowBlank="1" showInputMessage="1" showErrorMessage="1" sqref="D15" xr:uid="{AD53ECE8-33CD-46FA-AB20-91E91F2DF231}">
      <formula1>"板材,管材,成品,其他,/"</formula1>
    </dataValidation>
    <dataValidation type="list" allowBlank="1" showInputMessage="1" showErrorMessage="1" sqref="L3:L4" xr:uid="{45D44762-53A7-4F56-9272-4948C3F49BE0}">
      <formula1>"有,无"</formula1>
    </dataValidation>
    <dataValidation type="list" allowBlank="1" showInputMessage="1" showErrorMessage="1" sqref="B15" xr:uid="{DBFFDE6B-232C-4FB3-B3D0-1EE22B4258F4}">
      <formula1>$P$7:$P$12</formula1>
    </dataValidation>
    <dataValidation type="list" allowBlank="1" showInputMessage="1" showErrorMessage="1" sqref="J86" xr:uid="{3689BC1D-C9C5-494D-8DC8-80772A973436}">
      <formula1>"RT100%,RT≥20%,RT≥50%,0"</formula1>
    </dataValidation>
    <dataValidation type="list" allowBlank="1" showInputMessage="1" showErrorMessage="1" sqref="B48:B52" xr:uid="{CD8B178A-A5A1-4E8F-B0B6-C9EDB83E20BE}">
      <formula1>$J$117:$J$135</formula1>
    </dataValidation>
    <dataValidation type="list" allowBlank="1" showInputMessage="1" showErrorMessage="1" sqref="B53:B55" xr:uid="{BD8F007A-B2FE-406E-8A43-2D0F735B08A9}">
      <formula1>$J$117:$J$130</formula1>
    </dataValidation>
    <dataValidation type="list" allowBlank="1" showInputMessage="1" showErrorMessage="1" sqref="C29:C32" xr:uid="{AA0C2A69-32BA-415B-B6EA-41015A5DBF41}">
      <formula1>$J$21:$J$26</formula1>
    </dataValidation>
    <dataValidation type="list" allowBlank="1" showInputMessage="1" showErrorMessage="1" sqref="C42:C43" xr:uid="{A7C4867F-9ACC-4046-AA82-BBB911B0E5F0}">
      <formula1>$J$12:$J$19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1C4E92C-CBBF-49DF-B4B8-EA1132310507}">
          <x14:formula1>
            <xm:f>支腿数据!$R$7:$R$30</xm:f>
          </x14:formula1>
          <xm:sqref>C77:F77</xm:sqref>
        </x14:dataValidation>
        <x14:dataValidation type="list" allowBlank="1" showInputMessage="1" showErrorMessage="1" xr:uid="{B4D74331-77AD-4172-9BAB-983EF75903F6}">
          <x14:formula1>
            <xm:f>钢管壁厚等级表!$D$2:$S$2</xm:f>
          </x14:formula1>
          <xm:sqref>F35:F43</xm:sqref>
        </x14:dataValidation>
        <x14:dataValidation type="list" allowBlank="1" showInputMessage="1" showErrorMessage="1" xr:uid="{A08DB4A1-E9EC-4401-B408-A6A2F7968C69}">
          <x14:formula1>
            <xm:f>汇总!$J$13:$J$19</xm:f>
          </x14:formula1>
          <xm:sqref>C39:C41</xm:sqref>
        </x14:dataValidation>
        <x14:dataValidation type="list" allowBlank="1" showInputMessage="1" showErrorMessage="1" xr:uid="{B38B3093-EC2F-49CC-89AA-B4F835419AB6}">
          <x14:formula1>
            <xm:f>汇总!$J$20:$J$25</xm:f>
          </x14:formula1>
          <xm:sqref>C24:C27</xm:sqref>
        </x14:dataValidation>
        <x14:dataValidation type="list" allowBlank="1" showInputMessage="1" showErrorMessage="1" xr:uid="{42028F43-27DD-4D8A-AD16-A3D2D331829E}">
          <x14:formula1>
            <xm:f>汇总!#REF!</xm:f>
          </x14:formula1>
          <xm:sqref>C33</xm:sqref>
        </x14:dataValidation>
        <x14:dataValidation type="list" allowBlank="1" showInputMessage="1" showErrorMessage="1" xr:uid="{9E340B51-1065-43EA-B505-A3BE6DA48978}">
          <x14:formula1>
            <xm:f>法兰理论重量表!$A$7:$A$36</xm:f>
          </x14:formula1>
          <xm:sqref>B24</xm:sqref>
        </x14:dataValidation>
        <x14:dataValidation type="list" allowBlank="1" showInputMessage="1" showErrorMessage="1" xr:uid="{AD27B525-AC05-44E1-977E-9DE6F96C997D}">
          <x14:formula1>
            <xm:f>法兰理论重量表!$A$6:$A$36</xm:f>
          </x14:formula1>
          <xm:sqref>B25:B32</xm:sqref>
        </x14:dataValidation>
        <x14:dataValidation type="list" allowBlank="1" showInputMessage="1" showErrorMessage="1" xr:uid="{5B1C0A8B-8FDF-40D4-BF30-6113412CD0EC}">
          <x14:formula1>
            <xm:f>支腿数据!$V$13:$V$20</xm:f>
          </x14:formula1>
          <xm:sqref>C75:F75</xm:sqref>
        </x14:dataValidation>
        <x14:dataValidation type="list" allowBlank="1" showInputMessage="1" showErrorMessage="1" xr:uid="{92105EFF-274C-4FC8-B1DE-FF57ADFE0299}">
          <x14:formula1>
            <xm:f>支腿数据!$L$2:$L$12</xm:f>
          </x14:formula1>
          <xm:sqref>C73:F73</xm:sqref>
        </x14:dataValidation>
        <x14:dataValidation type="list" allowBlank="1" showInputMessage="1" showErrorMessage="1" xr:uid="{C6F3C068-94E6-4885-A8AD-3783A1E6DEE3}">
          <x14:formula1>
            <xm:f>支腿数据!$B$30:$B$69</xm:f>
          </x14:formula1>
          <xm:sqref>C71:F71</xm:sqref>
        </x14:dataValidation>
        <x14:dataValidation type="list" allowBlank="1" showInputMessage="1" showErrorMessage="1" xr:uid="{F946F5B3-4CDD-4A8E-BD4C-367262844A98}">
          <x14:formula1>
            <xm:f>汇总!$J$4:$J$19</xm:f>
          </x14:formula1>
          <xm:sqref>C9:C15 I1 L1</xm:sqref>
        </x14:dataValidation>
        <x14:dataValidation type="list" allowBlank="1" showInputMessage="1" showErrorMessage="1" xr:uid="{BC25B14E-2D65-4733-87BD-A9076A983A94}">
          <x14:formula1>
            <xm:f>汇总!$J$4:$J$25</xm:f>
          </x14:formula1>
          <xm:sqref>C18:C20 C28 C35:C38 G71:G78 C48:C53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6E458-45DE-4E05-8D31-89985BEE828E}">
  <dimension ref="A1:T161"/>
  <sheetViews>
    <sheetView topLeftCell="A59" workbookViewId="0">
      <selection activeCell="U98" sqref="U98"/>
    </sheetView>
  </sheetViews>
  <sheetFormatPr defaultRowHeight="15.75"/>
  <cols>
    <col min="1" max="1" width="4.625" style="68" customWidth="1"/>
    <col min="2" max="2" width="10.5" style="68" bestFit="1" customWidth="1"/>
    <col min="3" max="3" width="9.5" style="68" bestFit="1" customWidth="1"/>
    <col min="4" max="4" width="10.5" style="68" bestFit="1" customWidth="1"/>
    <col min="5" max="5" width="9.25" style="68" customWidth="1"/>
    <col min="6" max="6" width="6.625" style="68" customWidth="1"/>
    <col min="7" max="7" width="8.875" style="68" customWidth="1"/>
    <col min="8" max="8" width="8.625" style="68" customWidth="1"/>
    <col min="9" max="9" width="7.875" style="68" customWidth="1"/>
    <col min="10" max="10" width="9.375" style="68" customWidth="1"/>
    <col min="11" max="12" width="10.625" style="68" customWidth="1"/>
    <col min="13" max="13" width="12" style="68" customWidth="1"/>
    <col min="14" max="14" width="11.625" style="68" bestFit="1" customWidth="1"/>
    <col min="15" max="15" width="33.75" style="134" customWidth="1"/>
    <col min="16" max="16" width="9" style="68" hidden="1" customWidth="1"/>
    <col min="17" max="18" width="5.5" style="68" hidden="1" customWidth="1"/>
    <col min="19" max="19" width="8.5" style="68" hidden="1" customWidth="1"/>
    <col min="20" max="20" width="2.5" style="68" hidden="1" customWidth="1"/>
    <col min="21" max="16384" width="9" style="68"/>
  </cols>
  <sheetData>
    <row r="1" spans="1:20" ht="27.75" customHeight="1">
      <c r="A1" s="107" t="s">
        <v>1586</v>
      </c>
      <c r="B1" s="195" t="s">
        <v>2005</v>
      </c>
      <c r="C1" s="196"/>
      <c r="D1" s="10" t="s">
        <v>1554</v>
      </c>
      <c r="E1" s="203" t="s">
        <v>1944</v>
      </c>
      <c r="F1" s="204"/>
      <c r="G1" s="203" t="s">
        <v>1569</v>
      </c>
      <c r="H1" s="203"/>
      <c r="I1" s="161" t="s">
        <v>1550</v>
      </c>
      <c r="J1" s="1" t="str">
        <f>IF(LEFT(I1,1)="S","不锈钢","碳钢")</f>
        <v>不锈钢</v>
      </c>
      <c r="K1" s="10" t="s">
        <v>1570</v>
      </c>
      <c r="L1" s="161" t="s">
        <v>1901</v>
      </c>
      <c r="M1" s="1" t="str">
        <f>IF(LEFT(L1,1)="S","不锈钢","碳钢")</f>
        <v>碳钢</v>
      </c>
    </row>
    <row r="2" spans="1:20" ht="20.100000000000001" customHeight="1">
      <c r="A2" s="211" t="s">
        <v>1555</v>
      </c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</row>
    <row r="3" spans="1:20" ht="18" customHeight="1">
      <c r="A3" s="208"/>
      <c r="B3" s="4" t="s">
        <v>1556</v>
      </c>
      <c r="C3" s="36">
        <v>600</v>
      </c>
      <c r="D3" s="4" t="s">
        <v>1558</v>
      </c>
      <c r="E3" s="36">
        <v>2750</v>
      </c>
      <c r="F3" s="209" t="s">
        <v>1559</v>
      </c>
      <c r="G3" s="209"/>
      <c r="H3" s="36">
        <v>4</v>
      </c>
      <c r="K3" s="4" t="s">
        <v>1563</v>
      </c>
      <c r="L3" s="36" t="s">
        <v>1924</v>
      </c>
      <c r="M3" s="113"/>
      <c r="N3" s="169"/>
    </row>
    <row r="4" spans="1:20" ht="18" customHeight="1">
      <c r="A4" s="204"/>
      <c r="B4" s="136" t="s">
        <v>1560</v>
      </c>
      <c r="C4" s="93"/>
      <c r="D4" s="136" t="s">
        <v>1557</v>
      </c>
      <c r="E4" s="93"/>
      <c r="F4" s="210" t="s">
        <v>1561</v>
      </c>
      <c r="G4" s="210"/>
      <c r="H4" s="93"/>
      <c r="K4" s="136" t="s">
        <v>1564</v>
      </c>
      <c r="L4" s="160" t="s">
        <v>1583</v>
      </c>
      <c r="M4" s="182"/>
      <c r="N4" s="169"/>
    </row>
    <row r="5" spans="1:20" ht="18" customHeight="1">
      <c r="A5" s="278"/>
      <c r="B5" s="279" t="s">
        <v>1879</v>
      </c>
      <c r="C5" s="280"/>
      <c r="D5" s="279" t="s">
        <v>1880</v>
      </c>
      <c r="E5" s="280"/>
      <c r="F5" s="279" t="s">
        <v>1881</v>
      </c>
      <c r="G5" s="279"/>
      <c r="H5" s="279" t="s">
        <v>1882</v>
      </c>
      <c r="I5" s="280"/>
      <c r="J5" s="279" t="s">
        <v>1883</v>
      </c>
      <c r="K5" s="279"/>
      <c r="L5" s="279" t="s">
        <v>1884</v>
      </c>
      <c r="M5" s="281"/>
      <c r="N5" s="169"/>
    </row>
    <row r="6" spans="1:20" ht="18" customHeight="1">
      <c r="A6" s="205" t="s">
        <v>1565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7"/>
      <c r="N6" s="169"/>
      <c r="P6" s="169" t="s">
        <v>1618</v>
      </c>
      <c r="Q6" s="68">
        <f>C3+100</f>
        <v>700</v>
      </c>
      <c r="R6" s="68">
        <f>Q6</f>
        <v>700</v>
      </c>
      <c r="T6" s="68">
        <f>IF((H3+2)&lt;6,H3+2,ROUNDUP((H3+2)/2,0)*2)</f>
        <v>6</v>
      </c>
    </row>
    <row r="7" spans="1:20" ht="18" customHeight="1">
      <c r="A7" s="202" t="s">
        <v>14</v>
      </c>
      <c r="B7" s="202" t="s">
        <v>1566</v>
      </c>
      <c r="C7" s="202" t="s">
        <v>1567</v>
      </c>
      <c r="D7" s="202" t="s">
        <v>1568</v>
      </c>
      <c r="E7" s="202" t="s">
        <v>1203</v>
      </c>
      <c r="F7" s="202"/>
      <c r="G7" s="202"/>
      <c r="H7" s="200" t="s">
        <v>1572</v>
      </c>
      <c r="I7" s="200" t="s">
        <v>116</v>
      </c>
      <c r="J7" s="200" t="s">
        <v>1494</v>
      </c>
      <c r="K7" s="200" t="s">
        <v>1191</v>
      </c>
      <c r="L7" s="200" t="s">
        <v>1192</v>
      </c>
      <c r="M7" s="200" t="s">
        <v>1573</v>
      </c>
      <c r="N7" s="169"/>
      <c r="P7" s="106" t="s">
        <v>1544</v>
      </c>
      <c r="Q7" s="106">
        <f>ROUNDUP(((C3*1.2+IF(C3&lt;2000,80,120))*1.1)/100,0)*100</f>
        <v>900</v>
      </c>
      <c r="R7" s="28">
        <f>Q7</f>
        <v>900</v>
      </c>
      <c r="T7" s="68">
        <f>H3</f>
        <v>4</v>
      </c>
    </row>
    <row r="8" spans="1:20" ht="18" customHeight="1">
      <c r="A8" s="202"/>
      <c r="B8" s="202"/>
      <c r="C8" s="202"/>
      <c r="D8" s="202"/>
      <c r="E8" s="172" t="s">
        <v>1708</v>
      </c>
      <c r="F8" s="170" t="s">
        <v>1584</v>
      </c>
      <c r="G8" s="170" t="s">
        <v>1571</v>
      </c>
      <c r="H8" s="201"/>
      <c r="I8" s="201"/>
      <c r="J8" s="201"/>
      <c r="K8" s="201"/>
      <c r="L8" s="201"/>
      <c r="M8" s="201"/>
      <c r="N8" s="169"/>
      <c r="P8" s="106" t="s">
        <v>1545</v>
      </c>
      <c r="Q8" s="106">
        <f>IF(C4=0,0,ROUNDUP(((C4*1.2+IF(C4&lt;2000,80,120))*1.1)/100,0)*100)</f>
        <v>0</v>
      </c>
      <c r="R8" s="28">
        <f>Q8</f>
        <v>0</v>
      </c>
      <c r="T8" s="68">
        <f>H4</f>
        <v>0</v>
      </c>
    </row>
    <row r="9" spans="1:20" ht="18" customHeight="1">
      <c r="A9" s="280">
        <v>1</v>
      </c>
      <c r="B9" s="280" t="s">
        <v>1894</v>
      </c>
      <c r="C9" s="280" t="s">
        <v>1550</v>
      </c>
      <c r="D9" s="280" t="s">
        <v>1914</v>
      </c>
      <c r="E9" s="280">
        <f>IF(B9="","",VLOOKUP(B9,$P$6:$T$17,2,FALSE))</f>
        <v>900</v>
      </c>
      <c r="F9" s="280">
        <f>IF(B9="","",VLOOKUP(B9,$P$6:$T$17,3,FALSE))</f>
        <v>900</v>
      </c>
      <c r="G9" s="280">
        <f>IF(B9="","",VLOOKUP(B9,$P$6:$T$17,5,FALSE))</f>
        <v>4</v>
      </c>
      <c r="H9" s="280">
        <v>15</v>
      </c>
      <c r="I9" s="280">
        <v>2</v>
      </c>
      <c r="J9" s="280">
        <f t="shared" ref="J9:J11" si="0">IF(H9="","",H9*I9)</f>
        <v>30</v>
      </c>
      <c r="K9" s="280">
        <f>IF(B9="","",VLOOKUP(C9,汇总!$J$4:$K$25,2,FALSE))</f>
        <v>17</v>
      </c>
      <c r="L9" s="280">
        <f>IF(K9="","",K9*J9+I9*350)</f>
        <v>1210</v>
      </c>
      <c r="M9" s="280" t="str">
        <f>IF(D9="管材",("Φ"&amp;C3&amp;"X"&amp;G9),"")</f>
        <v/>
      </c>
      <c r="N9" s="169" t="str">
        <f>IF(B9="","",IF(LEFT(C9,1)="S","不锈钢","碳钢"))&amp;D9</f>
        <v>不锈钢板材</v>
      </c>
      <c r="O9" s="184" t="s">
        <v>1930</v>
      </c>
      <c r="P9" s="106" t="s">
        <v>1546</v>
      </c>
      <c r="Q9" s="28">
        <f>ROUNDUP((C3*PI()+300)/100,0)*100</f>
        <v>2200</v>
      </c>
      <c r="R9" s="28">
        <f>E3</f>
        <v>2750</v>
      </c>
      <c r="S9" s="68" t="str">
        <f>"Φ"&amp;C3&amp;"X"&amp;T9</f>
        <v>Φ600X4</v>
      </c>
      <c r="T9" s="68">
        <f>H3</f>
        <v>4</v>
      </c>
    </row>
    <row r="10" spans="1:20" ht="18" customHeight="1">
      <c r="A10" s="280">
        <v>2</v>
      </c>
      <c r="B10" s="280" t="s">
        <v>1922</v>
      </c>
      <c r="C10" s="280" t="s">
        <v>1550</v>
      </c>
      <c r="D10" s="280" t="s">
        <v>1914</v>
      </c>
      <c r="E10" s="280">
        <f>IF(B10="","",VLOOKUP(B10,$P$6:$T$17,2,FALSE))</f>
        <v>2200</v>
      </c>
      <c r="F10" s="280">
        <f>IF(B10="","",VLOOKUP(B10,$P$6:$T$17,3,FALSE))</f>
        <v>2750</v>
      </c>
      <c r="G10" s="280">
        <f>IF(B10="","",VLOOKUP(B10,$P$6:$T$17,5,FALSE))</f>
        <v>4</v>
      </c>
      <c r="H10" s="280">
        <f t="shared" ref="H10" si="1">IF(B10="","",ROUNDUP(E10*F10*G10*IF(LEFT(C10,1)="S",8,7.85)/10^6,1))</f>
        <v>193.6</v>
      </c>
      <c r="I10" s="280">
        <v>1</v>
      </c>
      <c r="J10" s="280">
        <f t="shared" si="0"/>
        <v>193.6</v>
      </c>
      <c r="K10" s="280">
        <f>IF(B10="","",VLOOKUP(C10,汇总!$J$4:$K$25,2,FALSE))</f>
        <v>17</v>
      </c>
      <c r="L10" s="280">
        <f>IF(K10="","",K10*J10)</f>
        <v>3291.2</v>
      </c>
      <c r="M10" s="280"/>
      <c r="N10" s="169" t="str">
        <f>IF(B10="","",IF(LEFT(C10,1)="S","不锈钢","碳钢"))&amp;D10</f>
        <v>不锈钢板材</v>
      </c>
      <c r="O10" s="184" t="s">
        <v>1920</v>
      </c>
      <c r="P10" s="106" t="s">
        <v>1547</v>
      </c>
      <c r="Q10" s="28">
        <f>IF(C4=0,0,ROUNDUP((C4*PI()+300)/100,0)*100)</f>
        <v>0</v>
      </c>
      <c r="R10" s="28">
        <f>E4</f>
        <v>0</v>
      </c>
      <c r="S10" s="68" t="str">
        <f>"Φ"&amp;C4&amp;"X"&amp;T10</f>
        <v>ΦX0</v>
      </c>
      <c r="T10" s="68">
        <f>H4</f>
        <v>0</v>
      </c>
    </row>
    <row r="11" spans="1:20" ht="18" customHeight="1">
      <c r="A11" s="280">
        <v>3</v>
      </c>
      <c r="B11" s="280"/>
      <c r="C11" s="280" t="s">
        <v>1550</v>
      </c>
      <c r="D11" s="280" t="s">
        <v>1914</v>
      </c>
      <c r="E11" s="280" t="str">
        <f>IF(B11="","",VLOOKUP(B11,$P$6:$T$17,2,FALSE))</f>
        <v/>
      </c>
      <c r="F11" s="280" t="str">
        <f>IF(B11="","",VLOOKUP(B11,$P$6:$T$17,3,FALSE))</f>
        <v/>
      </c>
      <c r="G11" s="280" t="str">
        <f>IF(B11="","",VLOOKUP(B11,$P$6:$T$17,5,FALSE))</f>
        <v/>
      </c>
      <c r="H11" s="280" t="str">
        <f>IF(B11="","",ROUNDUP(E11*F11*G11*IF(LEFT(C11,1)="S",8,7.85)/10^6,1))</f>
        <v/>
      </c>
      <c r="I11" s="280"/>
      <c r="J11" s="280" t="str">
        <f t="shared" si="0"/>
        <v/>
      </c>
      <c r="K11" s="280" t="str">
        <f>IF(B11="","",VLOOKUP(C11,汇总!$J$4:$K$25,2,FALSE))</f>
        <v/>
      </c>
      <c r="L11" s="280" t="str">
        <f>IF(K11="","",K11*J11+I11*150)</f>
        <v/>
      </c>
      <c r="M11" s="280"/>
      <c r="N11" s="169" t="str">
        <f>IF(B11="","",IF(LEFT(C11,1)="S","不锈钢","碳钢"))&amp;D11</f>
        <v>板材</v>
      </c>
      <c r="O11" s="184"/>
      <c r="P11" s="106" t="s">
        <v>1548</v>
      </c>
      <c r="Q11" s="28">
        <f>C3</f>
        <v>600</v>
      </c>
      <c r="R11" s="28">
        <f>Q11*0.9</f>
        <v>540</v>
      </c>
      <c r="T11" s="68">
        <v>6</v>
      </c>
    </row>
    <row r="12" spans="1:20" ht="18" customHeight="1">
      <c r="A12" s="280">
        <v>4</v>
      </c>
      <c r="B12" s="280"/>
      <c r="C12" s="280" t="s">
        <v>1550</v>
      </c>
      <c r="D12" s="280" t="s">
        <v>1914</v>
      </c>
      <c r="E12" s="280" t="str">
        <f>IF(B12="","",VLOOKUP(B12,$P$6:$T$17,2,FALSE))</f>
        <v/>
      </c>
      <c r="F12" s="280" t="str">
        <f>IF(B12="","",VLOOKUP(B12,$P$6:$T$17,3,FALSE))</f>
        <v/>
      </c>
      <c r="G12" s="280" t="str">
        <f>IF(B12="","",VLOOKUP(B12,$P$6:$T$17,5,FALSE))</f>
        <v/>
      </c>
      <c r="H12" s="280" t="str">
        <f>IF(B12="","",ROUNDUP(E12*F12*G12*IF(LEFT(C12,1)="S",8,7.85)/10^6,1))</f>
        <v/>
      </c>
      <c r="I12" s="280"/>
      <c r="J12" s="280" t="str">
        <f>IF(H12="","",H12*I12)</f>
        <v/>
      </c>
      <c r="K12" s="280" t="str">
        <f>IF(B12="","",VLOOKUP(C12,汇总!$J$4:$K$25,2,FALSE))</f>
        <v/>
      </c>
      <c r="L12" s="280" t="str">
        <f>IF(K12="","",K12*J12)</f>
        <v/>
      </c>
      <c r="M12" s="280"/>
      <c r="N12" s="169" t="str">
        <f>IF(B12="","",IF(LEFT(C12,1)="S","不锈钢","碳钢"))&amp;D12</f>
        <v>板材</v>
      </c>
      <c r="O12" s="184"/>
      <c r="P12" s="106"/>
      <c r="Q12" s="28"/>
      <c r="R12" s="28"/>
    </row>
    <row r="13" spans="1:20" ht="18" customHeight="1">
      <c r="A13" s="280">
        <v>5</v>
      </c>
      <c r="B13" s="280"/>
      <c r="C13" s="280"/>
      <c r="D13" s="280"/>
      <c r="E13" s="280" t="str">
        <f>IF(B13="","",VLOOKUP(B13,$P$6:$T$17,2,FALSE))</f>
        <v/>
      </c>
      <c r="F13" s="280" t="str">
        <f>IF(B13="","",VLOOKUP(B13,$P$6:$T$17,3,FALSE))</f>
        <v/>
      </c>
      <c r="G13" s="280" t="str">
        <f>IF(B13="","",VLOOKUP(B13,$P$6:$T$17,5,FALSE))</f>
        <v/>
      </c>
      <c r="H13" s="280" t="str">
        <f>IF(B13="","",ROUNDUP(E13*F13*G13*IF(LEFT(C13,1)="S",8,7.85)/10^6,1))</f>
        <v/>
      </c>
      <c r="I13" s="280"/>
      <c r="J13" s="280" t="str">
        <f>IF(H13="","",H13*I13)</f>
        <v/>
      </c>
      <c r="K13" s="280" t="str">
        <f>IF(B13="","",VLOOKUP(C13,汇总!$J$4:$K$25,2,FALSE))</f>
        <v/>
      </c>
      <c r="L13" s="280" t="str">
        <f>IF(K13="","",K13*J13)</f>
        <v/>
      </c>
      <c r="M13" s="280"/>
      <c r="N13" s="169" t="str">
        <f>IF(B13="","",IF(LEFT(C13,1)="S","不锈钢","碳钢"))&amp;D13</f>
        <v/>
      </c>
      <c r="P13" s="169" t="s">
        <v>1885</v>
      </c>
      <c r="Q13" s="68">
        <f>E5</f>
        <v>0</v>
      </c>
      <c r="R13" s="68">
        <f>G5</f>
        <v>0</v>
      </c>
      <c r="T13" s="68">
        <f>M5</f>
        <v>0</v>
      </c>
    </row>
    <row r="14" spans="1:20" ht="18" customHeight="1">
      <c r="A14" s="280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169"/>
      <c r="P14" s="169"/>
    </row>
    <row r="15" spans="1:20" ht="18" customHeight="1">
      <c r="A15" s="173">
        <v>6</v>
      </c>
      <c r="B15" s="173"/>
      <c r="C15" s="173"/>
      <c r="D15" s="173"/>
      <c r="E15" s="173"/>
      <c r="F15" s="173"/>
      <c r="G15" s="173"/>
      <c r="H15" s="173"/>
      <c r="I15" s="173"/>
      <c r="J15" s="173">
        <f>SUM(J9:J13)</f>
        <v>223.6</v>
      </c>
      <c r="K15" s="173"/>
      <c r="L15" s="173">
        <f>SUM(L9:L13)</f>
        <v>4501.2</v>
      </c>
      <c r="M15" s="173"/>
      <c r="N15" s="169" t="str">
        <f t="shared" ref="N15:N67" si="2">IF(B15="","",IF(LEFT(C15,1)="S","不锈钢","碳钢"))</f>
        <v/>
      </c>
      <c r="P15" s="169" t="s">
        <v>1886</v>
      </c>
      <c r="Q15" s="68">
        <f>E5</f>
        <v>0</v>
      </c>
      <c r="R15" s="68">
        <f>G5</f>
        <v>0</v>
      </c>
      <c r="T15" s="68">
        <f>K5</f>
        <v>0</v>
      </c>
    </row>
    <row r="16" spans="1:20" ht="18" customHeight="1">
      <c r="A16" s="205" t="s">
        <v>1562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7"/>
      <c r="N16" s="169" t="str">
        <f t="shared" si="2"/>
        <v/>
      </c>
      <c r="P16" s="169" t="s">
        <v>1887</v>
      </c>
      <c r="Q16" s="68">
        <f>C5</f>
        <v>0</v>
      </c>
      <c r="R16" s="68">
        <f>E5</f>
        <v>0</v>
      </c>
      <c r="T16" s="68">
        <f>I5</f>
        <v>0</v>
      </c>
    </row>
    <row r="17" spans="1:20" ht="18" customHeight="1">
      <c r="A17" s="10" t="s">
        <v>14</v>
      </c>
      <c r="B17" s="10" t="s">
        <v>36</v>
      </c>
      <c r="C17" s="10" t="s">
        <v>1567</v>
      </c>
      <c r="D17" s="10" t="s">
        <v>85</v>
      </c>
      <c r="E17" s="10" t="s">
        <v>15</v>
      </c>
      <c r="F17" s="10" t="s">
        <v>1239</v>
      </c>
      <c r="G17" s="10" t="s">
        <v>16</v>
      </c>
      <c r="H17" s="10" t="s">
        <v>1572</v>
      </c>
      <c r="I17" s="10" t="s">
        <v>116</v>
      </c>
      <c r="J17" s="10" t="s">
        <v>1494</v>
      </c>
      <c r="K17" s="10" t="s">
        <v>1191</v>
      </c>
      <c r="L17" s="10" t="s">
        <v>1192</v>
      </c>
      <c r="M17" s="10" t="s">
        <v>1573</v>
      </c>
      <c r="N17" s="169"/>
      <c r="P17" s="169" t="s">
        <v>1888</v>
      </c>
      <c r="Q17" s="68">
        <f>C5</f>
        <v>0</v>
      </c>
      <c r="R17" s="68">
        <f>G5</f>
        <v>0</v>
      </c>
      <c r="T17" s="68">
        <f>I5</f>
        <v>0</v>
      </c>
    </row>
    <row r="18" spans="1:20" ht="18" customHeight="1">
      <c r="A18" s="1">
        <v>1</v>
      </c>
      <c r="B18" s="1">
        <f>IF(L3="无","",IF(C3="","",C3))</f>
        <v>600</v>
      </c>
      <c r="C18" s="1" t="s">
        <v>1915</v>
      </c>
      <c r="D18" s="1">
        <v>47023</v>
      </c>
      <c r="E18" s="10">
        <f>IF(B18="","",IF(B18="/","/",I112))</f>
        <v>760</v>
      </c>
      <c r="F18" s="1">
        <v>2.5</v>
      </c>
      <c r="G18" s="1">
        <f>IF(B18="","",J112+15)</f>
        <v>57</v>
      </c>
      <c r="H18" s="1">
        <f>IF(B18="","",ROUNDUP(IF(D18="其他",((B18+40)*PI()*G18*7.93*40/10^6),IF(D18=0,"",H112)),1))</f>
        <v>71.599999999999994</v>
      </c>
      <c r="I18" s="1">
        <v>2</v>
      </c>
      <c r="J18" s="1">
        <f>IF(B18="","",I18*H18)</f>
        <v>143.19999999999999</v>
      </c>
      <c r="K18" s="1">
        <f>IF(B18="","",IF(D18=47023,VLOOKUP(C18,汇总!$J$4:$L$25,3,FALSE)*1.2,VLOOKUP(C18,汇总!$J$4:$L$25,3,FALSE)))</f>
        <v>42</v>
      </c>
      <c r="L18" s="10">
        <f>IF(B18="","",ROUNDUP(K18*J18,2))</f>
        <v>6014.4</v>
      </c>
      <c r="M18" s="1"/>
      <c r="N18" s="169" t="str">
        <f>IF(B18="","",IF(LEFT(C18,1)="S","不锈钢","碳钢"))</f>
        <v>不锈钢</v>
      </c>
      <c r="O18" s="184" t="s">
        <v>1935</v>
      </c>
      <c r="P18" s="169"/>
    </row>
    <row r="19" spans="1:20" ht="18" customHeight="1">
      <c r="A19" s="1">
        <v>2</v>
      </c>
      <c r="B19" s="1" t="str">
        <f>IF(L4="无","",IF(C4="","",C4))</f>
        <v/>
      </c>
      <c r="C19" s="1"/>
      <c r="D19" s="1"/>
      <c r="E19" s="10" t="str">
        <f>IF(B19="","",IF(B19="/","/",I113))</f>
        <v/>
      </c>
      <c r="F19" s="1"/>
      <c r="G19" s="1" t="str">
        <f>IF(B19="","",J113+5)</f>
        <v/>
      </c>
      <c r="H19" s="1" t="str">
        <f>IF(B19="","",ROUNDUP(IF(D19="其他",((B19+40)*PI()*G19*7.93*40/10^6),IF(D19=0,"",H113)),1))</f>
        <v/>
      </c>
      <c r="I19" s="1"/>
      <c r="J19" s="1" t="str">
        <f>IF(B19="","",I19*H19)</f>
        <v/>
      </c>
      <c r="K19" s="1" t="str">
        <f>IF(B19="","",IF(D19=47023,VLOOKUP(C19,汇总!$J$4:$L$25,3,FALSE)*1.2,VLOOKUP(C19,汇总!$J$4:$L$25,3,FALSE)))</f>
        <v/>
      </c>
      <c r="L19" s="10" t="str">
        <f>IF(B19="","",ROUNDUP(K19*J19,2))</f>
        <v/>
      </c>
      <c r="M19" s="1"/>
      <c r="N19" s="169" t="str">
        <f t="shared" si="2"/>
        <v/>
      </c>
      <c r="P19" s="169"/>
    </row>
    <row r="20" spans="1:20" ht="18" customHeight="1">
      <c r="A20" s="1">
        <v>3</v>
      </c>
      <c r="B20" s="1"/>
      <c r="C20" s="1"/>
      <c r="D20" s="1"/>
      <c r="E20" s="10" t="str">
        <f>IF(B20="","",IF(B20="/","/",I114))</f>
        <v/>
      </c>
      <c r="F20" s="1"/>
      <c r="G20" s="1" t="str">
        <f>IF(B20="","",J114+5)</f>
        <v/>
      </c>
      <c r="H20" s="1" t="str">
        <f>IF(B20="","",ROUNDUP(IF(D20="其他",((B20+40)*PI()*G20*7.93*40/10^6),IF(D20=0,"",H114)),1))</f>
        <v/>
      </c>
      <c r="I20" s="1"/>
      <c r="J20" s="1" t="str">
        <f>IF(B20="","",I20*H20)</f>
        <v/>
      </c>
      <c r="K20" s="1" t="str">
        <f>IF(B20="","",IF(D20=47023,VLOOKUP(C20,汇总!$J$4:$L$25,3,FALSE)*1.2,VLOOKUP(C20,汇总!$J$4:$L$25,3,FALSE)))</f>
        <v/>
      </c>
      <c r="L20" s="10" t="str">
        <f>IF(B20="","",ROUNDUP(K20*J20,2))</f>
        <v/>
      </c>
      <c r="M20" s="1"/>
      <c r="N20" s="169" t="str">
        <f t="shared" si="2"/>
        <v/>
      </c>
    </row>
    <row r="21" spans="1:20" ht="18" customHeight="1">
      <c r="A21" s="173"/>
      <c r="B21" s="173"/>
      <c r="C21" s="173"/>
      <c r="D21" s="173"/>
      <c r="E21" s="302" t="str">
        <f>IF(D21=0,"",IF(D21=47023,"WN","PL"))</f>
        <v/>
      </c>
      <c r="F21" s="173"/>
      <c r="G21" s="173"/>
      <c r="H21" s="173"/>
      <c r="I21" s="173"/>
      <c r="J21" s="173">
        <f>SUM(J18:J20)</f>
        <v>143.19999999999999</v>
      </c>
      <c r="K21" s="173"/>
      <c r="L21" s="173">
        <f>SUM(L18:L20)</f>
        <v>6014.4</v>
      </c>
      <c r="M21" s="173"/>
      <c r="N21" s="169" t="str">
        <f t="shared" si="2"/>
        <v/>
      </c>
    </row>
    <row r="22" spans="1:20" ht="18" customHeight="1">
      <c r="A22" s="205" t="s">
        <v>1613</v>
      </c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7"/>
      <c r="N22" s="169" t="str">
        <f t="shared" si="2"/>
        <v/>
      </c>
    </row>
    <row r="23" spans="1:20" ht="31.5" customHeight="1">
      <c r="A23" s="279" t="s">
        <v>14</v>
      </c>
      <c r="B23" s="279" t="s">
        <v>36</v>
      </c>
      <c r="C23" s="279" t="s">
        <v>1567</v>
      </c>
      <c r="D23" s="279" t="s">
        <v>85</v>
      </c>
      <c r="E23" s="279" t="s">
        <v>1574</v>
      </c>
      <c r="F23" s="298" t="s">
        <v>1239</v>
      </c>
      <c r="G23" s="298" t="s">
        <v>1585</v>
      </c>
      <c r="H23" s="279" t="s">
        <v>1572</v>
      </c>
      <c r="I23" s="279" t="s">
        <v>116</v>
      </c>
      <c r="J23" s="279" t="s">
        <v>1494</v>
      </c>
      <c r="K23" s="279" t="s">
        <v>1191</v>
      </c>
      <c r="L23" s="279" t="s">
        <v>1192</v>
      </c>
      <c r="M23" s="279" t="s">
        <v>1573</v>
      </c>
      <c r="N23" s="169"/>
    </row>
    <row r="24" spans="1:20" ht="18" customHeight="1">
      <c r="A24" s="279">
        <f>ROW()-20</f>
        <v>4</v>
      </c>
      <c r="B24" s="280">
        <v>250</v>
      </c>
      <c r="C24" s="280" t="s">
        <v>1915</v>
      </c>
      <c r="D24" s="280" t="s">
        <v>1264</v>
      </c>
      <c r="E24" s="280" t="s">
        <v>1916</v>
      </c>
      <c r="F24" s="280" t="s">
        <v>1917</v>
      </c>
      <c r="G24" s="280">
        <f>IF(B24="","",IF(D24="HG20615",VLOOKUP(B24,$E$121:$H$140,2),VLOOKUP(B24,$E$121:$H$140,4)))</f>
        <v>273</v>
      </c>
      <c r="H24" s="280">
        <f>IF(B24="","",flangwt1(D24,B24,VLOOKUP(F24,$B$118:$C$128,2,FALSE),E24))</f>
        <v>24.5</v>
      </c>
      <c r="I24" s="280">
        <v>2</v>
      </c>
      <c r="J24" s="280">
        <f>IF(B24="","",H24*I24)</f>
        <v>49</v>
      </c>
      <c r="K24" s="280">
        <f>_xlfn.IFS(B24="","",E24="PL",VLOOKUP(C24,汇总!$J$4:$K$25,2,FALSE),E24="SO",VLOOKUP(C24,汇总!$J$4:$K$25,2,FALSE)*1.1,E24="WN",VLOOKUP(C24,汇总!$J$4:$K$25,2,FALSE)*1.2,E24="BL",VLOOKUP(C24,汇总!$J$4:$K$25,2,FALSE))</f>
        <v>42</v>
      </c>
      <c r="L24" s="280">
        <f>IF(K24="","",K24*J24)</f>
        <v>2058</v>
      </c>
      <c r="M24" s="280" t="s">
        <v>1188</v>
      </c>
      <c r="N24" s="169" t="str">
        <f>IF(B24="","",IF(LEFT(C24,1)="S","不锈钢","碳钢"))</f>
        <v>不锈钢</v>
      </c>
      <c r="O24" s="184" t="s">
        <v>1936</v>
      </c>
    </row>
    <row r="25" spans="1:20" ht="28.5" customHeight="1">
      <c r="A25" s="279">
        <f t="shared" ref="A25:A32" si="3">ROW()-20</f>
        <v>5</v>
      </c>
      <c r="B25" s="280">
        <v>50</v>
      </c>
      <c r="C25" s="280" t="s">
        <v>1915</v>
      </c>
      <c r="D25" s="280" t="s">
        <v>1264</v>
      </c>
      <c r="E25" s="280" t="s">
        <v>1916</v>
      </c>
      <c r="F25" s="280" t="s">
        <v>1917</v>
      </c>
      <c r="G25" s="280">
        <f>IF(B25="","",IF(D25="HG20615",VLOOKUP(B25,$E$121:$H$140,2),VLOOKUP(B25,$E$121:$H$140,4)))</f>
        <v>60.3</v>
      </c>
      <c r="H25" s="280">
        <f>IF(B25="","",flangwt1(D25,B25,VLOOKUP(F25,$B$118:$C$128,2,FALSE),E25))</f>
        <v>2.72</v>
      </c>
      <c r="I25" s="280">
        <v>4</v>
      </c>
      <c r="J25" s="280">
        <f t="shared" ref="J25:J32" si="4">IF(B25="","",H25*I25)</f>
        <v>10.88</v>
      </c>
      <c r="K25" s="280">
        <f>_xlfn.IFS(B25="","",E25="PL",VLOOKUP(C25,汇总!$J$4:$K$25,2,FALSE),E25="SO",VLOOKUP(C25,汇总!$J$4:$K$25,2,FALSE)*1.1,E25="WN",VLOOKUP(C25,汇总!$J$4:$K$25,2,FALSE)*1.2,E25="BL",VLOOKUP(C25,汇总!$J$4:$K$25,2,FALSE))</f>
        <v>42</v>
      </c>
      <c r="L25" s="280">
        <f t="shared" ref="L25:L32" si="5">IF(K25="","",K25*J25)</f>
        <v>456.96000000000004</v>
      </c>
      <c r="M25" s="280" t="s">
        <v>1188</v>
      </c>
      <c r="N25" s="169" t="str">
        <f t="shared" ref="N25:N33" si="6">IF(B25="","",IF(LEFT(C25,1)="S","不锈钢","碳钢"))</f>
        <v>不锈钢</v>
      </c>
      <c r="O25" s="184" t="s">
        <v>1943</v>
      </c>
    </row>
    <row r="26" spans="1:20" ht="18" customHeight="1">
      <c r="A26" s="279">
        <f t="shared" si="3"/>
        <v>6</v>
      </c>
      <c r="B26" s="280">
        <v>25</v>
      </c>
      <c r="C26" s="280" t="s">
        <v>1915</v>
      </c>
      <c r="D26" s="280" t="s">
        <v>1264</v>
      </c>
      <c r="E26" s="280" t="s">
        <v>1916</v>
      </c>
      <c r="F26" s="280" t="s">
        <v>1917</v>
      </c>
      <c r="G26" s="280">
        <f>IF(B26="","",IF(D26="HG20615",VLOOKUP(B26,$E$121:$H$140,2),VLOOKUP(B26,$E$121:$H$140,4)))</f>
        <v>33.700000000000003</v>
      </c>
      <c r="H26" s="280">
        <f>IF(B26="","",flangwt1(D26,B26,VLOOKUP(F26,$B$118:$C$128,2,FALSE),E26))</f>
        <v>1.1399999999999999</v>
      </c>
      <c r="I26" s="280">
        <v>1</v>
      </c>
      <c r="J26" s="280">
        <f t="shared" si="4"/>
        <v>1.1399999999999999</v>
      </c>
      <c r="K26" s="280">
        <f>_xlfn.IFS(B26="","",E26="PL",VLOOKUP(C26,汇总!$J$4:$K$25,2,FALSE),E26="SO",VLOOKUP(C26,汇总!$J$4:$K$25,2,FALSE)*1.1,E26="WN",VLOOKUP(C26,汇总!$J$4:$K$25,2,FALSE)*1.2,E26="BL",VLOOKUP(C26,汇总!$J$4:$K$25,2,FALSE))</f>
        <v>42</v>
      </c>
      <c r="L26" s="280">
        <f t="shared" si="5"/>
        <v>47.879999999999995</v>
      </c>
      <c r="M26" s="280" t="s">
        <v>1188</v>
      </c>
      <c r="N26" s="169" t="str">
        <f t="shared" si="6"/>
        <v>不锈钢</v>
      </c>
      <c r="O26" s="184" t="s">
        <v>1937</v>
      </c>
    </row>
    <row r="27" spans="1:20" ht="29.25" customHeight="1">
      <c r="A27" s="279">
        <f t="shared" si="3"/>
        <v>7</v>
      </c>
      <c r="B27" s="280"/>
      <c r="C27" s="280" t="s">
        <v>1915</v>
      </c>
      <c r="D27" s="280" t="s">
        <v>1264</v>
      </c>
      <c r="E27" s="280" t="s">
        <v>1916</v>
      </c>
      <c r="F27" s="280" t="s">
        <v>1917</v>
      </c>
      <c r="G27" s="280" t="str">
        <f>IF(B27="","",IF(D27="HG20615",VLOOKUP(B27,$E$121:$H$140,2),VLOOKUP(B27,$E$121:$H$140,4)))</f>
        <v/>
      </c>
      <c r="H27" s="280" t="str">
        <f>IF(B27="","",flangwt1(D27,B27,VLOOKUP(F27,$B$118:$C$128,2,FALSE),E27))</f>
        <v/>
      </c>
      <c r="I27" s="280"/>
      <c r="J27" s="280" t="str">
        <f t="shared" si="4"/>
        <v/>
      </c>
      <c r="K27" s="280" t="str">
        <f>_xlfn.IFS(B27="","",E27="PL",VLOOKUP(C27,汇总!$J$4:$K$25,2,FALSE),E27="SO",VLOOKUP(C27,汇总!$J$4:$K$25,2,FALSE)*1.1,E27="WN",VLOOKUP(C27,汇总!$J$4:$K$25,2,FALSE)*1.2,E27="BL",VLOOKUP(C27,汇总!$J$4:$K$25,2,FALSE))</f>
        <v/>
      </c>
      <c r="L27" s="280" t="str">
        <f t="shared" si="5"/>
        <v/>
      </c>
      <c r="M27" s="280" t="s">
        <v>1188</v>
      </c>
      <c r="N27" s="169" t="str">
        <f t="shared" si="6"/>
        <v/>
      </c>
      <c r="O27" s="184"/>
    </row>
    <row r="28" spans="1:20" ht="18" customHeight="1">
      <c r="A28" s="279">
        <f t="shared" si="3"/>
        <v>8</v>
      </c>
      <c r="B28" s="280"/>
      <c r="C28" s="280" t="s">
        <v>1915</v>
      </c>
      <c r="D28" s="280" t="s">
        <v>1264</v>
      </c>
      <c r="E28" s="280" t="s">
        <v>1916</v>
      </c>
      <c r="F28" s="280" t="s">
        <v>1921</v>
      </c>
      <c r="G28" s="280" t="str">
        <f>IF(B28="","",IF(D28="HG20615",VLOOKUP(B28,$E$121:$H$140,2),VLOOKUP(B28,$E$121:$H$140,4)))</f>
        <v/>
      </c>
      <c r="H28" s="280">
        <v>15</v>
      </c>
      <c r="I28" s="280"/>
      <c r="J28" s="280" t="str">
        <f t="shared" si="4"/>
        <v/>
      </c>
      <c r="K28" s="280" t="str">
        <f>_xlfn.IFS(B28="","",E28="PL",VLOOKUP(C28,汇总!$J$4:$K$25,2,FALSE),E28="SO",VLOOKUP(C28,汇总!$J$4:$K$25,2,FALSE)*1.1,E28="WN",VLOOKUP(C28,汇总!$J$4:$K$25,2,FALSE)*1.2,E28="BL",VLOOKUP(C28,汇总!$J$4:$K$25,2,FALSE))</f>
        <v/>
      </c>
      <c r="L28" s="280" t="str">
        <f t="shared" si="5"/>
        <v/>
      </c>
      <c r="M28" s="280" t="s">
        <v>1188</v>
      </c>
      <c r="N28" s="169" t="str">
        <f t="shared" si="6"/>
        <v/>
      </c>
      <c r="O28" s="184"/>
    </row>
    <row r="29" spans="1:20" ht="18" customHeight="1">
      <c r="A29" s="279">
        <f t="shared" si="3"/>
        <v>9</v>
      </c>
      <c r="B29" s="280"/>
      <c r="C29" s="280" t="s">
        <v>1915</v>
      </c>
      <c r="D29" s="280" t="s">
        <v>1264</v>
      </c>
      <c r="E29" s="280" t="s">
        <v>1916</v>
      </c>
      <c r="F29" s="280" t="s">
        <v>1917</v>
      </c>
      <c r="G29" s="280" t="str">
        <f>IF(B29="","",IF(D29="HG20615",VLOOKUP(B29,$E$121:$H$140,2),VLOOKUP(B29,$E$121:$H$140,4)))</f>
        <v/>
      </c>
      <c r="H29" s="280" t="str">
        <f>IF(B29="","",flangwt1(D29,B29,VLOOKUP(F29,$B$118:$C$128,2,FALSE),E29))</f>
        <v/>
      </c>
      <c r="I29" s="280"/>
      <c r="J29" s="280" t="str">
        <f t="shared" si="4"/>
        <v/>
      </c>
      <c r="K29" s="280" t="str">
        <f>_xlfn.IFS(B29="","",E29="PL",VLOOKUP(C29,汇总!$J$4:$K$25,2,FALSE),E29="SO",VLOOKUP(C29,汇总!$J$4:$K$25,2,FALSE)*1.1,E29="WN",VLOOKUP(C29,汇总!$J$4:$K$25,2,FALSE)*1.2)</f>
        <v/>
      </c>
      <c r="L29" s="280" t="str">
        <f t="shared" si="5"/>
        <v/>
      </c>
      <c r="M29" s="280" t="s">
        <v>1188</v>
      </c>
      <c r="N29" s="169" t="str">
        <f t="shared" si="6"/>
        <v/>
      </c>
      <c r="O29" s="184"/>
    </row>
    <row r="30" spans="1:20" ht="18" customHeight="1">
      <c r="A30" s="279">
        <f t="shared" si="3"/>
        <v>10</v>
      </c>
      <c r="B30" s="280"/>
      <c r="C30" s="280" t="s">
        <v>1915</v>
      </c>
      <c r="D30" s="280" t="s">
        <v>1264</v>
      </c>
      <c r="E30" s="280" t="s">
        <v>1916</v>
      </c>
      <c r="F30" s="280" t="s">
        <v>1917</v>
      </c>
      <c r="G30" s="280" t="str">
        <f>IF(B30="","",IF(D30="HG20615",VLOOKUP(B30,$E$121:$H$140,2),VLOOKUP(B30,$E$121:$H$140,4)))</f>
        <v/>
      </c>
      <c r="H30" s="280" t="str">
        <f>IF(B30="","",flangwt1(D30,B30,VLOOKUP(F30,$B$118:$C$128,2,FALSE),E30))</f>
        <v/>
      </c>
      <c r="I30" s="280"/>
      <c r="J30" s="280" t="str">
        <f t="shared" si="4"/>
        <v/>
      </c>
      <c r="K30" s="280" t="str">
        <f>_xlfn.IFS(B30="","",E30="PL",VLOOKUP(C30,汇总!$J$4:$K$25,2,FALSE),E30="SO",VLOOKUP(C30,汇总!$J$4:$K$25,2,FALSE)*1.1,E30="WN",VLOOKUP(C30,汇总!$J$4:$K$25,2,FALSE)*1.2)</f>
        <v/>
      </c>
      <c r="L30" s="280" t="str">
        <f t="shared" si="5"/>
        <v/>
      </c>
      <c r="M30" s="280" t="s">
        <v>1188</v>
      </c>
      <c r="N30" s="169" t="str">
        <f t="shared" si="6"/>
        <v/>
      </c>
      <c r="O30" s="184"/>
    </row>
    <row r="31" spans="1:20" ht="18" customHeight="1">
      <c r="A31" s="279">
        <f t="shared" si="3"/>
        <v>11</v>
      </c>
      <c r="B31" s="280"/>
      <c r="C31" s="280"/>
      <c r="D31" s="280"/>
      <c r="E31" s="280"/>
      <c r="F31" s="280"/>
      <c r="G31" s="280" t="str">
        <f>IF(B31="","",IF(D31="HG20615",VLOOKUP(B31,$E$121:$H$140,2),VLOOKUP(B31,$E$121:$H$140,4)))</f>
        <v/>
      </c>
      <c r="H31" s="280" t="str">
        <f>IF(B31="","",flangwt1(D31,B31,VLOOKUP(F31,$B$118:$C$128,2,FALSE),E31))</f>
        <v/>
      </c>
      <c r="I31" s="280"/>
      <c r="J31" s="280" t="str">
        <f t="shared" si="4"/>
        <v/>
      </c>
      <c r="K31" s="280" t="str">
        <f>_xlfn.IFS(B31="","",E31="PL",VLOOKUP(C31,汇总!$J$4:$K$25,2,FALSE),E31="SO",VLOOKUP(C31,汇总!$J$4:$K$25,2,FALSE)*1.1,E31="WN",VLOOKUP(C31,汇总!$J$4:$K$25,2,FALSE)*1.2)</f>
        <v/>
      </c>
      <c r="L31" s="280" t="str">
        <f t="shared" si="5"/>
        <v/>
      </c>
      <c r="M31" s="280"/>
      <c r="N31" s="169" t="str">
        <f t="shared" si="6"/>
        <v/>
      </c>
    </row>
    <row r="32" spans="1:20" ht="18" customHeight="1">
      <c r="A32" s="279">
        <f t="shared" si="3"/>
        <v>12</v>
      </c>
      <c r="B32" s="280"/>
      <c r="C32" s="280"/>
      <c r="D32" s="280"/>
      <c r="E32" s="280"/>
      <c r="F32" s="280"/>
      <c r="G32" s="280" t="str">
        <f>IF(B32="","",IF(D32="HG20615",VLOOKUP(B32,$E$121:$H$140,2),VLOOKUP(B32,$E$121:$H$140,4)))</f>
        <v/>
      </c>
      <c r="H32" s="280" t="str">
        <f>IF(B32="","",flangwt1(D32,B32,VLOOKUP(F32,$B$118:$C$128,2,FALSE),E32))</f>
        <v/>
      </c>
      <c r="I32" s="280"/>
      <c r="J32" s="280" t="str">
        <f t="shared" si="4"/>
        <v/>
      </c>
      <c r="K32" s="280" t="str">
        <f>_xlfn.IFS(B32="","",E32="PL",VLOOKUP(C32,汇总!$J$4:$K$25,2,FALSE),E32="SO",VLOOKUP(C32,汇总!$J$4:$K$25,2,FALSE)*1.1,E32="WN",VLOOKUP(C32,汇总!$J$4:$K$25,2,FALSE)*1.2)</f>
        <v/>
      </c>
      <c r="L32" s="280" t="str">
        <f t="shared" si="5"/>
        <v/>
      </c>
      <c r="M32" s="280"/>
      <c r="N32" s="169" t="str">
        <f t="shared" si="6"/>
        <v/>
      </c>
    </row>
    <row r="33" spans="1:15" ht="18" customHeight="1">
      <c r="A33" s="302"/>
      <c r="B33" s="173"/>
      <c r="C33" s="173"/>
      <c r="D33" s="173"/>
      <c r="E33" s="173"/>
      <c r="F33" s="173"/>
      <c r="G33" s="173"/>
      <c r="H33" s="173"/>
      <c r="I33" s="173"/>
      <c r="J33" s="173">
        <f>SUM(J24:J32)</f>
        <v>61.02</v>
      </c>
      <c r="K33" s="173"/>
      <c r="L33" s="173">
        <f>SUM(L24:L32)</f>
        <v>2562.84</v>
      </c>
      <c r="M33" s="173"/>
      <c r="N33" s="169" t="str">
        <f t="shared" si="6"/>
        <v/>
      </c>
    </row>
    <row r="34" spans="1:15" ht="18" customHeight="1">
      <c r="A34" s="171" t="s">
        <v>1193</v>
      </c>
      <c r="B34" s="171" t="s">
        <v>15</v>
      </c>
      <c r="C34" s="171" t="s">
        <v>1567</v>
      </c>
      <c r="D34" s="171" t="s">
        <v>1190</v>
      </c>
      <c r="E34" s="171" t="s">
        <v>16</v>
      </c>
      <c r="F34" s="171" t="s">
        <v>1649</v>
      </c>
      <c r="G34" s="176" t="s">
        <v>1702</v>
      </c>
      <c r="H34" s="171" t="s">
        <v>1572</v>
      </c>
      <c r="I34" s="171" t="s">
        <v>116</v>
      </c>
      <c r="J34" s="171" t="s">
        <v>1494</v>
      </c>
      <c r="K34" s="171" t="s">
        <v>1191</v>
      </c>
      <c r="L34" s="171" t="s">
        <v>1192</v>
      </c>
      <c r="M34" s="171" t="s">
        <v>1573</v>
      </c>
      <c r="N34" s="169"/>
    </row>
    <row r="35" spans="1:15" ht="18" customHeight="1">
      <c r="A35" s="280">
        <v>1</v>
      </c>
      <c r="B35" s="280">
        <f>G24</f>
        <v>273</v>
      </c>
      <c r="C35" s="280" t="s">
        <v>1932</v>
      </c>
      <c r="D35" s="280">
        <v>250</v>
      </c>
      <c r="E35" s="280">
        <v>9</v>
      </c>
      <c r="F35" s="280" t="s">
        <v>1658</v>
      </c>
      <c r="G35" s="280">
        <f>IF(B24="","",VLOOKUP(B24,钢管壁厚等级表!$B$2:$S$35,MATCH(F35,钢管壁厚等级表!$B$2:$S$2,0)))</f>
        <v>9.27</v>
      </c>
      <c r="H35" s="280">
        <f>IF(B35="","",ROUNDUP(B35*PI()*D35*E35/10^6*7.93,1))</f>
        <v>15.4</v>
      </c>
      <c r="I35" s="280">
        <v>2</v>
      </c>
      <c r="J35" s="280">
        <f>IF(H35="","",H35*I35)</f>
        <v>30.8</v>
      </c>
      <c r="K35" s="280">
        <f>IF(B35="","",VLOOKUP(C35,汇总!$J$4:$K$25,2,FALSE))</f>
        <v>28</v>
      </c>
      <c r="L35" s="280">
        <f>IF(J35="","",K35*J35)</f>
        <v>862.4</v>
      </c>
      <c r="M35" s="280"/>
      <c r="N35" s="169" t="str">
        <f t="shared" si="2"/>
        <v>不锈钢</v>
      </c>
      <c r="O35" s="184"/>
    </row>
    <row r="36" spans="1:15" ht="18" customHeight="1">
      <c r="A36" s="280">
        <v>2</v>
      </c>
      <c r="B36" s="280">
        <f t="shared" ref="B36:B43" si="7">G25</f>
        <v>60.3</v>
      </c>
      <c r="C36" s="280" t="s">
        <v>1932</v>
      </c>
      <c r="D36" s="280">
        <v>150</v>
      </c>
      <c r="E36" s="280">
        <v>4.1500000000000004</v>
      </c>
      <c r="F36" s="280" t="s">
        <v>1659</v>
      </c>
      <c r="G36" s="280">
        <f>IF(B25="","",VLOOKUP(B25,钢管壁厚等级表!$B$2:$S$35,MATCH(F36,钢管壁厚等级表!$B$2:$S$2,0)))</f>
        <v>3.91</v>
      </c>
      <c r="H36" s="280">
        <f t="shared" ref="H36:H43" si="8">IF(B36="","",ROUNDUP(B36*PI()*D36*E36/10^6*7.93,1))</f>
        <v>1</v>
      </c>
      <c r="I36" s="280">
        <v>4</v>
      </c>
      <c r="J36" s="280">
        <f t="shared" ref="J36:J43" si="9">IF(H36="","",H36*I36)</f>
        <v>4</v>
      </c>
      <c r="K36" s="280">
        <f>IF(B36="","",VLOOKUP(C36,汇总!$J$4:$K$25,2,FALSE))</f>
        <v>28</v>
      </c>
      <c r="L36" s="280">
        <f t="shared" ref="L36:L37" si="10">IF(J36="","",K36*J36)</f>
        <v>112</v>
      </c>
      <c r="M36" s="280"/>
      <c r="N36" s="169" t="str">
        <f t="shared" si="2"/>
        <v>不锈钢</v>
      </c>
      <c r="O36" s="184"/>
    </row>
    <row r="37" spans="1:15" ht="18" customHeight="1">
      <c r="A37" s="280">
        <v>3</v>
      </c>
      <c r="B37" s="280">
        <f t="shared" si="7"/>
        <v>33.700000000000003</v>
      </c>
      <c r="C37" s="280" t="s">
        <v>1932</v>
      </c>
      <c r="D37" s="280">
        <v>150</v>
      </c>
      <c r="E37" s="280">
        <v>3.35</v>
      </c>
      <c r="F37" s="280" t="s">
        <v>1659</v>
      </c>
      <c r="G37" s="280">
        <f>IF(B26="","",VLOOKUP(B26,钢管壁厚等级表!$B$2:$S$35,MATCH(F37,钢管壁厚等级表!$B$2:$S$2,0)))</f>
        <v>3.38</v>
      </c>
      <c r="H37" s="280">
        <f t="shared" si="8"/>
        <v>0.5</v>
      </c>
      <c r="I37" s="280">
        <v>1</v>
      </c>
      <c r="J37" s="280">
        <f t="shared" si="9"/>
        <v>0.5</v>
      </c>
      <c r="K37" s="280">
        <f>IF(B37="","",VLOOKUP(C37,汇总!$J$4:$K$25,2,FALSE))</f>
        <v>28</v>
      </c>
      <c r="L37" s="280">
        <f t="shared" si="10"/>
        <v>14</v>
      </c>
      <c r="M37" s="280"/>
      <c r="N37" s="169" t="str">
        <f t="shared" si="2"/>
        <v>不锈钢</v>
      </c>
      <c r="O37" s="184"/>
    </row>
    <row r="38" spans="1:15" ht="18" customHeight="1">
      <c r="A38" s="280">
        <v>4</v>
      </c>
      <c r="B38" s="280" t="str">
        <f t="shared" si="7"/>
        <v/>
      </c>
      <c r="C38" s="280" t="s">
        <v>1918</v>
      </c>
      <c r="D38" s="280"/>
      <c r="E38" s="280">
        <v>27</v>
      </c>
      <c r="F38" s="280" t="s">
        <v>1659</v>
      </c>
      <c r="G38" s="280" t="str">
        <f>IF(B27="","",VLOOKUP(B27,钢管壁厚等级表!$B$2:$S$35,MATCH(F38,钢管壁厚等级表!$B$2:$S$2,0)))</f>
        <v/>
      </c>
      <c r="H38" s="280" t="str">
        <f t="shared" si="8"/>
        <v/>
      </c>
      <c r="I38" s="280"/>
      <c r="J38" s="280" t="str">
        <f t="shared" si="9"/>
        <v/>
      </c>
      <c r="K38" s="280" t="str">
        <f>IF(B38="","",VLOOKUP(C38,汇总!$J$4:$K$25,2,FALSE))</f>
        <v/>
      </c>
      <c r="L38" s="280" t="str">
        <f>IF(J38="","",K38*J38+I38*80)</f>
        <v/>
      </c>
      <c r="M38" s="280"/>
      <c r="N38" s="169" t="str">
        <f t="shared" si="2"/>
        <v/>
      </c>
      <c r="O38" s="184"/>
    </row>
    <row r="39" spans="1:15" ht="18" customHeight="1">
      <c r="A39" s="280">
        <v>5</v>
      </c>
      <c r="B39" s="280" t="str">
        <f t="shared" si="7"/>
        <v/>
      </c>
      <c r="C39" s="280" t="s">
        <v>1932</v>
      </c>
      <c r="D39" s="280">
        <v>150</v>
      </c>
      <c r="E39" s="280">
        <v>4.1500000000000004</v>
      </c>
      <c r="F39" s="280" t="s">
        <v>1659</v>
      </c>
      <c r="G39" s="280" t="str">
        <f>IF(B28="","",VLOOKUP(B28,钢管壁厚等级表!$B$2:$S$35,MATCH(F39,钢管壁厚等级表!$B$2:$S$2,0)))</f>
        <v/>
      </c>
      <c r="H39" s="280" t="str">
        <f t="shared" si="8"/>
        <v/>
      </c>
      <c r="I39" s="280"/>
      <c r="J39" s="280" t="str">
        <f t="shared" si="9"/>
        <v/>
      </c>
      <c r="K39" s="280" t="str">
        <f>IF(B39="","",VLOOKUP(C39,汇总!$J$4:$K$25,2,FALSE))</f>
        <v/>
      </c>
      <c r="L39" s="280" t="str">
        <f>IF(J39="","",K39*J39+I39*30)</f>
        <v/>
      </c>
      <c r="M39" s="280"/>
      <c r="N39" s="169" t="str">
        <f t="shared" si="2"/>
        <v/>
      </c>
      <c r="O39" s="184"/>
    </row>
    <row r="40" spans="1:15" ht="18" customHeight="1">
      <c r="A40" s="280">
        <v>6</v>
      </c>
      <c r="B40" s="280" t="str">
        <f t="shared" si="7"/>
        <v/>
      </c>
      <c r="C40" s="280" t="s">
        <v>1932</v>
      </c>
      <c r="D40" s="280">
        <v>150</v>
      </c>
      <c r="E40" s="280">
        <v>3.65</v>
      </c>
      <c r="F40" s="280" t="s">
        <v>1659</v>
      </c>
      <c r="G40" s="280" t="str">
        <f>IF(B29="","",VLOOKUP(B29,钢管壁厚等级表!$B$2:$S$35,MATCH(#REF!,钢管壁厚等级表!$B$2:$S$2,0)))</f>
        <v/>
      </c>
      <c r="H40" s="280" t="str">
        <f t="shared" si="8"/>
        <v/>
      </c>
      <c r="I40" s="280"/>
      <c r="J40" s="280" t="str">
        <f t="shared" si="9"/>
        <v/>
      </c>
      <c r="K40" s="280" t="str">
        <f>IF(B40="","",VLOOKUP(C40,汇总!$J$4:$K$25,2,FALSE))</f>
        <v/>
      </c>
      <c r="L40" s="280" t="str">
        <f>IF(J40="","",K40*J40+I40*15)</f>
        <v/>
      </c>
      <c r="M40" s="280"/>
      <c r="N40" s="169" t="str">
        <f t="shared" si="2"/>
        <v/>
      </c>
      <c r="O40" s="184"/>
    </row>
    <row r="41" spans="1:15" ht="18" customHeight="1">
      <c r="A41" s="280">
        <v>7</v>
      </c>
      <c r="B41" s="280" t="str">
        <f t="shared" si="7"/>
        <v/>
      </c>
      <c r="C41" s="280" t="s">
        <v>1932</v>
      </c>
      <c r="D41" s="280">
        <v>150</v>
      </c>
      <c r="E41" s="280">
        <v>3.35</v>
      </c>
      <c r="F41" s="280" t="s">
        <v>1659</v>
      </c>
      <c r="G41" s="280" t="str">
        <f>IF(B30="","",VLOOKUP(B30,钢管壁厚等级表!$B$2:$S$35,MATCH(#REF!,钢管壁厚等级表!$B$2:$S$2,0)))</f>
        <v/>
      </c>
      <c r="H41" s="280" t="str">
        <f t="shared" si="8"/>
        <v/>
      </c>
      <c r="I41" s="280"/>
      <c r="J41" s="280" t="str">
        <f t="shared" si="9"/>
        <v/>
      </c>
      <c r="K41" s="280" t="str">
        <f>IF(B41="","",VLOOKUP(C41,汇总!$J$4:$K$25,2,FALSE))</f>
        <v/>
      </c>
      <c r="L41" s="280" t="str">
        <f t="shared" ref="L41:L43" si="11">IF(J41="","",K41*J41)</f>
        <v/>
      </c>
      <c r="M41" s="280"/>
      <c r="N41" s="169" t="str">
        <f t="shared" si="2"/>
        <v/>
      </c>
      <c r="O41" s="184"/>
    </row>
    <row r="42" spans="1:15" ht="18" customHeight="1">
      <c r="A42" s="280">
        <v>8</v>
      </c>
      <c r="B42" s="280" t="str">
        <f t="shared" si="7"/>
        <v/>
      </c>
      <c r="C42" s="280"/>
      <c r="D42" s="280"/>
      <c r="E42" s="280"/>
      <c r="F42" s="280"/>
      <c r="G42" s="280" t="str">
        <f>IF(B31="","",VLOOKUP(B31,钢管壁厚等级表!$B$2:$S$35,MATCH(#REF!,钢管壁厚等级表!$B$2:$S$2,0)))</f>
        <v/>
      </c>
      <c r="H42" s="280" t="str">
        <f t="shared" si="8"/>
        <v/>
      </c>
      <c r="I42" s="280"/>
      <c r="J42" s="280" t="str">
        <f t="shared" si="9"/>
        <v/>
      </c>
      <c r="K42" s="280" t="str">
        <f>IF(B42="","",VLOOKUP(C42,汇总!$J$4:$K$25,2,FALSE))</f>
        <v/>
      </c>
      <c r="L42" s="280" t="str">
        <f t="shared" si="11"/>
        <v/>
      </c>
      <c r="M42" s="280"/>
      <c r="N42" s="169" t="str">
        <f t="shared" si="2"/>
        <v/>
      </c>
    </row>
    <row r="43" spans="1:15" ht="18" customHeight="1">
      <c r="A43" s="280">
        <v>9</v>
      </c>
      <c r="B43" s="280" t="str">
        <f t="shared" si="7"/>
        <v/>
      </c>
      <c r="C43" s="280"/>
      <c r="D43" s="280"/>
      <c r="E43" s="280"/>
      <c r="F43" s="280"/>
      <c r="G43" s="280" t="str">
        <f>IF(B32="","",VLOOKUP(B32,钢管壁厚等级表!$B$2:$S$35,MATCH(#REF!,钢管壁厚等级表!$B$2:$S$2,0)))</f>
        <v/>
      </c>
      <c r="H43" s="280" t="str">
        <f t="shared" si="8"/>
        <v/>
      </c>
      <c r="I43" s="280"/>
      <c r="J43" s="280" t="str">
        <f t="shared" si="9"/>
        <v/>
      </c>
      <c r="K43" s="280" t="str">
        <f>IF(B43="","",VLOOKUP(C43,汇总!$J$4:$K$25,2,FALSE))</f>
        <v/>
      </c>
      <c r="L43" s="280" t="str">
        <f t="shared" si="11"/>
        <v/>
      </c>
      <c r="M43" s="280"/>
      <c r="N43" s="169" t="str">
        <f t="shared" si="2"/>
        <v/>
      </c>
    </row>
    <row r="44" spans="1:15" ht="18" customHeight="1">
      <c r="A44" s="173"/>
      <c r="B44" s="302" t="s">
        <v>1947</v>
      </c>
      <c r="C44" s="173"/>
      <c r="D44" s="173"/>
      <c r="E44" s="173"/>
      <c r="F44" s="173"/>
      <c r="G44" s="173"/>
      <c r="H44" s="173"/>
      <c r="I44" s="173"/>
      <c r="J44" s="173">
        <f>SUM(J35:J43)</f>
        <v>35.299999999999997</v>
      </c>
      <c r="K44" s="173"/>
      <c r="L44" s="173">
        <f>SUM(L35:L43)</f>
        <v>988.4</v>
      </c>
      <c r="M44" s="173"/>
      <c r="N44" s="169"/>
    </row>
    <row r="45" spans="1:15" ht="18" customHeight="1">
      <c r="A45" s="205" t="s">
        <v>1575</v>
      </c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7"/>
      <c r="N45" s="169"/>
    </row>
    <row r="46" spans="1:15" ht="18" customHeight="1">
      <c r="A46" s="299" t="s">
        <v>14</v>
      </c>
      <c r="B46" s="299" t="s">
        <v>23</v>
      </c>
      <c r="C46" s="299" t="s">
        <v>1567</v>
      </c>
      <c r="D46" s="299" t="s">
        <v>1630</v>
      </c>
      <c r="E46" s="284" t="s">
        <v>1203</v>
      </c>
      <c r="F46" s="285"/>
      <c r="G46" s="300"/>
      <c r="H46" s="299" t="s">
        <v>1631</v>
      </c>
      <c r="I46" s="299" t="s">
        <v>1577</v>
      </c>
      <c r="J46" s="299" t="s">
        <v>116</v>
      </c>
      <c r="K46" s="299" t="s">
        <v>1191</v>
      </c>
      <c r="L46" s="299" t="s">
        <v>1192</v>
      </c>
      <c r="M46" s="299" t="s">
        <v>1573</v>
      </c>
      <c r="N46" s="169"/>
    </row>
    <row r="47" spans="1:15" ht="18" customHeight="1">
      <c r="A47" s="301"/>
      <c r="B47" s="301"/>
      <c r="C47" s="301"/>
      <c r="D47" s="301"/>
      <c r="E47" s="279" t="s">
        <v>1578</v>
      </c>
      <c r="F47" s="279" t="s">
        <v>16</v>
      </c>
      <c r="G47" s="279" t="s">
        <v>1579</v>
      </c>
      <c r="H47" s="301"/>
      <c r="I47" s="301"/>
      <c r="J47" s="301"/>
      <c r="K47" s="301"/>
      <c r="L47" s="301"/>
      <c r="M47" s="295"/>
      <c r="N47" s="169"/>
    </row>
    <row r="48" spans="1:15" ht="18" customHeight="1">
      <c r="A48" s="280">
        <v>1</v>
      </c>
      <c r="B48" s="279" t="s">
        <v>1892</v>
      </c>
      <c r="C48" s="279" t="s">
        <v>1550</v>
      </c>
      <c r="D48" s="280">
        <f>IF(E48="","",ROUNDUP(E48^2*PI()/4*F48*7.93/10^6,1))</f>
        <v>88.5</v>
      </c>
      <c r="E48" s="280">
        <v>596</v>
      </c>
      <c r="F48" s="280">
        <v>40</v>
      </c>
      <c r="G48" s="280">
        <v>5</v>
      </c>
      <c r="H48" s="280">
        <f>IF(C48="","",VLOOKUP(C48,汇总!$J$4:$K$24,2,FALSE))</f>
        <v>17</v>
      </c>
      <c r="I48" s="280">
        <f>IF(B48="管板",150+G48*100,IF(B48="压板",150+G48*15,""))</f>
        <v>650</v>
      </c>
      <c r="J48" s="280">
        <v>1</v>
      </c>
      <c r="K48" s="280">
        <f>IF(B48="","",IF(B48="管板",H48*D48*1.6+I48,IF(B48="压板",H48*D48+I48,VLOOKUP(B48,$J$118:$K$135,2,FALSE))))</f>
        <v>3057.2000000000003</v>
      </c>
      <c r="L48" s="280">
        <f>IF(B48="","",K48*J48)</f>
        <v>3057.2000000000003</v>
      </c>
      <c r="M48" s="280"/>
      <c r="N48" s="169"/>
      <c r="O48" s="184" t="s">
        <v>1927</v>
      </c>
    </row>
    <row r="49" spans="1:15" ht="18" customHeight="1">
      <c r="A49" s="280">
        <v>2</v>
      </c>
      <c r="B49" s="279" t="s">
        <v>1919</v>
      </c>
      <c r="C49" s="279" t="s">
        <v>1550</v>
      </c>
      <c r="D49" s="280">
        <f t="shared" ref="D49:D53" si="12">IF(E49="","",ROUNDUP(E49^2*PI()/4*F49*7.93/10^6,1))</f>
        <v>8.4</v>
      </c>
      <c r="E49" s="280">
        <v>580</v>
      </c>
      <c r="F49" s="280">
        <v>4</v>
      </c>
      <c r="G49" s="280">
        <v>5</v>
      </c>
      <c r="H49" s="280">
        <f>IF(C49="","",VLOOKUP(C49,汇总!$J$4:$K$24,2,FALSE))</f>
        <v>17</v>
      </c>
      <c r="I49" s="280">
        <f>IF(B49="管板",150+G49*85,IF(B49="压板",150+G49*25,""))</f>
        <v>275</v>
      </c>
      <c r="J49" s="280">
        <v>1</v>
      </c>
      <c r="K49" s="280">
        <f>IF(B49="","",IF(B49="管板",H49*D49*1.6+I49,IF(B49="压板",H49*D49+I49,VLOOKUP(B49,$J$118:$K$135,2,FALSE))))</f>
        <v>417.8</v>
      </c>
      <c r="L49" s="280">
        <f t="shared" ref="L49:L55" si="13">IF(B49="","",K49*J49)</f>
        <v>417.8</v>
      </c>
      <c r="M49" s="279"/>
      <c r="N49" s="169"/>
      <c r="O49" s="184" t="s">
        <v>1926</v>
      </c>
    </row>
    <row r="50" spans="1:15" ht="18" customHeight="1">
      <c r="A50" s="280">
        <v>3</v>
      </c>
      <c r="B50" s="279" t="s">
        <v>1919</v>
      </c>
      <c r="C50" s="279" t="s">
        <v>1550</v>
      </c>
      <c r="D50" s="280">
        <f t="shared" si="12"/>
        <v>22.200000000000003</v>
      </c>
      <c r="E50" s="280">
        <v>596</v>
      </c>
      <c r="F50" s="280">
        <v>10</v>
      </c>
      <c r="G50" s="280">
        <v>5</v>
      </c>
      <c r="H50" s="280">
        <f>IF(C50="","",VLOOKUP(C50,汇总!$J$4:$K$24,2,FALSE))</f>
        <v>17</v>
      </c>
      <c r="I50" s="280">
        <f t="shared" ref="I50:I52" si="14">IF(B50="管板",150+G50*85,IF(B50="压板",150+G50*15,""))</f>
        <v>225</v>
      </c>
      <c r="J50" s="280">
        <v>1</v>
      </c>
      <c r="K50" s="280">
        <f>IF(B50="","",IF(B50="管板",H50*D50*1.6+I50,IF(B50="压板",H50*D50+I50,VLOOKUP(B50,$J$118:$K$135,2,FALSE))))</f>
        <v>602.40000000000009</v>
      </c>
      <c r="L50" s="280">
        <f t="shared" si="13"/>
        <v>602.40000000000009</v>
      </c>
      <c r="M50" s="279"/>
      <c r="N50" s="169"/>
      <c r="O50" s="184" t="s">
        <v>1931</v>
      </c>
    </row>
    <row r="51" spans="1:15" ht="18" customHeight="1">
      <c r="A51" s="280">
        <v>4</v>
      </c>
      <c r="B51" s="279" t="s">
        <v>1938</v>
      </c>
      <c r="C51" s="279" t="s">
        <v>1550</v>
      </c>
      <c r="D51" s="280" t="str">
        <f t="shared" si="12"/>
        <v/>
      </c>
      <c r="E51" s="280"/>
      <c r="F51" s="280"/>
      <c r="G51" s="280"/>
      <c r="H51" s="280">
        <f>IF(C51="","",VLOOKUP(C51,汇总!$J$4:$K$24,2,FALSE))</f>
        <v>17</v>
      </c>
      <c r="I51" s="280" t="str">
        <f t="shared" si="14"/>
        <v/>
      </c>
      <c r="J51" s="280">
        <v>5</v>
      </c>
      <c r="K51" s="280">
        <v>800</v>
      </c>
      <c r="L51" s="280">
        <f t="shared" si="13"/>
        <v>4000</v>
      </c>
      <c r="M51" s="280"/>
      <c r="N51" s="169" t="str">
        <f t="shared" si="2"/>
        <v>不锈钢</v>
      </c>
      <c r="O51" s="184"/>
    </row>
    <row r="52" spans="1:15" ht="18" customHeight="1">
      <c r="A52" s="280">
        <v>5</v>
      </c>
      <c r="B52" s="279" t="s">
        <v>1892</v>
      </c>
      <c r="C52" s="279" t="s">
        <v>1550</v>
      </c>
      <c r="D52" s="280">
        <f t="shared" si="12"/>
        <v>1</v>
      </c>
      <c r="E52" s="280">
        <v>156</v>
      </c>
      <c r="F52" s="280">
        <v>6</v>
      </c>
      <c r="G52" s="280"/>
      <c r="H52" s="280">
        <f>IF(C52="","",VLOOKUP(C52,汇总!$J$4:$K$24,2,FALSE))</f>
        <v>17</v>
      </c>
      <c r="I52" s="280">
        <f t="shared" si="14"/>
        <v>150</v>
      </c>
      <c r="J52" s="280">
        <v>5</v>
      </c>
      <c r="K52" s="280">
        <f>IF(B52="","",IF(B52="管板",H52*D52*1.6+I52,IF(B52="压板",H52*D52+I52,VLOOKUP(B52,$J$118:$K$135,2,FALSE))))</f>
        <v>177.2</v>
      </c>
      <c r="L52" s="280">
        <f t="shared" si="13"/>
        <v>886</v>
      </c>
      <c r="M52" s="280"/>
      <c r="N52" s="169" t="str">
        <f t="shared" si="2"/>
        <v>不锈钢</v>
      </c>
      <c r="O52" s="184" t="s">
        <v>1939</v>
      </c>
    </row>
    <row r="53" spans="1:15" ht="18" customHeight="1">
      <c r="A53" s="280">
        <v>6</v>
      </c>
      <c r="B53" s="279" t="s">
        <v>1892</v>
      </c>
      <c r="C53" s="279" t="s">
        <v>1550</v>
      </c>
      <c r="D53" s="280">
        <f t="shared" si="12"/>
        <v>1.6</v>
      </c>
      <c r="E53" s="280">
        <v>160</v>
      </c>
      <c r="F53" s="280">
        <v>10</v>
      </c>
      <c r="G53" s="280"/>
      <c r="H53" s="280">
        <f>IF(C53="","",VLOOKUP(C53,汇总!$J$4:$K$24,2,FALSE))</f>
        <v>17</v>
      </c>
      <c r="I53" s="280"/>
      <c r="J53" s="280">
        <v>1</v>
      </c>
      <c r="K53" s="280">
        <f>IF(B53="","",IF(B53="管板",H53*D53*1.6+I53,IF(B53="压板",H53*D53+I53,VLOOKUP(B53,$J$118:$K$135,2,FALSE))))</f>
        <v>43.52000000000001</v>
      </c>
      <c r="L53" s="280">
        <f t="shared" si="13"/>
        <v>43.52000000000001</v>
      </c>
      <c r="M53" s="280"/>
      <c r="N53" s="169" t="str">
        <f t="shared" si="2"/>
        <v>不锈钢</v>
      </c>
      <c r="O53" s="184" t="s">
        <v>1942</v>
      </c>
    </row>
    <row r="54" spans="1:15" ht="18" customHeight="1">
      <c r="A54" s="280">
        <v>7</v>
      </c>
      <c r="B54" s="279"/>
      <c r="C54" s="279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169" t="str">
        <f t="shared" si="2"/>
        <v/>
      </c>
    </row>
    <row r="55" spans="1:15" ht="18" customHeight="1">
      <c r="A55" s="280">
        <v>8</v>
      </c>
      <c r="B55" s="279"/>
      <c r="C55" s="279"/>
      <c r="D55" s="280" t="str">
        <f t="shared" ref="D55" si="15">IF(E55="","",ROUNDUP(E55^2*PI()/4*F55*7.93/10^6,1))</f>
        <v/>
      </c>
      <c r="E55" s="280"/>
      <c r="F55" s="280"/>
      <c r="G55" s="280"/>
      <c r="H55" s="280" t="str">
        <f>IF(C55="","",VLOOKUP(C55,汇总!$J$4:$K$24,2,FALSE))</f>
        <v/>
      </c>
      <c r="I55" s="280" t="str">
        <f t="shared" ref="I55" si="16">IF(B55="管板",150+G55*85,IF(B55="压板",150+G55*15,""))</f>
        <v/>
      </c>
      <c r="J55" s="280"/>
      <c r="K55" s="280" t="str">
        <f>IF(B55="","",IF(B55="管板",H55*D55*1.6+I55,IF(B55="压板",H55*D55+I55,VLOOKUP(B55,$J$118:$K$135,2,FALSE))))</f>
        <v/>
      </c>
      <c r="L55" s="280" t="str">
        <f t="shared" si="13"/>
        <v/>
      </c>
      <c r="M55" s="280"/>
      <c r="N55" s="169" t="str">
        <f t="shared" si="2"/>
        <v/>
      </c>
    </row>
    <row r="56" spans="1:15" ht="18" customHeight="1">
      <c r="A56" s="173"/>
      <c r="B56" s="302" t="s">
        <v>1947</v>
      </c>
      <c r="C56" s="173"/>
      <c r="D56" s="173">
        <f>SUM(D48:D55)</f>
        <v>121.7</v>
      </c>
      <c r="E56" s="173"/>
      <c r="F56" s="173"/>
      <c r="G56" s="173"/>
      <c r="H56" s="173" t="str">
        <f>IF(C56="","",VLOOKUP(C56,汇总!$J$4:$K$24,2,FALSE))</f>
        <v/>
      </c>
      <c r="I56" s="173"/>
      <c r="J56" s="173"/>
      <c r="K56" s="173"/>
      <c r="L56" s="173">
        <f>SUM(L48:L55)</f>
        <v>9006.9200000000019</v>
      </c>
      <c r="M56" s="173"/>
      <c r="N56" s="169"/>
    </row>
    <row r="57" spans="1:15" ht="18" customHeight="1">
      <c r="A57" s="205" t="s">
        <v>1170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7"/>
      <c r="N57" s="169"/>
    </row>
    <row r="58" spans="1:15" ht="18" customHeight="1">
      <c r="A58" s="280"/>
      <c r="B58" s="279" t="s">
        <v>115</v>
      </c>
      <c r="C58" s="279" t="s">
        <v>1567</v>
      </c>
      <c r="D58" s="279" t="s">
        <v>85</v>
      </c>
      <c r="E58" s="279" t="s">
        <v>1136</v>
      </c>
      <c r="F58" s="279" t="s">
        <v>1604</v>
      </c>
      <c r="G58" s="280"/>
      <c r="H58" s="280"/>
      <c r="I58" s="279" t="s">
        <v>1611</v>
      </c>
      <c r="J58" s="279" t="s">
        <v>1493</v>
      </c>
      <c r="K58" s="279" t="s">
        <v>1191</v>
      </c>
      <c r="L58" s="279" t="s">
        <v>1192</v>
      </c>
      <c r="M58" s="279" t="s">
        <v>1573</v>
      </c>
      <c r="N58" s="169"/>
    </row>
    <row r="59" spans="1:15" ht="18" customHeight="1">
      <c r="A59" s="280">
        <v>1</v>
      </c>
      <c r="B59" s="280">
        <f>IF(B18="","",B18)</f>
        <v>600</v>
      </c>
      <c r="C59" s="279" t="s">
        <v>1703</v>
      </c>
      <c r="D59" s="280">
        <f>IF(D18="","",D18)</f>
        <v>47023</v>
      </c>
      <c r="E59" s="279" t="str">
        <f>IF(B59="","",IF(D59="J47021","M"&amp;jbt4701cs("M",F18,B18),IF(D59="47022","M"&amp;jbt4702cs("M",F18,B18),"M"&amp;jbt4703cs("M",F18,B18))))</f>
        <v>M24</v>
      </c>
      <c r="F59" s="280">
        <f>IF(B59="","",(ROUND((IF(D59="47021",jbt4701cs("T",F18,B18),IF(D59="47022",jbt4702cs("T",F18,B18),jbt4703cs("T",F18,B18)))*2+RIGHT(E59,2)*2+20)/5,0)*5))</f>
        <v>150</v>
      </c>
      <c r="G59" s="280"/>
      <c r="H59" s="280"/>
      <c r="I59" s="280">
        <f>IF(B59="","",IF(D59="47021",jbt4701cs("n",F18,B18),IF(D59="47022",jbt4702cs("n",F18,B18),jbt4703cs("n",F18,B18))))</f>
        <v>24</v>
      </c>
      <c r="J59" s="280">
        <v>7</v>
      </c>
      <c r="K59" s="280">
        <f>IF(B59="","",VLOOKUP(E59,汇总!$M$4:$N$14,2))</f>
        <v>10</v>
      </c>
      <c r="L59" s="280">
        <f>IF(B59="","",I59*J59*K59)</f>
        <v>1680</v>
      </c>
      <c r="M59" s="280"/>
      <c r="N59" s="169"/>
      <c r="O59" s="184" t="s">
        <v>1923</v>
      </c>
    </row>
    <row r="60" spans="1:15" ht="18" customHeight="1">
      <c r="A60" s="280">
        <v>2</v>
      </c>
      <c r="B60" s="280" t="str">
        <f>IF(B19="","",B19)</f>
        <v/>
      </c>
      <c r="C60" s="279"/>
      <c r="D60" s="280" t="str">
        <f>IF(D19="","",D19)</f>
        <v/>
      </c>
      <c r="E60" s="279" t="str">
        <f>IF(B60="","",IF(D60="J47021","M"&amp;jbt4701cs("M",F19,B19),IF(D60="47022","M"&amp;jbt4702cs("M",F19,B19),"M"&amp;jbt4703cs("M",F19,B19))))</f>
        <v/>
      </c>
      <c r="F60" s="280" t="str">
        <f>IF(B60="","",(ROUND((IF(D60="47021",jbt4701cs("T",F19,B19),IF(D60="47022",jbt4702cs("T",F19,B19),jbt4703cs("T",F19,B19)))*2+RIGHT(E60,2)*2+20)/5,0)*5))</f>
        <v/>
      </c>
      <c r="G60" s="280"/>
      <c r="H60" s="280"/>
      <c r="I60" s="280" t="str">
        <f>IF(B60="","",IF(D60="47021",jbt4701cs("n",F19,B19),IF(D60="47022",jbt4702cs("n",F19,B19),jbt4703cs("n",F19,B19))))</f>
        <v/>
      </c>
      <c r="J60" s="280" t="str">
        <f>IF(B60="","",ROUNDUP(I19/2,0))</f>
        <v/>
      </c>
      <c r="K60" s="280" t="str">
        <f>IF(B60="","",VLOOKUP(E60,汇总!$M$4:$N$14,2))</f>
        <v/>
      </c>
      <c r="L60" s="280" t="str">
        <f t="shared" ref="L60:L67" si="17">IF(B60="","",I60*J60*K60)</f>
        <v/>
      </c>
      <c r="M60" s="280"/>
      <c r="N60" s="169"/>
    </row>
    <row r="61" spans="1:15" ht="18" customHeight="1">
      <c r="A61" s="280">
        <v>3</v>
      </c>
      <c r="B61" s="280" t="str">
        <f>IF(B20="","",B20)</f>
        <v/>
      </c>
      <c r="C61" s="279"/>
      <c r="D61" s="280" t="str">
        <f>IF(D20="","",D20)</f>
        <v/>
      </c>
      <c r="E61" s="279" t="str">
        <f>IF(B61="","",IF(D61="J47021","M"&amp;jbt4701cs("M",F20,B20),IF(D61="47022","M"&amp;jbt4702cs("M",F20,B20),"M"&amp;jbt4703cs("M",F20,B20))))</f>
        <v/>
      </c>
      <c r="F61" s="280" t="str">
        <f>IF(B61="","",(ROUND((IF(D61="47021",jbt4701cs("T",F20,B20),IF(D61="47022",jbt4702cs("T",F20,B20),jbt4703cs("T",F20,B20)))*2+RIGHT(E61,2)*2+20)/5,0)*5))</f>
        <v/>
      </c>
      <c r="G61" s="280"/>
      <c r="H61" s="280"/>
      <c r="I61" s="280" t="str">
        <f>IF(B61="","",IF(D61="47021",jbt4701cs("n",F20,B20),IF(D61="47022",jbt4702cs("n",F20,B20),jbt4703cs("n",F20,B20))))</f>
        <v/>
      </c>
      <c r="J61" s="280" t="str">
        <f>IF(B61="","",ROUNDUP(I20/2,0))</f>
        <v/>
      </c>
      <c r="K61" s="280" t="str">
        <f>IF(B61="","",VLOOKUP(E61,汇总!$M$4:$N$14,2))</f>
        <v/>
      </c>
      <c r="L61" s="280" t="str">
        <f t="shared" si="17"/>
        <v/>
      </c>
      <c r="M61" s="280"/>
      <c r="N61" s="169"/>
    </row>
    <row r="62" spans="1:15" ht="18" customHeight="1">
      <c r="A62" s="280">
        <v>4</v>
      </c>
      <c r="B62" s="280">
        <f t="shared" ref="B62:B67" si="18">IF(B24=0,"",B24)</f>
        <v>250</v>
      </c>
      <c r="C62" s="280"/>
      <c r="D62" s="280" t="str">
        <f t="shared" ref="D62:D67" si="19">MID(D24,3,8)</f>
        <v>20615</v>
      </c>
      <c r="E62" s="279" t="s">
        <v>1706</v>
      </c>
      <c r="F62" s="280">
        <v>420</v>
      </c>
      <c r="G62" s="280"/>
      <c r="H62" s="280"/>
      <c r="I62" s="280">
        <v>28</v>
      </c>
      <c r="J62" s="280"/>
      <c r="K62" s="280">
        <f>IF(B62="","",VLOOKUP(E62,汇总!$M$4:$N$14,2))</f>
        <v>105</v>
      </c>
      <c r="L62" s="280">
        <f t="shared" si="17"/>
        <v>0</v>
      </c>
      <c r="M62" s="280"/>
      <c r="N62" s="169"/>
    </row>
    <row r="63" spans="1:15" ht="18" customHeight="1">
      <c r="A63" s="280">
        <v>5</v>
      </c>
      <c r="B63" s="280">
        <f t="shared" si="18"/>
        <v>50</v>
      </c>
      <c r="C63" s="280"/>
      <c r="D63" s="280" t="str">
        <f t="shared" si="19"/>
        <v>20615</v>
      </c>
      <c r="E63" s="280" t="str">
        <f>IF(B63="","",IF(D63="20592",E145,K152))</f>
        <v>M16</v>
      </c>
      <c r="F63" s="280">
        <f>IF(B63="","",IF(D63="20592",F145,L145))</f>
        <v>85</v>
      </c>
      <c r="G63" s="280"/>
      <c r="H63" s="280"/>
      <c r="I63" s="280">
        <v>28</v>
      </c>
      <c r="J63" s="280"/>
      <c r="K63" s="280">
        <f>IF(B63="","",VLOOKUP(E63,汇总!$M$4:$N$14,2))</f>
        <v>5.5</v>
      </c>
      <c r="L63" s="280">
        <f t="shared" si="17"/>
        <v>0</v>
      </c>
      <c r="M63" s="280"/>
      <c r="N63" s="169"/>
    </row>
    <row r="64" spans="1:15" ht="18" customHeight="1">
      <c r="A64" s="280">
        <v>6</v>
      </c>
      <c r="B64" s="280">
        <f t="shared" si="18"/>
        <v>25</v>
      </c>
      <c r="C64" s="280"/>
      <c r="D64" s="280" t="str">
        <f t="shared" si="19"/>
        <v>20615</v>
      </c>
      <c r="E64" s="280" t="str">
        <f>IF(B64="","",IF(D64="20592",E146,K153))</f>
        <v>M14</v>
      </c>
      <c r="F64" s="280">
        <f>IF(B64="","",IF(D64="20592",F146,L146))</f>
        <v>70</v>
      </c>
      <c r="G64" s="280"/>
      <c r="H64" s="280"/>
      <c r="I64" s="280">
        <f>IF(B64="","",IF(D64="20592",D146,J153))</f>
        <v>4</v>
      </c>
      <c r="J64" s="280">
        <v>4</v>
      </c>
      <c r="K64" s="280">
        <f>IF(B64="","",VLOOKUP(E64,汇总!$M$4:$N$14,2))</f>
        <v>4.5</v>
      </c>
      <c r="L64" s="280">
        <f t="shared" si="17"/>
        <v>72</v>
      </c>
      <c r="M64" s="280"/>
      <c r="N64" s="169" t="str">
        <f t="shared" si="2"/>
        <v>碳钢</v>
      </c>
      <c r="O64" s="184" t="s">
        <v>1925</v>
      </c>
    </row>
    <row r="65" spans="1:16" ht="18" customHeight="1">
      <c r="A65" s="280">
        <v>7</v>
      </c>
      <c r="B65" s="280" t="str">
        <f t="shared" si="18"/>
        <v/>
      </c>
      <c r="C65" s="280"/>
      <c r="D65" s="280" t="str">
        <f t="shared" si="19"/>
        <v>20615</v>
      </c>
      <c r="E65" s="280" t="str">
        <f>IF(B65="","",IF(D65="20592",E147,K154))</f>
        <v/>
      </c>
      <c r="F65" s="280" t="str">
        <f>IF(B65="","",IF(D65="20592",F147,L147))</f>
        <v/>
      </c>
      <c r="G65" s="280"/>
      <c r="H65" s="280"/>
      <c r="I65" s="280">
        <v>4</v>
      </c>
      <c r="J65" s="280"/>
      <c r="K65" s="280">
        <v>5.5</v>
      </c>
      <c r="L65" s="280" t="str">
        <f t="shared" si="17"/>
        <v/>
      </c>
      <c r="M65" s="280"/>
      <c r="N65" s="169" t="str">
        <f t="shared" si="2"/>
        <v/>
      </c>
      <c r="O65" s="184"/>
    </row>
    <row r="66" spans="1:16" ht="18" customHeight="1">
      <c r="A66" s="280">
        <v>8</v>
      </c>
      <c r="B66" s="280" t="str">
        <f t="shared" si="18"/>
        <v/>
      </c>
      <c r="C66" s="280"/>
      <c r="D66" s="280" t="str">
        <f t="shared" si="19"/>
        <v>20615</v>
      </c>
      <c r="E66" s="280" t="str">
        <f>IF(B66="","",IF(D66="20592",E148,K155))</f>
        <v/>
      </c>
      <c r="F66" s="280" t="str">
        <f>IF(B66="","",IF(D66="20592",F148,L148))</f>
        <v/>
      </c>
      <c r="G66" s="280"/>
      <c r="H66" s="280"/>
      <c r="I66" s="280" t="str">
        <f>IF(B66="","",IF(D66="20592",D148,J155))</f>
        <v/>
      </c>
      <c r="J66" s="280"/>
      <c r="K66" s="280" t="str">
        <f>IF(B66="","",VLOOKUP(E66,汇总!$M$4:$N$14,2))</f>
        <v/>
      </c>
      <c r="L66" s="280" t="str">
        <f t="shared" si="17"/>
        <v/>
      </c>
      <c r="M66" s="280"/>
      <c r="N66" s="169" t="str">
        <f t="shared" si="2"/>
        <v/>
      </c>
    </row>
    <row r="67" spans="1:16" ht="18" customHeight="1">
      <c r="A67" s="280">
        <v>9</v>
      </c>
      <c r="B67" s="280" t="str">
        <f t="shared" si="18"/>
        <v/>
      </c>
      <c r="C67" s="280"/>
      <c r="D67" s="280" t="str">
        <f t="shared" si="19"/>
        <v>20615</v>
      </c>
      <c r="E67" s="280" t="str">
        <f>IF(B67="","",IF(D67="20592",E149,K156))</f>
        <v/>
      </c>
      <c r="F67" s="280" t="str">
        <f>IF(B67="","",IF(D67="20592",F149,L149))</f>
        <v/>
      </c>
      <c r="G67" s="280"/>
      <c r="H67" s="280"/>
      <c r="I67" s="280" t="str">
        <f>IF(B67="","",IF(D67="20592",D149,J156))</f>
        <v/>
      </c>
      <c r="J67" s="280"/>
      <c r="K67" s="280" t="str">
        <f>IF(B67="","",VLOOKUP(E67,汇总!$M$4:$N$14,2))</f>
        <v/>
      </c>
      <c r="L67" s="280" t="str">
        <f t="shared" si="17"/>
        <v/>
      </c>
      <c r="M67" s="280"/>
      <c r="N67" s="169" t="str">
        <f t="shared" si="2"/>
        <v/>
      </c>
    </row>
    <row r="68" spans="1:16" ht="18" customHeight="1">
      <c r="A68" s="173"/>
      <c r="B68" s="302" t="s">
        <v>1947</v>
      </c>
      <c r="C68" s="173"/>
      <c r="D68" s="173"/>
      <c r="E68" s="173"/>
      <c r="F68" s="173"/>
      <c r="G68" s="173"/>
      <c r="H68" s="173"/>
      <c r="I68" s="173"/>
      <c r="J68" s="173"/>
      <c r="K68" s="173"/>
      <c r="L68" s="173">
        <f>SUM(L59:L67)</f>
        <v>1752</v>
      </c>
      <c r="M68" s="173"/>
      <c r="N68" s="169"/>
    </row>
    <row r="69" spans="1:16" ht="18" customHeight="1">
      <c r="A69" s="205" t="s">
        <v>1194</v>
      </c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7"/>
      <c r="N69" s="169"/>
    </row>
    <row r="70" spans="1:16" ht="18" customHeight="1">
      <c r="A70" s="10" t="s">
        <v>14</v>
      </c>
      <c r="B70" s="10" t="s">
        <v>23</v>
      </c>
      <c r="C70" s="10" t="s">
        <v>1582</v>
      </c>
      <c r="D70" s="1"/>
      <c r="E70" s="1"/>
      <c r="F70" s="1"/>
      <c r="G70" s="10" t="s">
        <v>1171</v>
      </c>
      <c r="H70" s="10" t="s">
        <v>116</v>
      </c>
      <c r="I70" s="10" t="s">
        <v>1572</v>
      </c>
      <c r="J70" s="10" t="s">
        <v>1494</v>
      </c>
      <c r="K70" s="10" t="s">
        <v>1191</v>
      </c>
      <c r="L70" s="10" t="s">
        <v>1192</v>
      </c>
      <c r="M70" s="10" t="s">
        <v>1573</v>
      </c>
      <c r="N70" s="169"/>
    </row>
    <row r="71" spans="1:16" ht="18" customHeight="1">
      <c r="A71" s="282">
        <v>1</v>
      </c>
      <c r="B71" s="283" t="s">
        <v>1489</v>
      </c>
      <c r="C71" s="284" t="s">
        <v>1945</v>
      </c>
      <c r="D71" s="285"/>
      <c r="E71" s="286"/>
      <c r="F71" s="287"/>
      <c r="G71" s="288" t="s">
        <v>1550</v>
      </c>
      <c r="H71" s="281">
        <v>2</v>
      </c>
      <c r="I71" s="289">
        <f>VLOOKUP(C71,支腿数据!B30:D72,3,FALSE)</f>
        <v>25</v>
      </c>
      <c r="J71" s="290">
        <f t="shared" ref="J71:J78" si="20">I71*H71</f>
        <v>50</v>
      </c>
      <c r="K71" s="289">
        <f>VLOOKUP(G71,汇总!$J$4:$K$24,2,FALSE)</f>
        <v>17</v>
      </c>
      <c r="L71" s="291">
        <f>K71*J71</f>
        <v>850</v>
      </c>
      <c r="M71" s="281"/>
      <c r="N71" s="169" t="str">
        <f>IF(H71=0,"",IF(LEFT(G71,1)="S","不锈钢","碳钢"))</f>
        <v>不锈钢</v>
      </c>
    </row>
    <row r="72" spans="1:16" ht="18" customHeight="1">
      <c r="A72" s="292"/>
      <c r="B72" s="293" t="s">
        <v>1484</v>
      </c>
      <c r="C72" s="281">
        <f>VLOOKUP(C71,支腿数据!B30:G70,4,FALSE)</f>
        <v>700</v>
      </c>
      <c r="D72" s="281"/>
      <c r="E72" s="281">
        <f>VLOOKUP(C71,支腿数据!B30:G70,5,FALSE)</f>
        <v>250</v>
      </c>
      <c r="F72" s="281">
        <v>8</v>
      </c>
      <c r="G72" s="288" t="s">
        <v>1550</v>
      </c>
      <c r="H72" s="281">
        <v>2</v>
      </c>
      <c r="I72" s="294">
        <f>C72*F72*E72*IF(G72="Q345",7.85,8)/10^6</f>
        <v>11.2</v>
      </c>
      <c r="J72" s="290">
        <f t="shared" si="20"/>
        <v>22.4</v>
      </c>
      <c r="K72" s="289">
        <f>VLOOKUP(G72,汇总!$J$4:$K$24,2,FALSE)</f>
        <v>17</v>
      </c>
      <c r="L72" s="291">
        <f>K72*J72</f>
        <v>380.79999999999995</v>
      </c>
      <c r="M72" s="281"/>
      <c r="N72" s="169" t="str">
        <f t="shared" ref="N72:N78" si="21">IF(H72=0,"",IF(LEFT(G72,1)="S","不锈钢","碳钢"))</f>
        <v>不锈钢</v>
      </c>
    </row>
    <row r="73" spans="1:16" ht="18" customHeight="1">
      <c r="A73" s="292"/>
      <c r="B73" s="283" t="s">
        <v>1490</v>
      </c>
      <c r="C73" s="284" t="s">
        <v>1928</v>
      </c>
      <c r="D73" s="285"/>
      <c r="E73" s="286"/>
      <c r="F73" s="287"/>
      <c r="G73" s="281" t="s">
        <v>1901</v>
      </c>
      <c r="H73" s="281"/>
      <c r="I73" s="289">
        <f>VLOOKUP(C73,支腿数据!L2:N32,3,FALSE)</f>
        <v>25.4</v>
      </c>
      <c r="J73" s="290">
        <f t="shared" si="20"/>
        <v>0</v>
      </c>
      <c r="K73" s="289">
        <f>VLOOKUP(G73,汇总!$J$4:$K$24,2,FALSE)</f>
        <v>9</v>
      </c>
      <c r="L73" s="291">
        <f t="shared" ref="L73:L78" si="22">K73*J73</f>
        <v>0</v>
      </c>
      <c r="M73" s="281"/>
      <c r="N73" s="169" t="str">
        <f>IF(H73=0,"",IF(LEFT(G73,1)="S","不锈钢","碳钢"))&amp;"板材"</f>
        <v>板材</v>
      </c>
    </row>
    <row r="74" spans="1:16" ht="18" customHeight="1">
      <c r="A74" s="292"/>
      <c r="B74" s="293" t="s">
        <v>1484</v>
      </c>
      <c r="C74" s="281">
        <f>VLOOKUP(C73,支腿数据!L2:P32,4,FALSE)</f>
        <v>300</v>
      </c>
      <c r="D74" s="281"/>
      <c r="E74" s="281">
        <f>VLOOKUP(C73,支腿数据!L2:P32,5,FALSE)</f>
        <v>220</v>
      </c>
      <c r="F74" s="281">
        <v>6</v>
      </c>
      <c r="G74" s="281" t="s">
        <v>1901</v>
      </c>
      <c r="H74" s="281"/>
      <c r="I74" s="294">
        <f>PI()*C74*F74*E74*IF(G74="Q345",7.85,8)/10^6</f>
        <v>9.9525655265724637</v>
      </c>
      <c r="J74" s="290">
        <f t="shared" si="20"/>
        <v>0</v>
      </c>
      <c r="K74" s="289">
        <f>VLOOKUP(G74,汇总!$J$4:$K$24,2,FALSE)</f>
        <v>9</v>
      </c>
      <c r="L74" s="291">
        <f t="shared" si="22"/>
        <v>0</v>
      </c>
      <c r="M74" s="281"/>
      <c r="N74" s="169" t="str">
        <f>IF(H74=0,"",IF(LEFT(G74,1)="S","不锈钢","碳钢"))&amp;"板材"</f>
        <v>板材</v>
      </c>
    </row>
    <row r="75" spans="1:16" ht="18" customHeight="1">
      <c r="A75" s="292"/>
      <c r="B75" s="283" t="s">
        <v>1491</v>
      </c>
      <c r="C75" s="284" t="s">
        <v>1707</v>
      </c>
      <c r="D75" s="285"/>
      <c r="E75" s="286"/>
      <c r="F75" s="287"/>
      <c r="G75" s="281" t="s">
        <v>1550</v>
      </c>
      <c r="H75" s="281"/>
      <c r="I75" s="289">
        <f>VLOOKUP(C75,支腿数据!V9:X24,3,FALSE)</f>
        <v>26.6</v>
      </c>
      <c r="J75" s="290">
        <f t="shared" si="20"/>
        <v>0</v>
      </c>
      <c r="K75" s="289">
        <f>VLOOKUP(G75,汇总!$J$4:$K$24,2,FALSE)</f>
        <v>17</v>
      </c>
      <c r="L75" s="291">
        <f t="shared" si="22"/>
        <v>0</v>
      </c>
      <c r="M75" s="281"/>
      <c r="N75" s="169" t="str">
        <f t="shared" si="21"/>
        <v/>
      </c>
    </row>
    <row r="76" spans="1:16" ht="18" customHeight="1">
      <c r="A76" s="292"/>
      <c r="B76" s="293" t="s">
        <v>1484</v>
      </c>
      <c r="C76" s="281">
        <f>VLOOKUP(C75,支腿数据!V7:Z24,4,FALSE)</f>
        <v>290</v>
      </c>
      <c r="D76" s="281"/>
      <c r="E76" s="281">
        <f>C76</f>
        <v>290</v>
      </c>
      <c r="F76" s="281">
        <f>VLOOKUP(C75,支腿数据!V11:Z24,5,FALSE)</f>
        <v>10</v>
      </c>
      <c r="G76" s="281" t="s">
        <v>1550</v>
      </c>
      <c r="H76" s="281"/>
      <c r="I76" s="294">
        <f>PI()*C76*F76*E76*IF(G76="Q345",7.85,8)/10^6</f>
        <v>21.136635373352124</v>
      </c>
      <c r="J76" s="290">
        <f t="shared" si="20"/>
        <v>0</v>
      </c>
      <c r="K76" s="289">
        <f>VLOOKUP(G76,汇总!$J$4:$K$24,2,FALSE)</f>
        <v>17</v>
      </c>
      <c r="L76" s="291">
        <f t="shared" si="22"/>
        <v>0</v>
      </c>
      <c r="M76" s="281"/>
      <c r="N76" s="169" t="str">
        <f t="shared" si="21"/>
        <v/>
      </c>
    </row>
    <row r="77" spans="1:16" ht="18" customHeight="1">
      <c r="A77" s="295"/>
      <c r="B77" s="296" t="s">
        <v>1877</v>
      </c>
      <c r="C77" s="297" t="s">
        <v>1878</v>
      </c>
      <c r="D77" s="286"/>
      <c r="E77" s="286"/>
      <c r="F77" s="287"/>
      <c r="G77" s="281" t="s">
        <v>1550</v>
      </c>
      <c r="H77" s="281"/>
      <c r="I77" s="294">
        <f>VLOOKUP(C77,支腿数据!$R$7:$T$30,3,FALSE)</f>
        <v>1.7</v>
      </c>
      <c r="J77" s="290">
        <f>I77*H77</f>
        <v>0</v>
      </c>
      <c r="K77" s="289">
        <f>VLOOKUP(G77,汇总!$J$4:$K$24,2,FALSE)</f>
        <v>17</v>
      </c>
      <c r="L77" s="291">
        <f t="shared" si="22"/>
        <v>0</v>
      </c>
      <c r="M77" s="281"/>
      <c r="N77" s="169"/>
    </row>
    <row r="78" spans="1:16" ht="29.25" customHeight="1">
      <c r="A78" s="280">
        <v>2</v>
      </c>
      <c r="B78" s="296" t="s">
        <v>1553</v>
      </c>
      <c r="C78" s="280"/>
      <c r="D78" s="280"/>
      <c r="E78" s="280"/>
      <c r="F78" s="281"/>
      <c r="G78" s="281" t="s">
        <v>1550</v>
      </c>
      <c r="H78" s="281">
        <v>20</v>
      </c>
      <c r="I78" s="281">
        <v>5</v>
      </c>
      <c r="J78" s="290">
        <f t="shared" si="20"/>
        <v>100</v>
      </c>
      <c r="K78" s="289">
        <f>VLOOKUP(G78,汇总!$J$4:$K$24,2,FALSE)</f>
        <v>17</v>
      </c>
      <c r="L78" s="291">
        <f t="shared" si="22"/>
        <v>1700</v>
      </c>
      <c r="M78" s="281"/>
      <c r="N78" s="169" t="str">
        <f t="shared" si="21"/>
        <v>不锈钢</v>
      </c>
      <c r="O78" s="184" t="s">
        <v>1940</v>
      </c>
    </row>
    <row r="79" spans="1:16" ht="18" customHeight="1">
      <c r="A79" s="280">
        <v>3</v>
      </c>
      <c r="B79" s="279" t="s">
        <v>1581</v>
      </c>
      <c r="C79" s="280"/>
      <c r="D79" s="280"/>
      <c r="E79" s="280"/>
      <c r="F79" s="280"/>
      <c r="G79" s="280"/>
      <c r="H79" s="280"/>
      <c r="I79" s="280"/>
      <c r="J79" s="280"/>
      <c r="K79" s="280"/>
      <c r="L79" s="280">
        <v>600</v>
      </c>
      <c r="M79" s="279" t="s">
        <v>1492</v>
      </c>
      <c r="O79" s="184" t="s">
        <v>1934</v>
      </c>
    </row>
    <row r="80" spans="1:16" ht="18" customHeight="1">
      <c r="A80" s="303"/>
      <c r="B80" s="302" t="s">
        <v>1947</v>
      </c>
      <c r="C80" s="303"/>
      <c r="D80" s="303"/>
      <c r="E80" s="303"/>
      <c r="F80" s="303"/>
      <c r="G80" s="303"/>
      <c r="H80" s="303"/>
      <c r="I80" s="303"/>
      <c r="J80" s="174">
        <f>SUM(J71:J78)</f>
        <v>172.4</v>
      </c>
      <c r="K80" s="303"/>
      <c r="L80" s="174">
        <f>SUM(L71:L79)</f>
        <v>3530.8</v>
      </c>
      <c r="M80" s="173"/>
      <c r="O80" s="184"/>
      <c r="P80" s="169"/>
    </row>
    <row r="81" spans="1:16" ht="18" customHeight="1">
      <c r="A81" s="388">
        <v>1</v>
      </c>
      <c r="B81" s="389" t="s">
        <v>1948</v>
      </c>
      <c r="C81" s="389"/>
      <c r="D81" s="389"/>
      <c r="E81" s="389"/>
      <c r="F81" s="389"/>
      <c r="G81" s="389"/>
      <c r="H81" s="389"/>
      <c r="I81" s="390" t="s">
        <v>1494</v>
      </c>
      <c r="J81" s="391">
        <f>J80+D56+J44+J33+J21+J15</f>
        <v>757.22</v>
      </c>
      <c r="K81" s="392" t="s">
        <v>1192</v>
      </c>
      <c r="L81" s="393">
        <f>L80+L68+L56+L44+L33+L21+L15</f>
        <v>28356.560000000001</v>
      </c>
      <c r="M81" s="394"/>
      <c r="P81" s="169"/>
    </row>
    <row r="82" spans="1:16" ht="18" customHeight="1">
      <c r="A82" s="281"/>
      <c r="B82" s="281"/>
      <c r="C82" s="281"/>
      <c r="D82" s="281"/>
      <c r="E82" s="281"/>
      <c r="F82" s="281"/>
      <c r="G82" s="281"/>
      <c r="H82" s="281"/>
      <c r="I82" s="281"/>
      <c r="J82" s="281"/>
      <c r="K82" s="281"/>
      <c r="L82" s="291"/>
      <c r="M82" s="281"/>
      <c r="P82" s="169"/>
    </row>
    <row r="83" spans="1:16" ht="18" customHeight="1">
      <c r="A83" s="388">
        <v>2</v>
      </c>
      <c r="B83" s="389" t="s">
        <v>2006</v>
      </c>
      <c r="C83" s="389"/>
      <c r="D83" s="389"/>
      <c r="E83" s="389"/>
      <c r="F83" s="389"/>
      <c r="G83" s="389"/>
      <c r="H83" s="389"/>
      <c r="I83" s="390"/>
      <c r="J83" s="391">
        <v>8000</v>
      </c>
      <c r="K83" s="392" t="s">
        <v>1196</v>
      </c>
      <c r="L83" s="393">
        <f>J83*J81/1000</f>
        <v>6057.76</v>
      </c>
      <c r="M83" s="394" t="str">
        <f>IF(OR(C9="Q345R",C9="Q235B",C9="Q355B"),"碳钢","不锈钢")</f>
        <v>不锈钢</v>
      </c>
      <c r="P83" s="169"/>
    </row>
    <row r="84" spans="1:16" ht="18" customHeight="1">
      <c r="A84" s="111">
        <v>1</v>
      </c>
      <c r="B84" s="164" t="s">
        <v>1197</v>
      </c>
      <c r="C84" s="164"/>
      <c r="D84" s="164"/>
      <c r="E84" s="164"/>
      <c r="F84" s="164"/>
      <c r="G84" s="164"/>
      <c r="H84" s="164"/>
      <c r="I84" s="164"/>
      <c r="J84" s="321">
        <v>0.02</v>
      </c>
      <c r="K84" s="164"/>
      <c r="L84" s="322">
        <f>ROUNDUP(L81*J84/10,0)*10</f>
        <v>570</v>
      </c>
      <c r="M84" s="164"/>
      <c r="P84" s="169"/>
    </row>
    <row r="85" spans="1:16" ht="18" customHeight="1">
      <c r="A85" s="111">
        <v>2</v>
      </c>
      <c r="B85" s="164" t="s">
        <v>1199</v>
      </c>
      <c r="C85" s="164"/>
      <c r="D85" s="164"/>
      <c r="E85" s="164"/>
      <c r="F85" s="164"/>
      <c r="G85" s="164"/>
      <c r="H85" s="164"/>
      <c r="I85" s="164"/>
      <c r="J85" s="321">
        <v>0.02</v>
      </c>
      <c r="K85" s="164"/>
      <c r="L85" s="165">
        <f>ROUNDUP(J85*L81/10,0)*10</f>
        <v>570</v>
      </c>
      <c r="M85" s="164"/>
      <c r="O85" s="184"/>
      <c r="P85" s="169"/>
    </row>
    <row r="86" spans="1:16" ht="18" customHeight="1">
      <c r="A86" s="111">
        <v>3</v>
      </c>
      <c r="B86" s="176" t="s">
        <v>1198</v>
      </c>
      <c r="C86" s="164"/>
      <c r="D86" s="164"/>
      <c r="E86" s="164"/>
      <c r="F86" s="164"/>
      <c r="G86" s="164"/>
      <c r="H86" s="164"/>
      <c r="I86" s="164"/>
      <c r="J86" s="323" t="s">
        <v>1933</v>
      </c>
      <c r="K86" s="164"/>
      <c r="L86" s="322">
        <f>VLOOKUP(J86,C154:D157,2,FALSE)</f>
        <v>380</v>
      </c>
      <c r="M86" s="324"/>
      <c r="P86" s="169"/>
    </row>
    <row r="87" spans="1:16" ht="18" customHeight="1">
      <c r="A87" s="111">
        <v>4</v>
      </c>
      <c r="B87" s="176" t="s">
        <v>1551</v>
      </c>
      <c r="C87" s="143"/>
      <c r="D87" s="144"/>
      <c r="E87" s="145"/>
      <c r="F87" s="164"/>
      <c r="G87" s="164"/>
      <c r="H87" s="164"/>
      <c r="I87" s="164"/>
      <c r="J87" s="164"/>
      <c r="K87" s="187"/>
      <c r="L87" s="325"/>
      <c r="M87" s="164"/>
    </row>
    <row r="88" spans="1:16" ht="18" customHeight="1">
      <c r="A88" s="111">
        <v>5</v>
      </c>
      <c r="B88" s="176" t="s">
        <v>1952</v>
      </c>
      <c r="C88" s="205"/>
      <c r="D88" s="206"/>
      <c r="E88" s="207"/>
      <c r="F88" s="176"/>
      <c r="G88" s="176"/>
      <c r="H88" s="176"/>
      <c r="I88" s="326">
        <v>20</v>
      </c>
      <c r="J88" s="176" t="s">
        <v>1200</v>
      </c>
      <c r="K88" s="176">
        <v>130</v>
      </c>
      <c r="L88" s="176">
        <f>K88*I88</f>
        <v>2600</v>
      </c>
      <c r="M88" s="164" t="s">
        <v>1903</v>
      </c>
      <c r="O88" s="184" t="s">
        <v>1941</v>
      </c>
    </row>
    <row r="89" spans="1:16" ht="18" customHeight="1">
      <c r="A89" s="111">
        <v>6</v>
      </c>
      <c r="B89" s="176" t="s">
        <v>1951</v>
      </c>
      <c r="C89" s="190"/>
      <c r="D89" s="191"/>
      <c r="E89" s="192"/>
      <c r="F89" s="176"/>
      <c r="G89" s="176"/>
      <c r="H89" s="176"/>
      <c r="I89" s="326">
        <v>20</v>
      </c>
      <c r="J89" s="176" t="s">
        <v>1200</v>
      </c>
      <c r="K89" s="176">
        <v>130</v>
      </c>
      <c r="L89" s="176">
        <f>K89*I89</f>
        <v>2600</v>
      </c>
      <c r="M89" s="164"/>
      <c r="O89" s="184"/>
    </row>
    <row r="90" spans="1:16" ht="18" customHeight="1">
      <c r="A90" s="111">
        <v>7</v>
      </c>
      <c r="B90" s="176" t="s">
        <v>1902</v>
      </c>
      <c r="C90" s="143"/>
      <c r="D90" s="144"/>
      <c r="E90" s="145"/>
      <c r="F90" s="164"/>
      <c r="G90" s="164"/>
      <c r="H90" s="164"/>
      <c r="I90" s="326"/>
      <c r="J90" s="176" t="s">
        <v>1200</v>
      </c>
      <c r="K90" s="176"/>
      <c r="L90" s="176">
        <f>K90*I90</f>
        <v>0</v>
      </c>
      <c r="M90" s="164" t="s">
        <v>1903</v>
      </c>
      <c r="O90" s="184"/>
    </row>
    <row r="91" spans="1:16" ht="18" customHeight="1">
      <c r="A91" s="111">
        <v>8</v>
      </c>
      <c r="B91" s="176" t="s">
        <v>1953</v>
      </c>
      <c r="C91" s="143"/>
      <c r="D91" s="144"/>
      <c r="E91" s="145"/>
      <c r="F91" s="164"/>
      <c r="G91" s="164"/>
      <c r="H91" s="164"/>
      <c r="I91" s="326"/>
      <c r="J91" s="176" t="s">
        <v>1200</v>
      </c>
      <c r="K91" s="176"/>
      <c r="L91" s="176">
        <f>K91*I91</f>
        <v>0</v>
      </c>
      <c r="M91" s="164" t="s">
        <v>1903</v>
      </c>
      <c r="O91" s="184"/>
    </row>
    <row r="92" spans="1:16" ht="18" customHeight="1">
      <c r="A92" s="111">
        <v>9</v>
      </c>
      <c r="B92" s="176" t="s">
        <v>1954</v>
      </c>
      <c r="C92" s="143"/>
      <c r="D92" s="144"/>
      <c r="E92" s="145"/>
      <c r="F92" s="164"/>
      <c r="G92" s="164"/>
      <c r="H92" s="164"/>
      <c r="I92" s="326"/>
      <c r="J92" s="176"/>
      <c r="K92" s="176"/>
      <c r="L92" s="176"/>
      <c r="M92" s="164"/>
      <c r="O92" s="184"/>
    </row>
    <row r="93" spans="1:16" ht="18" customHeight="1">
      <c r="A93" s="111">
        <v>10</v>
      </c>
      <c r="B93" s="176" t="s">
        <v>1955</v>
      </c>
      <c r="C93" s="143"/>
      <c r="D93" s="144"/>
      <c r="E93" s="145"/>
      <c r="F93" s="164"/>
      <c r="G93" s="164"/>
      <c r="H93" s="164"/>
      <c r="I93" s="326"/>
      <c r="J93" s="176"/>
      <c r="K93" s="176"/>
      <c r="L93" s="176"/>
      <c r="M93" s="164"/>
      <c r="O93" s="184"/>
    </row>
    <row r="94" spans="1:16" ht="18" customHeight="1">
      <c r="A94" s="111">
        <v>11</v>
      </c>
      <c r="B94" s="176" t="s">
        <v>1893</v>
      </c>
      <c r="C94" s="143"/>
      <c r="D94" s="144"/>
      <c r="E94" s="145"/>
      <c r="F94" s="164"/>
      <c r="G94" s="164"/>
      <c r="H94" s="164"/>
      <c r="I94" s="164"/>
      <c r="J94" s="164"/>
      <c r="K94" s="187"/>
      <c r="L94" s="325"/>
      <c r="M94" s="164"/>
      <c r="O94" s="184"/>
    </row>
    <row r="95" spans="1:16" ht="18" customHeight="1">
      <c r="A95" s="111">
        <v>11</v>
      </c>
      <c r="B95" s="176" t="s">
        <v>1956</v>
      </c>
      <c r="C95" s="143"/>
      <c r="D95" s="144"/>
      <c r="E95" s="145"/>
      <c r="F95" s="164"/>
      <c r="G95" s="164"/>
      <c r="H95" s="164"/>
      <c r="I95" s="164"/>
      <c r="J95" s="164"/>
      <c r="K95" s="187"/>
      <c r="L95" s="325"/>
      <c r="M95" s="164"/>
      <c r="O95" s="184"/>
    </row>
    <row r="96" spans="1:16" ht="18" customHeight="1">
      <c r="A96" s="388">
        <v>3</v>
      </c>
      <c r="B96" s="389" t="s">
        <v>1949</v>
      </c>
      <c r="C96" s="389"/>
      <c r="D96" s="389"/>
      <c r="E96" s="389"/>
      <c r="F96" s="389"/>
      <c r="G96" s="389"/>
      <c r="H96" s="389"/>
      <c r="I96" s="390"/>
      <c r="J96" s="391"/>
      <c r="K96" s="392"/>
      <c r="L96" s="393">
        <f>SUM(L84:L95)</f>
        <v>6720</v>
      </c>
      <c r="M96" s="394"/>
    </row>
    <row r="97" spans="1:13" ht="18" customHeight="1">
      <c r="A97" s="315"/>
      <c r="B97" s="315"/>
      <c r="C97" s="316"/>
      <c r="D97" s="317"/>
      <c r="E97" s="318"/>
      <c r="F97" s="315"/>
      <c r="G97" s="315"/>
      <c r="H97" s="315"/>
      <c r="I97" s="315"/>
      <c r="J97" s="315"/>
      <c r="K97" s="319"/>
      <c r="L97" s="320"/>
      <c r="M97" s="315"/>
    </row>
    <row r="98" spans="1:13" ht="18" customHeight="1">
      <c r="A98" s="315"/>
      <c r="B98" s="315"/>
      <c r="C98" s="316"/>
      <c r="D98" s="317"/>
      <c r="E98" s="318"/>
      <c r="F98" s="315"/>
      <c r="G98" s="315"/>
      <c r="H98" s="315"/>
      <c r="I98" s="315"/>
      <c r="J98" s="315"/>
      <c r="K98" s="319"/>
      <c r="L98" s="320"/>
      <c r="M98" s="315"/>
    </row>
    <row r="99" spans="1:13" ht="18" customHeight="1">
      <c r="A99" s="388">
        <v>4</v>
      </c>
      <c r="B99" s="389" t="s">
        <v>1950</v>
      </c>
      <c r="C99" s="389"/>
      <c r="D99" s="389"/>
      <c r="E99" s="389"/>
      <c r="F99" s="389"/>
      <c r="G99" s="389"/>
      <c r="H99" s="389"/>
      <c r="I99" s="390"/>
      <c r="J99" s="391"/>
      <c r="K99" s="392"/>
      <c r="L99" s="393">
        <f>SUM(L97:L98)</f>
        <v>0</v>
      </c>
      <c r="M99" s="394"/>
    </row>
    <row r="100" spans="1:13" ht="18" customHeight="1">
      <c r="A100" s="304"/>
      <c r="B100" s="313" t="s">
        <v>1167</v>
      </c>
      <c r="C100" s="305"/>
      <c r="D100" s="305"/>
      <c r="E100" s="305"/>
      <c r="F100" s="305"/>
      <c r="G100" s="305"/>
      <c r="H100" s="305"/>
      <c r="I100" s="305"/>
      <c r="J100" s="313"/>
      <c r="K100" s="310"/>
      <c r="L100" s="309">
        <f>L99+L96+L83+L81</f>
        <v>41134.32</v>
      </c>
      <c r="M100" s="310"/>
    </row>
    <row r="101" spans="1:13" ht="31.5" customHeight="1"/>
    <row r="102" spans="1:13">
      <c r="B102" s="169" t="s">
        <v>1600</v>
      </c>
      <c r="D102" s="169" t="s">
        <v>1601</v>
      </c>
    </row>
    <row r="103" spans="1:13">
      <c r="B103" s="169" t="s">
        <v>1587</v>
      </c>
      <c r="C103" s="169" t="s">
        <v>1594</v>
      </c>
      <c r="D103" s="68">
        <v>4</v>
      </c>
      <c r="E103" s="169" t="s">
        <v>1614</v>
      </c>
      <c r="F103" s="194" t="s">
        <v>1620</v>
      </c>
      <c r="G103" s="194"/>
      <c r="H103" s="169" t="s">
        <v>1640</v>
      </c>
      <c r="I103" s="169" t="s">
        <v>1643</v>
      </c>
    </row>
    <row r="104" spans="1:13">
      <c r="B104" s="68" t="s">
        <v>1588</v>
      </c>
      <c r="C104" s="169" t="s">
        <v>1562</v>
      </c>
      <c r="D104" s="68">
        <v>0.6</v>
      </c>
      <c r="E104" s="169" t="s">
        <v>1615</v>
      </c>
      <c r="F104" s="194" t="s">
        <v>1621</v>
      </c>
      <c r="G104" s="194"/>
      <c r="H104" s="169" t="s">
        <v>1641</v>
      </c>
      <c r="I104" s="169" t="s">
        <v>1644</v>
      </c>
    </row>
    <row r="105" spans="1:13">
      <c r="B105" s="68" t="s">
        <v>1589</v>
      </c>
      <c r="C105" s="169" t="s">
        <v>1595</v>
      </c>
      <c r="D105" s="175">
        <v>1</v>
      </c>
      <c r="E105" s="169" t="s">
        <v>1616</v>
      </c>
      <c r="F105" s="194" t="s">
        <v>1257</v>
      </c>
      <c r="G105" s="194"/>
      <c r="H105" s="169" t="s">
        <v>1642</v>
      </c>
      <c r="I105" s="169" t="s">
        <v>1645</v>
      </c>
    </row>
    <row r="106" spans="1:13">
      <c r="B106" s="68" t="s">
        <v>1590</v>
      </c>
      <c r="C106" s="169" t="s">
        <v>1596</v>
      </c>
      <c r="D106" s="68">
        <v>1.6</v>
      </c>
      <c r="E106" s="169" t="s">
        <v>1617</v>
      </c>
      <c r="F106" s="194" t="s">
        <v>1622</v>
      </c>
      <c r="G106" s="194"/>
      <c r="H106" s="169" t="s">
        <v>1602</v>
      </c>
      <c r="I106" s="169" t="s">
        <v>1646</v>
      </c>
    </row>
    <row r="107" spans="1:13">
      <c r="B107" s="68" t="s">
        <v>1591</v>
      </c>
      <c r="C107" s="169" t="s">
        <v>1597</v>
      </c>
      <c r="D107" s="68">
        <v>2.5</v>
      </c>
      <c r="E107" s="169" t="s">
        <v>1619</v>
      </c>
      <c r="F107" s="194" t="s">
        <v>1623</v>
      </c>
      <c r="G107" s="194"/>
      <c r="I107" s="169" t="s">
        <v>1647</v>
      </c>
      <c r="K107" s="109"/>
    </row>
    <row r="108" spans="1:13">
      <c r="B108" s="68" t="s">
        <v>1592</v>
      </c>
      <c r="C108" s="169" t="s">
        <v>1598</v>
      </c>
      <c r="D108" s="68">
        <v>6.3</v>
      </c>
      <c r="E108" s="169" t="s">
        <v>1614</v>
      </c>
      <c r="F108" s="194" t="s">
        <v>1624</v>
      </c>
      <c r="G108" s="194"/>
    </row>
    <row r="109" spans="1:13">
      <c r="B109" s="169" t="s">
        <v>1593</v>
      </c>
      <c r="C109" s="169" t="s">
        <v>1599</v>
      </c>
      <c r="D109" s="169"/>
    </row>
    <row r="111" spans="1:13">
      <c r="B111" s="195" t="s">
        <v>35</v>
      </c>
      <c r="C111" s="196"/>
      <c r="D111" s="10" t="s">
        <v>35</v>
      </c>
      <c r="E111" s="10" t="s">
        <v>1205</v>
      </c>
      <c r="F111" s="20" t="s">
        <v>1608</v>
      </c>
      <c r="G111" s="10" t="s">
        <v>1609</v>
      </c>
      <c r="H111" s="26" t="s">
        <v>55</v>
      </c>
      <c r="I111" s="171" t="s">
        <v>15</v>
      </c>
      <c r="J111" s="108" t="s">
        <v>16</v>
      </c>
      <c r="K111" s="10" t="s">
        <v>1611</v>
      </c>
      <c r="L111" s="10" t="s">
        <v>1612</v>
      </c>
    </row>
    <row r="112" spans="1:13">
      <c r="B112" s="27">
        <v>47021</v>
      </c>
      <c r="C112" s="27" t="s">
        <v>1605</v>
      </c>
      <c r="D112" s="27" t="str">
        <f>IF(D18="","",VLOOKUP(D18,$B$112:$C$115,2,FALSE))</f>
        <v>JB/T4703</v>
      </c>
      <c r="E112" s="23">
        <f>B18</f>
        <v>600</v>
      </c>
      <c r="F112" s="12">
        <f>F18</f>
        <v>2.5</v>
      </c>
      <c r="G112" s="27" t="s">
        <v>1603</v>
      </c>
      <c r="H112" s="14">
        <f>IF(D112="","",flangwt(D112,E112,F112,G112))</f>
        <v>71.599999999999994</v>
      </c>
      <c r="I112" s="108">
        <f>IF(D112="","",_xlfn.IFS(D112="JB/T4701",jbt4701cs("D",F112,E112),D112="JB/T4702",jbt4702cs("D",F112,E112),D112="JB/T4703",jbt4703cs("D",F112,E112),D112="其他",jbt4702cs("D",F112,E112)))</f>
        <v>760</v>
      </c>
      <c r="J112" s="108">
        <f>IF(D112="","",_xlfn.IFS(D112="JB/T4701",jbt4701cs("T",F112,E112),D112="JB/T4702",jbt4702cs("T",F112,E112),D112="JB/T4703",jbt4703cs("T",F112,E112),D112="其他",jbt4702cs("T",F112,E112)))</f>
        <v>42</v>
      </c>
      <c r="K112" s="1">
        <f>IF(D112="","",_xlfn.IFS(D112="JB/T4701",jbt4701cs("n",F112,E112),D112="JB/T4702",jbt4702cs("n",F112,E112),D112="JB/T4703",jbt4703cs("n",F112,E112),D112="其他",jbt4702cs("n",F112,E112)))</f>
        <v>24</v>
      </c>
      <c r="L112" s="1">
        <f>IF(D112="","",_xlfn.IFS(D112="JB/T4701",jbt4701cs("M",F112,E112),D112="JB/T4702",jbt4702cs("M",F112,E112),D112="JB/T4703",jbt4703cs("M",F112,E112),D112="其他",jbt4702cs("n",F112,E112)))</f>
        <v>24</v>
      </c>
    </row>
    <row r="113" spans="2:12">
      <c r="B113" s="27">
        <v>47022</v>
      </c>
      <c r="C113" s="27" t="s">
        <v>1606</v>
      </c>
      <c r="D113" s="27" t="str">
        <f>IF(D19="","",VLOOKUP(D19,$B$112:$C$115,2,FALSE))</f>
        <v/>
      </c>
      <c r="E113" s="23" t="str">
        <f>B19</f>
        <v/>
      </c>
      <c r="F113" s="12">
        <f>F19</f>
        <v>0</v>
      </c>
      <c r="G113" s="27" t="s">
        <v>1603</v>
      </c>
      <c r="H113" s="14" t="str">
        <f>IF(D113="","",flangwt(D113,E113,F113,G113))</f>
        <v/>
      </c>
      <c r="I113" s="108" t="str">
        <f>IF(D113="","",_xlfn.IFS(D113="JB/T4701",jbt4701cs("D",F113,E113),D113="JB/T4702",jbt4702cs("D",F113,E113),D113="JB/T4703",jbt4703cs("D",F113,E113),D113="其他",jbt4702cs("D",F113,E113)))</f>
        <v/>
      </c>
      <c r="J113" s="108" t="str">
        <f>IF(D113="","",_xlfn.IFS(D113="JB/T4701",jbt4701cs("T",F113,E113),D113="JB/T4702",jbt4702cs("T",F113,E113),D113="JB/T4703",jbt4703cs("T",F113,E113),D113="其他",jbt4702cs("T",F113,E113)))</f>
        <v/>
      </c>
      <c r="K113" s="1"/>
      <c r="L113" s="1"/>
    </row>
    <row r="114" spans="2:12">
      <c r="B114" s="27">
        <v>47023</v>
      </c>
      <c r="C114" s="27" t="s">
        <v>1607</v>
      </c>
      <c r="D114" s="27" t="str">
        <f>IF(D20="","",VLOOKUP(D20,$B$112:$C$115,2,FALSE))</f>
        <v/>
      </c>
      <c r="E114" s="23">
        <f>B20</f>
        <v>0</v>
      </c>
      <c r="F114" s="12">
        <f>F20</f>
        <v>0</v>
      </c>
      <c r="G114" s="27" t="s">
        <v>1603</v>
      </c>
      <c r="H114" s="14" t="str">
        <f>IF(D114="","",flangwt(D114,E114,F114,G114))</f>
        <v/>
      </c>
      <c r="I114" s="108" t="str">
        <f>IF(D114="","",_xlfn.IFS(D114="JB/T4701",jbt4701cs("D",F114,E114),D114="JB/T4702",jbt4702cs("D",F114,E114),D114="JB/T4703",jbt4703cs("D",F114,E114),D114="其他",jbt4702cs("D",F114,E114)))</f>
        <v/>
      </c>
      <c r="J114" s="108" t="str">
        <f>IF(D114="","",_xlfn.IFS(D114="JB/T4701",jbt4701cs("T",F114,E114),D114="JB/T4702",jbt4702cs("T",F114,E114),D114="JB/T4703",jbt4703cs("T",F114,E114),D114="其他",jbt4702cs("T",F114,E114)))</f>
        <v/>
      </c>
      <c r="K114" s="1"/>
      <c r="L114" s="1"/>
    </row>
    <row r="115" spans="2:12">
      <c r="B115" s="27" t="s">
        <v>1602</v>
      </c>
      <c r="C115" s="27" t="s">
        <v>1606</v>
      </c>
    </row>
    <row r="116" spans="2:12">
      <c r="B116" s="27"/>
      <c r="C116" s="27"/>
      <c r="G116" s="169" t="s">
        <v>1610</v>
      </c>
      <c r="J116" s="169" t="s">
        <v>1575</v>
      </c>
    </row>
    <row r="118" spans="2:12">
      <c r="B118" s="163" t="s">
        <v>1529</v>
      </c>
      <c r="C118" s="104">
        <v>2</v>
      </c>
      <c r="E118" s="115" t="s">
        <v>1201</v>
      </c>
      <c r="F118" s="197" t="s">
        <v>1202</v>
      </c>
      <c r="G118" s="198"/>
      <c r="H118" s="199"/>
      <c r="J118" s="68" t="s">
        <v>1552</v>
      </c>
      <c r="K118" s="68">
        <v>28</v>
      </c>
    </row>
    <row r="119" spans="2:12">
      <c r="B119" s="163" t="s">
        <v>1530</v>
      </c>
      <c r="C119" s="104">
        <v>5</v>
      </c>
      <c r="E119" s="115" t="s">
        <v>1203</v>
      </c>
      <c r="F119" s="197" t="s">
        <v>1204</v>
      </c>
      <c r="G119" s="198"/>
      <c r="H119" s="199"/>
      <c r="J119" s="68" t="s">
        <v>1576</v>
      </c>
      <c r="K119" s="68">
        <v>19</v>
      </c>
    </row>
    <row r="120" spans="2:12">
      <c r="B120" s="163" t="s">
        <v>1531</v>
      </c>
      <c r="C120" s="104">
        <v>11</v>
      </c>
      <c r="E120" s="115" t="s">
        <v>1205</v>
      </c>
      <c r="F120" s="1" t="s">
        <v>142</v>
      </c>
      <c r="G120" s="1"/>
      <c r="H120" s="1" t="s">
        <v>143</v>
      </c>
      <c r="J120" s="169" t="s">
        <v>1627</v>
      </c>
      <c r="K120" s="68">
        <v>75</v>
      </c>
    </row>
    <row r="121" spans="2:12">
      <c r="B121" s="163" t="s">
        <v>1532</v>
      </c>
      <c r="C121" s="104">
        <v>15</v>
      </c>
      <c r="E121" s="115">
        <v>10</v>
      </c>
      <c r="F121" s="1">
        <v>17.2</v>
      </c>
      <c r="G121" s="1"/>
      <c r="H121" s="1">
        <v>14</v>
      </c>
      <c r="J121" s="169" t="s">
        <v>1628</v>
      </c>
      <c r="K121" s="68">
        <v>45</v>
      </c>
    </row>
    <row r="122" spans="2:12">
      <c r="B122" s="163" t="s">
        <v>1539</v>
      </c>
      <c r="C122" s="104">
        <v>0.25</v>
      </c>
      <c r="E122" s="115">
        <v>15</v>
      </c>
      <c r="F122" s="1">
        <v>21.3</v>
      </c>
      <c r="G122" s="1"/>
      <c r="H122" s="1">
        <v>18</v>
      </c>
      <c r="J122" s="169" t="s">
        <v>1904</v>
      </c>
      <c r="K122" s="68">
        <v>33</v>
      </c>
    </row>
    <row r="123" spans="2:12">
      <c r="B123" s="163" t="s">
        <v>1533</v>
      </c>
      <c r="C123" s="104">
        <v>0.6</v>
      </c>
      <c r="E123" s="115">
        <v>20</v>
      </c>
      <c r="F123" s="1">
        <v>26.9</v>
      </c>
      <c r="G123" s="1"/>
      <c r="H123" s="1">
        <v>25</v>
      </c>
      <c r="J123" s="169" t="s">
        <v>1905</v>
      </c>
      <c r="K123" s="68">
        <v>50</v>
      </c>
    </row>
    <row r="124" spans="2:12">
      <c r="B124" s="163" t="s">
        <v>1534</v>
      </c>
      <c r="C124" s="104">
        <v>1</v>
      </c>
      <c r="E124" s="115">
        <v>25</v>
      </c>
      <c r="F124" s="1">
        <v>33.700000000000003</v>
      </c>
      <c r="G124" s="1"/>
      <c r="H124" s="1">
        <v>32</v>
      </c>
      <c r="J124" s="169" t="s">
        <v>1906</v>
      </c>
      <c r="K124" s="68">
        <v>48</v>
      </c>
    </row>
    <row r="125" spans="2:12">
      <c r="B125" s="163" t="s">
        <v>1535</v>
      </c>
      <c r="C125" s="104">
        <v>1.6</v>
      </c>
      <c r="E125" s="115">
        <v>32</v>
      </c>
      <c r="F125" s="1">
        <v>42.4</v>
      </c>
      <c r="G125" s="1"/>
      <c r="H125" s="1">
        <v>38</v>
      </c>
      <c r="J125" s="169" t="s">
        <v>1909</v>
      </c>
      <c r="K125" s="68">
        <v>45</v>
      </c>
    </row>
    <row r="126" spans="2:12">
      <c r="B126" s="163" t="s">
        <v>1536</v>
      </c>
      <c r="C126" s="104">
        <v>2.5</v>
      </c>
      <c r="E126" s="115">
        <v>40</v>
      </c>
      <c r="F126" s="1">
        <v>48.3</v>
      </c>
      <c r="G126" s="1"/>
      <c r="H126" s="1">
        <v>45</v>
      </c>
      <c r="J126" s="169" t="s">
        <v>1910</v>
      </c>
      <c r="K126" s="68">
        <v>34</v>
      </c>
    </row>
    <row r="127" spans="2:12">
      <c r="B127" s="163" t="s">
        <v>1537</v>
      </c>
      <c r="C127" s="104">
        <v>4</v>
      </c>
      <c r="E127" s="115">
        <v>50</v>
      </c>
      <c r="F127" s="1">
        <v>60.3</v>
      </c>
      <c r="G127" s="1"/>
      <c r="H127" s="1">
        <v>57</v>
      </c>
      <c r="J127" s="169" t="s">
        <v>1625</v>
      </c>
      <c r="K127" s="68">
        <v>800</v>
      </c>
    </row>
    <row r="128" spans="2:12">
      <c r="B128" s="163" t="s">
        <v>1538</v>
      </c>
      <c r="C128" s="104">
        <v>6.3</v>
      </c>
      <c r="E128" s="115">
        <v>65</v>
      </c>
      <c r="F128" s="1">
        <v>76.099999999999994</v>
      </c>
      <c r="G128" s="1"/>
      <c r="H128" s="1">
        <v>76</v>
      </c>
      <c r="J128" s="169" t="s">
        <v>1626</v>
      </c>
      <c r="K128" s="68">
        <v>1100</v>
      </c>
    </row>
    <row r="129" spans="2:13">
      <c r="E129" s="115">
        <v>80</v>
      </c>
      <c r="F129" s="1">
        <v>88.9</v>
      </c>
      <c r="G129" s="1"/>
      <c r="H129" s="1">
        <v>89</v>
      </c>
      <c r="J129" s="68" t="s">
        <v>1580</v>
      </c>
      <c r="K129" s="68">
        <v>800</v>
      </c>
    </row>
    <row r="130" spans="2:13">
      <c r="E130" s="115">
        <v>100</v>
      </c>
      <c r="F130" s="1">
        <v>114.3</v>
      </c>
      <c r="G130" s="1"/>
      <c r="H130" s="1">
        <v>108</v>
      </c>
      <c r="J130" s="169" t="s">
        <v>1629</v>
      </c>
      <c r="K130" s="68">
        <v>30</v>
      </c>
    </row>
    <row r="131" spans="2:13">
      <c r="E131" s="115">
        <v>125</v>
      </c>
      <c r="F131" s="1">
        <v>139.69999999999999</v>
      </c>
      <c r="G131" s="1"/>
      <c r="H131" s="1">
        <v>133</v>
      </c>
      <c r="J131" s="169" t="s">
        <v>1907</v>
      </c>
      <c r="K131" s="68">
        <v>33</v>
      </c>
    </row>
    <row r="132" spans="2:13">
      <c r="E132" s="115">
        <v>150</v>
      </c>
      <c r="F132" s="1">
        <v>168.3</v>
      </c>
      <c r="G132" s="1"/>
      <c r="H132" s="1">
        <v>159</v>
      </c>
      <c r="J132" s="169" t="s">
        <v>1908</v>
      </c>
      <c r="K132" s="68">
        <v>26</v>
      </c>
    </row>
    <row r="133" spans="2:13">
      <c r="E133" s="115">
        <v>200</v>
      </c>
      <c r="F133" s="1">
        <v>219.1</v>
      </c>
      <c r="G133" s="1"/>
      <c r="H133" s="1">
        <v>219</v>
      </c>
      <c r="J133" s="169" t="s">
        <v>1911</v>
      </c>
      <c r="K133" s="68">
        <v>86</v>
      </c>
    </row>
    <row r="134" spans="2:13">
      <c r="E134" s="115">
        <v>250</v>
      </c>
      <c r="F134" s="116">
        <v>273</v>
      </c>
      <c r="G134" s="116"/>
      <c r="H134" s="116">
        <v>273</v>
      </c>
      <c r="J134" s="169" t="s">
        <v>1912</v>
      </c>
      <c r="K134" s="68">
        <v>75</v>
      </c>
    </row>
    <row r="135" spans="2:13">
      <c r="E135" s="115">
        <v>300</v>
      </c>
      <c r="F135" s="1">
        <v>323.89999999999998</v>
      </c>
      <c r="G135" s="1"/>
      <c r="H135" s="1">
        <v>325</v>
      </c>
      <c r="J135" s="169" t="s">
        <v>1602</v>
      </c>
      <c r="K135" s="68">
        <v>800</v>
      </c>
    </row>
    <row r="136" spans="2:13">
      <c r="E136" s="115">
        <v>350</v>
      </c>
      <c r="F136" s="1">
        <v>355.6</v>
      </c>
      <c r="G136" s="1"/>
      <c r="H136" s="1">
        <v>377</v>
      </c>
    </row>
    <row r="137" spans="2:13">
      <c r="E137" s="115">
        <v>400</v>
      </c>
      <c r="F137" s="1">
        <v>406.4</v>
      </c>
      <c r="G137" s="1"/>
      <c r="H137" s="1">
        <v>426</v>
      </c>
    </row>
    <row r="138" spans="2:13">
      <c r="E138" s="115">
        <v>450</v>
      </c>
      <c r="F138" s="1">
        <v>457</v>
      </c>
      <c r="G138" s="1"/>
      <c r="H138" s="1">
        <v>480</v>
      </c>
    </row>
    <row r="139" spans="2:13">
      <c r="E139" s="115">
        <v>500</v>
      </c>
      <c r="F139" s="1">
        <v>508</v>
      </c>
      <c r="G139" s="1"/>
      <c r="H139" s="1">
        <v>530</v>
      </c>
    </row>
    <row r="140" spans="2:13">
      <c r="E140" s="115">
        <v>600</v>
      </c>
      <c r="F140" s="1">
        <v>610</v>
      </c>
      <c r="G140" s="1"/>
      <c r="H140" s="1">
        <v>630</v>
      </c>
    </row>
    <row r="142" spans="2:13">
      <c r="B142" s="106" t="s">
        <v>1206</v>
      </c>
      <c r="C142" s="106"/>
      <c r="D142" s="106"/>
      <c r="E142" s="106"/>
      <c r="F142" s="106"/>
      <c r="G142" s="28"/>
      <c r="H142" s="28"/>
      <c r="I142" s="28"/>
      <c r="L142" s="28"/>
      <c r="M142" s="28"/>
    </row>
    <row r="143" spans="2:13">
      <c r="B143" s="193">
        <v>20592</v>
      </c>
      <c r="C143" s="193"/>
      <c r="D143" s="106" t="s">
        <v>116</v>
      </c>
      <c r="E143" s="106" t="s">
        <v>115</v>
      </c>
      <c r="F143" s="106" t="s">
        <v>1190</v>
      </c>
      <c r="G143" s="28"/>
      <c r="H143" s="193">
        <v>20615</v>
      </c>
      <c r="I143" s="193"/>
      <c r="L143" s="106" t="s">
        <v>1190</v>
      </c>
    </row>
    <row r="144" spans="2:13">
      <c r="B144" s="106">
        <f>B24</f>
        <v>250</v>
      </c>
      <c r="C144" s="106" t="str">
        <f>MID(F24,3,3)</f>
        <v>150</v>
      </c>
      <c r="D144" s="28" t="e">
        <f t="array" ref="D144">VLOOKUP(C144&amp;B144,IF({1,0},LSPN1&amp;LSDN1,LSSL1),2,0)</f>
        <v>#N/A</v>
      </c>
      <c r="E144" s="28" t="e">
        <f t="array" ref="E144">VLOOKUP(C144&amp;B144,IF({1,0},LSPN1&amp;LSDN1,LSGG),2,0)</f>
        <v>#N/A</v>
      </c>
      <c r="F144" s="28" t="e">
        <f t="array" ref="F144">VLOOKUP(C144&amp;B144,IF({1,0},LSPN1&amp;LSDN1,LSCD),2,0)</f>
        <v>#N/A</v>
      </c>
      <c r="G144" s="28"/>
      <c r="H144" s="106">
        <f>B24</f>
        <v>250</v>
      </c>
      <c r="I144" s="106" t="str">
        <f>MID(F24,3,3)</f>
        <v>150</v>
      </c>
      <c r="L144" s="28">
        <f t="array" ref="L144">VLOOKUP(I144&amp;H144,IF({1,0},BLPN1&amp;BLDN1,LSCD1),2,0)</f>
        <v>130</v>
      </c>
    </row>
    <row r="145" spans="2:12">
      <c r="B145" s="106">
        <f t="shared" ref="B145:B152" si="23">B25</f>
        <v>50</v>
      </c>
      <c r="C145" s="106" t="str">
        <f t="shared" ref="C145:C152" si="24">MID(F25,3,3)</f>
        <v>150</v>
      </c>
      <c r="D145" s="28" t="e">
        <f t="array" ref="D145">VLOOKUP(C145&amp;B145,IF({1,0},LSPN1&amp;LSDN1,LSSL1),2,0)</f>
        <v>#N/A</v>
      </c>
      <c r="E145" s="28" t="e">
        <f t="array" ref="E145">VLOOKUP(C145&amp;B145,IF({1,0},LSPN1&amp;LSDN1,LSGG),2,0)</f>
        <v>#N/A</v>
      </c>
      <c r="F145" s="28" t="e">
        <f t="array" ref="F145">VLOOKUP(C145&amp;B145,IF({1,0},LSPN1&amp;LSDN1,LSCD),2,0)</f>
        <v>#N/A</v>
      </c>
      <c r="G145" s="28"/>
      <c r="H145" s="106">
        <f t="shared" ref="H145:H152" si="25">B25</f>
        <v>50</v>
      </c>
      <c r="I145" s="106" t="str">
        <f t="shared" ref="I145:I152" si="26">MID(F25,3,3)</f>
        <v>150</v>
      </c>
      <c r="L145" s="28">
        <f t="array" ref="L145">VLOOKUP(I145&amp;H145,IF({1,0},BLPN1&amp;BLDN1,LSCD1),2,0)</f>
        <v>85</v>
      </c>
    </row>
    <row r="146" spans="2:12">
      <c r="B146" s="106">
        <f t="shared" si="23"/>
        <v>25</v>
      </c>
      <c r="C146" s="106" t="str">
        <f t="shared" si="24"/>
        <v>150</v>
      </c>
      <c r="D146" s="28" t="e">
        <f t="array" ref="D146">VLOOKUP(C146&amp;B146,IF({1,0},LSPN1&amp;LSDN1,LSSL1),2,0)</f>
        <v>#N/A</v>
      </c>
      <c r="E146" s="28" t="e">
        <f t="array" ref="E146">VLOOKUP(C146&amp;B146,IF({1,0},LSPN1&amp;LSDN1,LSGG),2,0)</f>
        <v>#N/A</v>
      </c>
      <c r="F146" s="28" t="e">
        <f t="array" ref="F146">VLOOKUP(C146&amp;B146,IF({1,0},LSPN1&amp;LSDN1,LSCD),2,0)</f>
        <v>#N/A</v>
      </c>
      <c r="G146" s="28"/>
      <c r="H146" s="106">
        <f t="shared" si="25"/>
        <v>25</v>
      </c>
      <c r="I146" s="106" t="str">
        <f t="shared" si="26"/>
        <v>150</v>
      </c>
      <c r="L146" s="28">
        <f t="array" ref="L146">VLOOKUP(I146&amp;H146,IF({1,0},BLPN1&amp;BLDN1,LSCD1),2,0)</f>
        <v>70</v>
      </c>
    </row>
    <row r="147" spans="2:12">
      <c r="B147" s="106">
        <f t="shared" si="23"/>
        <v>0</v>
      </c>
      <c r="C147" s="106" t="str">
        <f t="shared" si="24"/>
        <v>150</v>
      </c>
      <c r="D147" s="28" t="e">
        <f t="array" ref="D147">VLOOKUP(C147&amp;B147,IF({1,0},LSPN1&amp;LSDN1,LSSL1),2,0)</f>
        <v>#N/A</v>
      </c>
      <c r="E147" s="28" t="e">
        <f t="array" ref="E147">VLOOKUP(C147&amp;B147,IF({1,0},LSPN1&amp;LSDN1,LSGG),2,0)</f>
        <v>#N/A</v>
      </c>
      <c r="F147" s="28" t="e">
        <f t="array" ref="F147">VLOOKUP(C147&amp;B147,IF({1,0},LSPN1&amp;LSDN1,LSCD),2,0)</f>
        <v>#N/A</v>
      </c>
      <c r="G147" s="28"/>
      <c r="H147" s="106">
        <f t="shared" si="25"/>
        <v>0</v>
      </c>
      <c r="I147" s="106" t="str">
        <f t="shared" si="26"/>
        <v>150</v>
      </c>
      <c r="L147" s="28" t="e">
        <f t="array" ref="L147">VLOOKUP(I147&amp;H147,IF({1,0},BLPN1&amp;BLDN1,LSCD1),2,0)</f>
        <v>#N/A</v>
      </c>
    </row>
    <row r="148" spans="2:12">
      <c r="B148" s="106">
        <f t="shared" si="23"/>
        <v>0</v>
      </c>
      <c r="C148" s="106" t="str">
        <f t="shared" si="24"/>
        <v>600</v>
      </c>
      <c r="D148" s="28" t="e">
        <f t="array" ref="D148">VLOOKUP(C148&amp;B148,IF({1,0},LSPN1&amp;LSDN1,LSSL1),2,0)</f>
        <v>#N/A</v>
      </c>
      <c r="E148" s="28" t="e">
        <f t="array" ref="E148">VLOOKUP(C148&amp;B148,IF({1,0},LSPN1&amp;LSDN1,LSGG),2,0)</f>
        <v>#N/A</v>
      </c>
      <c r="F148" s="28" t="e">
        <f t="array" ref="F148">VLOOKUP(C148&amp;B148,IF({1,0},LSPN1&amp;LSDN1,LSCD),2,0)</f>
        <v>#N/A</v>
      </c>
      <c r="G148" s="28"/>
      <c r="H148" s="106">
        <f t="shared" si="25"/>
        <v>0</v>
      </c>
      <c r="I148" s="106" t="str">
        <f t="shared" si="26"/>
        <v>600</v>
      </c>
      <c r="L148" s="28" t="e">
        <f t="array" ref="L148">VLOOKUP(I148&amp;H148,IF({1,0},BLPN1&amp;BLDN1,LSCD1),2,0)</f>
        <v>#N/A</v>
      </c>
    </row>
    <row r="149" spans="2:12">
      <c r="B149" s="106">
        <f t="shared" si="23"/>
        <v>0</v>
      </c>
      <c r="C149" s="106" t="str">
        <f t="shared" si="24"/>
        <v>150</v>
      </c>
      <c r="D149" s="28" t="e">
        <f t="array" ref="D149">VLOOKUP(C149&amp;B149,IF({1,0},LSPN1&amp;LSDN1,LSSL1),2,0)</f>
        <v>#N/A</v>
      </c>
      <c r="E149" s="28" t="e">
        <f t="array" ref="E149">VLOOKUP(C149&amp;B149,IF({1,0},LSPN1&amp;LSDN1,LSGG),2,0)</f>
        <v>#N/A</v>
      </c>
      <c r="F149" s="28" t="e">
        <f t="array" ref="F149">VLOOKUP(C149&amp;B149,IF({1,0},LSPN1&amp;LSDN1,LSCD),2,0)</f>
        <v>#N/A</v>
      </c>
      <c r="G149" s="28"/>
      <c r="H149" s="106">
        <f t="shared" si="25"/>
        <v>0</v>
      </c>
      <c r="I149" s="106" t="str">
        <f t="shared" si="26"/>
        <v>150</v>
      </c>
      <c r="J149" s="28"/>
      <c r="K149" s="28"/>
      <c r="L149" s="28" t="e">
        <f t="array" ref="L149">VLOOKUP(I149&amp;H149,IF({1,0},BLPN1&amp;BLDN1,LSCD1),2,0)</f>
        <v>#N/A</v>
      </c>
    </row>
    <row r="150" spans="2:12">
      <c r="B150" s="106">
        <f t="shared" si="23"/>
        <v>0</v>
      </c>
      <c r="C150" s="106" t="str">
        <f t="shared" si="24"/>
        <v>150</v>
      </c>
      <c r="D150" s="28" t="e">
        <f t="array" ref="D150">VLOOKUP(C150&amp;B150,IF({1,0},LSPN1&amp;LSDN1,LSSL1),2,0)</f>
        <v>#N/A</v>
      </c>
      <c r="E150" s="28" t="e">
        <f t="array" ref="E150">VLOOKUP(C150&amp;B150,IF({1,0},LSPN1&amp;LSDN1,LSGG),2,0)</f>
        <v>#N/A</v>
      </c>
      <c r="F150" s="28" t="e">
        <f t="array" ref="F150">VLOOKUP(C150&amp;B150,IF({1,0},LSPN1&amp;LSDN1,LSCD),2,0)</f>
        <v>#N/A</v>
      </c>
      <c r="G150" s="28"/>
      <c r="H150" s="106">
        <f t="shared" si="25"/>
        <v>0</v>
      </c>
      <c r="I150" s="106" t="str">
        <f t="shared" si="26"/>
        <v>150</v>
      </c>
      <c r="J150" s="106" t="s">
        <v>116</v>
      </c>
      <c r="K150" s="106" t="s">
        <v>115</v>
      </c>
      <c r="L150" s="28" t="e">
        <f t="array" ref="L150">VLOOKUP(I150&amp;H150,IF({1,0},BLPN1&amp;BLDN1,LSCD1),2,0)</f>
        <v>#N/A</v>
      </c>
    </row>
    <row r="151" spans="2:12">
      <c r="B151" s="106">
        <f t="shared" si="23"/>
        <v>0</v>
      </c>
      <c r="C151" s="106" t="str">
        <f t="shared" si="24"/>
        <v/>
      </c>
      <c r="D151" s="28" t="e">
        <f t="array" ref="D151">VLOOKUP(C151&amp;B151,IF({1,0},LSPN1&amp;LSDN1,LSSL1),2,0)</f>
        <v>#N/A</v>
      </c>
      <c r="E151" s="28" t="e">
        <f t="array" ref="E151">VLOOKUP(C151&amp;B151,IF({1,0},LSPN1&amp;LSDN1,LSGG),2,0)</f>
        <v>#N/A</v>
      </c>
      <c r="F151" s="28" t="e">
        <f t="array" ref="F151">VLOOKUP(C151&amp;B151,IF({1,0},LSPN1&amp;LSDN1,LSCD),2,0)</f>
        <v>#N/A</v>
      </c>
      <c r="G151" s="28"/>
      <c r="H151" s="106">
        <f t="shared" si="25"/>
        <v>0</v>
      </c>
      <c r="I151" s="106" t="str">
        <f t="shared" si="26"/>
        <v/>
      </c>
      <c r="J151" s="28">
        <f t="array" ref="J151">VLOOKUP(I144&amp;H144,IF({1,0},BLPN1&amp;BLDN1,_LSK1),2,0)</f>
        <v>12</v>
      </c>
      <c r="K151" s="28" t="str">
        <f t="array" ref="K151">VLOOKUP(I144&amp;H144,IF({1,0},BLPN1&amp;BLDN1,LSGG1),2,0)</f>
        <v>M24</v>
      </c>
      <c r="L151" s="28" t="e">
        <f t="array" ref="L151">VLOOKUP(I151&amp;H151,IF({1,0},BLPN1&amp;BLDN1,LSCD1),2,0)</f>
        <v>#N/A</v>
      </c>
    </row>
    <row r="152" spans="2:12">
      <c r="B152" s="106">
        <f t="shared" si="23"/>
        <v>0</v>
      </c>
      <c r="C152" s="106" t="str">
        <f t="shared" si="24"/>
        <v/>
      </c>
      <c r="D152" s="28" t="e">
        <f t="array" ref="D152">VLOOKUP(C152&amp;B152,IF({1,0},LSPN1&amp;LSDN1,LSSL1),2,0)</f>
        <v>#N/A</v>
      </c>
      <c r="E152" s="28" t="e">
        <f t="array" ref="E152">VLOOKUP(C152&amp;B152,IF({1,0},LSPN1&amp;LSDN1,LSGG),2,0)</f>
        <v>#N/A</v>
      </c>
      <c r="F152" s="28" t="e">
        <f t="array" ref="F152">VLOOKUP(C152&amp;B152,IF({1,0},LSPN1&amp;LSDN1,LSCD),2,0)</f>
        <v>#N/A</v>
      </c>
      <c r="G152" s="28"/>
      <c r="H152" s="106">
        <f t="shared" si="25"/>
        <v>0</v>
      </c>
      <c r="I152" s="106" t="str">
        <f t="shared" si="26"/>
        <v/>
      </c>
      <c r="J152" s="28">
        <f t="array" ref="J152">VLOOKUP(I145&amp;H145,IF({1,0},BLPN1&amp;BLDN1,_LSK1),2,0)</f>
        <v>4</v>
      </c>
      <c r="K152" s="28" t="str">
        <f t="array" ref="K152">VLOOKUP(I145&amp;H145,IF({1,0},BLPN1&amp;BLDN1,LSGG1),2,0)</f>
        <v>M16</v>
      </c>
      <c r="L152" s="28" t="e">
        <f t="array" ref="L152">VLOOKUP(I152&amp;H152,IF({1,0},BLPN1&amp;BLDN1,LSCD1),2,0)</f>
        <v>#N/A</v>
      </c>
    </row>
    <row r="153" spans="2:12">
      <c r="J153" s="28">
        <f t="array" ref="J153">VLOOKUP(I146&amp;H146,IF({1,0},BLPN1&amp;BLDN1,_LSK1),2,0)</f>
        <v>4</v>
      </c>
      <c r="K153" s="28" t="str">
        <f t="array" ref="K153">VLOOKUP(I146&amp;H146,IF({1,0},BLPN1&amp;BLDN1,LSGG1),2,0)</f>
        <v>M14</v>
      </c>
    </row>
    <row r="154" spans="2:12">
      <c r="B154" s="152" t="s">
        <v>1495</v>
      </c>
      <c r="C154" s="166" t="s">
        <v>1543</v>
      </c>
      <c r="D154" s="28">
        <f>ROUNDUP(D156/2,0)</f>
        <v>855</v>
      </c>
      <c r="J154" s="28" t="e">
        <f t="array" ref="J154">VLOOKUP(I147&amp;H147,IF({1,0},BLPN1&amp;BLDN1,_LSK1),2,0)</f>
        <v>#N/A</v>
      </c>
      <c r="K154" s="28" t="e">
        <f t="array" ref="K154">VLOOKUP(I147&amp;H147,IF({1,0},BLPN1&amp;BLDN1,LSGG1),2,0)</f>
        <v>#N/A</v>
      </c>
    </row>
    <row r="155" spans="2:12">
      <c r="B155" s="28"/>
      <c r="C155" s="153" t="s">
        <v>1496</v>
      </c>
      <c r="D155" s="114">
        <f>ROUNDUP(D158*D159/4.5,0)</f>
        <v>380</v>
      </c>
      <c r="J155" s="28" t="e">
        <f t="array" ref="J155">VLOOKUP(I148&amp;H148,IF({1,0},BLPN1&amp;BLDN1,_LSK1),2,0)</f>
        <v>#N/A</v>
      </c>
      <c r="K155" s="28" t="e">
        <f t="array" ref="K155">VLOOKUP(I148&amp;H148,IF({1,0},BLPN1&amp;BLDN1,LSGG1),2,0)</f>
        <v>#N/A</v>
      </c>
    </row>
    <row r="156" spans="2:12">
      <c r="B156" s="28"/>
      <c r="C156" s="153" t="s">
        <v>1497</v>
      </c>
      <c r="D156" s="114">
        <f>D158*D159</f>
        <v>1710</v>
      </c>
      <c r="J156" s="28" t="e">
        <f t="array" ref="J156">VLOOKUP(I149&amp;H149,IF({1,0},BLPN1&amp;BLDN1,_LSK1),2,0)</f>
        <v>#N/A</v>
      </c>
      <c r="K156" s="28" t="e">
        <f t="array" ref="K156">VLOOKUP(I149&amp;H149,IF({1,0},BLPN1&amp;BLDN1,LSGG1),2,0)</f>
        <v>#N/A</v>
      </c>
    </row>
    <row r="157" spans="2:12">
      <c r="B157" s="28"/>
      <c r="C157" s="154">
        <v>0</v>
      </c>
      <c r="D157" s="28"/>
      <c r="J157" s="28" t="e">
        <f t="array" ref="J157">VLOOKUP(I150&amp;H150,IF({1,0},BLPN1&amp;BLDN1,_LSK1),2,0)</f>
        <v>#N/A</v>
      </c>
      <c r="K157" s="28" t="e">
        <f t="array" ref="K157">VLOOKUP(I150&amp;H150,IF({1,0},BLPN1&amp;BLDN1,LSGG1),2,0)</f>
        <v>#N/A</v>
      </c>
    </row>
    <row r="158" spans="2:12">
      <c r="B158" s="28"/>
      <c r="C158" s="162" t="s">
        <v>1540</v>
      </c>
      <c r="D158" s="28">
        <f>ROUNDUP(D160/D161,0)</f>
        <v>38</v>
      </c>
      <c r="J158" s="28" t="e">
        <f t="array" ref="J158">VLOOKUP(I151&amp;H151,IF({1,0},LSPN1&amp;LSDN1,LSSL1),2,0)</f>
        <v>#N/A</v>
      </c>
      <c r="K158" s="28" t="e">
        <f t="array" ref="K158">VLOOKUP(I151&amp;H151,IF({1,0},BLPN1&amp;BLDN1,LSGG1),2,0)</f>
        <v>#N/A</v>
      </c>
    </row>
    <row r="159" spans="2:12">
      <c r="B159" s="28"/>
      <c r="C159" s="162" t="s">
        <v>1525</v>
      </c>
      <c r="D159" s="28">
        <v>45</v>
      </c>
      <c r="J159" s="28" t="e">
        <f t="array" ref="J159">VLOOKUP(I152&amp;H152,IF({1,0},LSPN1&amp;LSDN1,LSSL1),2,0)</f>
        <v>#N/A</v>
      </c>
      <c r="K159" s="28" t="e">
        <f t="array" ref="K159">VLOOKUP(I152&amp;H152,IF({1,0},BLPN1&amp;BLDN1,LSGG1),2,0)</f>
        <v>#N/A</v>
      </c>
    </row>
    <row r="160" spans="2:12">
      <c r="B160" s="28"/>
      <c r="C160" s="162" t="s">
        <v>1541</v>
      </c>
      <c r="D160" s="28">
        <f>ROUNDUP((PI()*(C3+H3)*(1+ROUNDUP(E3/1500,0))+E3),0)*1.1+ROUNDUP((PI()*(C4+H4)*(1+ROUNDUP(E4/1500,0))+E4),0)*1.1</f>
        <v>9287.3000000000011</v>
      </c>
    </row>
    <row r="161" spans="2:4">
      <c r="B161" s="28"/>
      <c r="C161" s="162" t="s">
        <v>1542</v>
      </c>
      <c r="D161" s="28">
        <v>250</v>
      </c>
    </row>
  </sheetData>
  <protectedRanges>
    <protectedRange sqref="E18:E21" name="区域1_60_60_60_60_60_60_60_60_60_60_60_9_2"/>
    <protectedRange sqref="B24:B32" name="区域1_60_60_60_60_60_60_60_60_60_60_60_10_2"/>
    <protectedRange sqref="E24:E32" name="区域1_60_60_60_60_60_60_60_60_60_60_60_11_2"/>
    <protectedRange sqref="F24:F32" name="区域1_60_60_60_60_60_60_60_60_60_60_60_12_2"/>
    <protectedRange sqref="D24:D32" name="区域1_60_60_60_60_60_60_60_60_60_60_60_14_2"/>
    <protectedRange sqref="C18:C20 C24:C33 G71:G78 C35:C43 C48:C55" name="区域1_60_60_60_60_60_60_60_60_60_60_60_1_2"/>
    <protectedRange sqref="F18:F21" name="区域1_60_60_60_60_60_60_60_60_60_60_60_4"/>
    <protectedRange sqref="D111:H114" name="区域1_60_60_60_60_60_60_60_60_60_60_60_8_2"/>
    <protectedRange sqref="B118:C128" name="区域1_60_60_60_60_60_60_60_60_60_60_60_3_2"/>
    <protectedRange sqref="E118:H140" name="区域1_60_60_60_60_60_60_60_60_60_60_60_13_2"/>
    <protectedRange sqref="B142:C152 D144:E152 J149:K159 G144:I152 L143:L152 D142:I143 L142:M142" name="区域1_60_60_60_60_60_60_60_60_60_60_60_65_92_45_45_45_45_45"/>
    <protectedRange sqref="B154:D161" name="区域1_60_60_60_60_60_60_60_60_60_60_60_67_2"/>
    <protectedRange sqref="F144:F152" name="区域1_60_60_60_60_60_60_60_60_60_60_60_20_20_9_9_9_9_9"/>
  </protectedRanges>
  <autoFilter ref="A1:T81" xr:uid="{013CBF3E-BB57-4B03-8CD8-D1B8E1571162}">
    <filterColumn colId="1" showButton="0"/>
    <filterColumn colId="4" showButton="0"/>
    <filterColumn colId="6" showButton="0"/>
  </autoFilter>
  <mergeCells count="52">
    <mergeCell ref="F108:G108"/>
    <mergeCell ref="B111:C111"/>
    <mergeCell ref="F118:H118"/>
    <mergeCell ref="F119:H119"/>
    <mergeCell ref="B143:C143"/>
    <mergeCell ref="H143:I143"/>
    <mergeCell ref="C88:E88"/>
    <mergeCell ref="F103:G103"/>
    <mergeCell ref="F104:G104"/>
    <mergeCell ref="F105:G105"/>
    <mergeCell ref="F106:G106"/>
    <mergeCell ref="F107:G107"/>
    <mergeCell ref="A57:M57"/>
    <mergeCell ref="A69:M69"/>
    <mergeCell ref="A71:A77"/>
    <mergeCell ref="C71:F71"/>
    <mergeCell ref="C73:F73"/>
    <mergeCell ref="C75:F75"/>
    <mergeCell ref="C77:F77"/>
    <mergeCell ref="H46:H47"/>
    <mergeCell ref="I46:I47"/>
    <mergeCell ref="J46:J47"/>
    <mergeCell ref="K46:K47"/>
    <mergeCell ref="L46:L47"/>
    <mergeCell ref="M46:M47"/>
    <mergeCell ref="L7:L8"/>
    <mergeCell ref="M7:M8"/>
    <mergeCell ref="A16:M16"/>
    <mergeCell ref="A22:M22"/>
    <mergeCell ref="A45:M45"/>
    <mergeCell ref="A46:A47"/>
    <mergeCell ref="B46:B47"/>
    <mergeCell ref="C46:C47"/>
    <mergeCell ref="D46:D47"/>
    <mergeCell ref="E46:G46"/>
    <mergeCell ref="A6:M6"/>
    <mergeCell ref="A7:A8"/>
    <mergeCell ref="B7:B8"/>
    <mergeCell ref="C7:C8"/>
    <mergeCell ref="D7:D8"/>
    <mergeCell ref="E7:G7"/>
    <mergeCell ref="H7:H8"/>
    <mergeCell ref="I7:I8"/>
    <mergeCell ref="J7:J8"/>
    <mergeCell ref="K7:K8"/>
    <mergeCell ref="B1:C1"/>
    <mergeCell ref="E1:F1"/>
    <mergeCell ref="G1:H1"/>
    <mergeCell ref="A2:M2"/>
    <mergeCell ref="A3:A4"/>
    <mergeCell ref="F3:G3"/>
    <mergeCell ref="F4:G4"/>
  </mergeCells>
  <phoneticPr fontId="5" type="noConversion"/>
  <conditionalFormatting sqref="P6:T12 T13:T17">
    <cfRule type="expression" dxfId="1" priority="2">
      <formula>$N$1=0</formula>
    </cfRule>
  </conditionalFormatting>
  <conditionalFormatting sqref="P6:T17">
    <cfRule type="expression" dxfId="0" priority="1">
      <formula>$N$1=0</formula>
    </cfRule>
  </conditionalFormatting>
  <dataValidations count="19">
    <dataValidation type="list" allowBlank="1" showInputMessage="1" showErrorMessage="1" sqref="C42:C43" xr:uid="{FFC8341E-236D-42E3-8387-3964FAD07995}">
      <formula1>$J$12:$J$19</formula1>
    </dataValidation>
    <dataValidation type="list" allowBlank="1" showInputMessage="1" showErrorMessage="1" sqref="C29:C32" xr:uid="{004C4C8D-93A5-486B-946B-C54CBC24EF1A}">
      <formula1>$J$21:$J$26</formula1>
    </dataValidation>
    <dataValidation type="list" allowBlank="1" showInputMessage="1" showErrorMessage="1" sqref="B53:B55" xr:uid="{2E875D86-F9C4-4D37-BE57-3DC790DD4AA4}">
      <formula1>$J$117:$J$130</formula1>
    </dataValidation>
    <dataValidation type="list" allowBlank="1" showInputMessage="1" showErrorMessage="1" sqref="B48:B52" xr:uid="{6BEB3D09-78AE-4404-92A3-51FFFFE55F4C}">
      <formula1>$J$117:$J$135</formula1>
    </dataValidation>
    <dataValidation type="list" allowBlank="1" showInputMessage="1" showErrorMessage="1" sqref="J86" xr:uid="{CC596149-0875-4460-98BA-F9F2C0161C61}">
      <formula1>"RT100%,RT≥20%,RT≥50%,0"</formula1>
    </dataValidation>
    <dataValidation type="list" allowBlank="1" showInputMessage="1" showErrorMessage="1" sqref="B15" xr:uid="{BB84A77F-B79B-44C0-8F1F-12FC679C107F}">
      <formula1>$P$7:$P$12</formula1>
    </dataValidation>
    <dataValidation type="list" allowBlank="1" showInputMessage="1" showErrorMessage="1" sqref="L3:L4" xr:uid="{E2C22C97-ACEA-43E5-9B72-909D9E927F8C}">
      <formula1>"有,无"</formula1>
    </dataValidation>
    <dataValidation type="list" allowBlank="1" showInputMessage="1" showErrorMessage="1" sqref="D15" xr:uid="{6751D46E-963B-449F-9CD4-A2C5A5DE3CB2}">
      <formula1>"板材,管材,成品,其他,/"</formula1>
    </dataValidation>
    <dataValidation type="list" allowBlank="1" showInputMessage="1" showErrorMessage="1" sqref="E24:E32" xr:uid="{71454262-8D08-4646-B015-0284BDAF3589}">
      <formula1>"WN,SO,PL,BL"</formula1>
    </dataValidation>
    <dataValidation type="list" showInputMessage="1" showErrorMessage="1" sqref="F24:F32" xr:uid="{3D68FF6C-BDFA-403D-96BA-8B7795C55A85}">
      <formula1>"PN2.5,PN6,PN10,PN16,PN25,PN40,PN63,CL150,CL300,CL600,CL900"</formula1>
    </dataValidation>
    <dataValidation type="list" allowBlank="1" showInputMessage="1" showErrorMessage="1" sqref="D24:D32" xr:uid="{654BA9C7-7915-4369-8EC9-68620CD502B2}">
      <formula1>"HG20592,HG20615"</formula1>
    </dataValidation>
    <dataValidation type="list" allowBlank="1" showInputMessage="1" showErrorMessage="1" sqref="F18:F21" xr:uid="{F0090C0C-A53F-4051-A737-DE2742400E12}">
      <formula1>$D$103:$D$109</formula1>
    </dataValidation>
    <dataValidation type="list" allowBlank="1" showInputMessage="1" showErrorMessage="1" sqref="G112:G114" xr:uid="{A0117D86-B4D0-40CA-89EA-0428910429DB}">
      <formula1>"FF,M,FM"</formula1>
    </dataValidation>
    <dataValidation type="list" allowBlank="1" showInputMessage="1" showErrorMessage="1" sqref="D18:D21" xr:uid="{A71B4C83-C055-4B75-8D79-AF077059B41E}">
      <formula1>$B$112:$B$116</formula1>
    </dataValidation>
    <dataValidation type="list" allowBlank="1" showInputMessage="1" showErrorMessage="1" sqref="D9:D14" xr:uid="{4D332F6A-63D7-4766-8EC0-DF0FD6459D48}">
      <formula1>$H$103:$H$107</formula1>
    </dataValidation>
    <dataValidation type="list" allowBlank="1" showInputMessage="1" showErrorMessage="1" sqref="M24:M32" xr:uid="{BC02DA83-7670-4E69-B546-A3C12F62945B}">
      <formula1>$I$103:$I$108</formula1>
    </dataValidation>
    <dataValidation type="list" allowBlank="1" showInputMessage="1" showErrorMessage="1" sqref="M88:M93" xr:uid="{DDB47BEF-291E-43CE-9AAA-3A952CC52AF8}">
      <formula1>"需要,不需要"</formula1>
    </dataValidation>
    <dataValidation type="list" allowBlank="1" showInputMessage="1" showErrorMessage="1" sqref="B9:B14" xr:uid="{5EE1B8B7-B5FF-40D4-A8E5-4532A8DE46CD}">
      <formula1>$P$6:$P$17</formula1>
    </dataValidation>
    <dataValidation type="list" allowBlank="1" showInputMessage="1" showErrorMessage="1" sqref="C54:C55" xr:uid="{6E60FC30-211C-433F-8BCB-B18144A9AE70}">
      <formula1>$J$4:$J$24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6C8A2F0-3E4C-4CA2-8D49-29850B10374E}">
          <x14:formula1>
            <xm:f>汇总!$J$4:$J$25</xm:f>
          </x14:formula1>
          <xm:sqref>C18:C20 C28 C35:C38 G71:G78 C48:C53</xm:sqref>
        </x14:dataValidation>
        <x14:dataValidation type="list" allowBlank="1" showInputMessage="1" showErrorMessage="1" xr:uid="{F83C0170-374A-44F1-8042-5C4F140F6D4A}">
          <x14:formula1>
            <xm:f>汇总!$J$4:$J$19</xm:f>
          </x14:formula1>
          <xm:sqref>C9:C15 I1 L1</xm:sqref>
        </x14:dataValidation>
        <x14:dataValidation type="list" allowBlank="1" showInputMessage="1" showErrorMessage="1" xr:uid="{625E068F-0BF5-4C08-AEDD-9B64CDF78DB7}">
          <x14:formula1>
            <xm:f>支腿数据!$B$30:$B$69</xm:f>
          </x14:formula1>
          <xm:sqref>C71:F71</xm:sqref>
        </x14:dataValidation>
        <x14:dataValidation type="list" allowBlank="1" showInputMessage="1" showErrorMessage="1" xr:uid="{1D2D0A75-2C72-4833-974F-E3D62339C8C6}">
          <x14:formula1>
            <xm:f>支腿数据!$L$2:$L$12</xm:f>
          </x14:formula1>
          <xm:sqref>C73:F73</xm:sqref>
        </x14:dataValidation>
        <x14:dataValidation type="list" allowBlank="1" showInputMessage="1" showErrorMessage="1" xr:uid="{963F7FFD-3F04-47B8-9898-969DF9D07D24}">
          <x14:formula1>
            <xm:f>支腿数据!$V$13:$V$20</xm:f>
          </x14:formula1>
          <xm:sqref>C75:F75</xm:sqref>
        </x14:dataValidation>
        <x14:dataValidation type="list" allowBlank="1" showInputMessage="1" showErrorMessage="1" xr:uid="{78FFB7E2-ECA7-4FC8-A5A9-899933459132}">
          <x14:formula1>
            <xm:f>法兰理论重量表!$A$6:$A$36</xm:f>
          </x14:formula1>
          <xm:sqref>B25:B32</xm:sqref>
        </x14:dataValidation>
        <x14:dataValidation type="list" allowBlank="1" showInputMessage="1" showErrorMessage="1" xr:uid="{FDDBE91F-B79B-46D0-97E2-F2E96D479F97}">
          <x14:formula1>
            <xm:f>法兰理论重量表!$A$7:$A$36</xm:f>
          </x14:formula1>
          <xm:sqref>B24</xm:sqref>
        </x14:dataValidation>
        <x14:dataValidation type="list" allowBlank="1" showInputMessage="1" showErrorMessage="1" xr:uid="{EFB2F971-6E3C-44E9-891A-93FCCEC7F0B5}">
          <x14:formula1>
            <xm:f>汇总!#REF!</xm:f>
          </x14:formula1>
          <xm:sqref>C33</xm:sqref>
        </x14:dataValidation>
        <x14:dataValidation type="list" allowBlank="1" showInputMessage="1" showErrorMessage="1" xr:uid="{D9DA7916-917D-4A5D-86B8-51BC8D2AC381}">
          <x14:formula1>
            <xm:f>汇总!$J$20:$J$25</xm:f>
          </x14:formula1>
          <xm:sqref>C24:C27</xm:sqref>
        </x14:dataValidation>
        <x14:dataValidation type="list" allowBlank="1" showInputMessage="1" showErrorMessage="1" xr:uid="{B9598601-583D-4C1E-B070-001BEC937C6A}">
          <x14:formula1>
            <xm:f>汇总!$J$13:$J$19</xm:f>
          </x14:formula1>
          <xm:sqref>C39:C41</xm:sqref>
        </x14:dataValidation>
        <x14:dataValidation type="list" allowBlank="1" showInputMessage="1" showErrorMessage="1" xr:uid="{3B18C206-621E-4C1A-B0BD-C9044AF51474}">
          <x14:formula1>
            <xm:f>钢管壁厚等级表!$D$2:$S$2</xm:f>
          </x14:formula1>
          <xm:sqref>F35:F43</xm:sqref>
        </x14:dataValidation>
        <x14:dataValidation type="list" allowBlank="1" showInputMessage="1" showErrorMessage="1" xr:uid="{A43A5B73-680E-4424-B89F-4EA241A2EF7D}">
          <x14:formula1>
            <xm:f>支腿数据!$R$7:$R$30</xm:f>
          </x14:formula1>
          <xm:sqref>C77:F77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10E7-9F3D-48BD-8655-89915B3808BD}">
  <dimension ref="A1:S35"/>
  <sheetViews>
    <sheetView workbookViewId="0">
      <selection activeCell="B3" sqref="B3"/>
    </sheetView>
  </sheetViews>
  <sheetFormatPr defaultRowHeight="15.75"/>
  <cols>
    <col min="1" max="2" width="6.625" style="28" customWidth="1"/>
    <col min="3" max="3" width="11.625" style="28" customWidth="1"/>
    <col min="4" max="19" width="8.875" style="28" customWidth="1"/>
    <col min="20" max="16384" width="9" style="28"/>
  </cols>
  <sheetData>
    <row r="1" spans="1:19" ht="17.25">
      <c r="A1" s="212" t="s">
        <v>1650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</row>
    <row r="2" spans="1:19" s="68" customFormat="1" ht="17.25">
      <c r="A2" s="177" t="s">
        <v>1226</v>
      </c>
      <c r="B2" s="177" t="s">
        <v>1218</v>
      </c>
      <c r="C2" s="177" t="s">
        <v>1651</v>
      </c>
      <c r="D2" s="177" t="s">
        <v>1652</v>
      </c>
      <c r="E2" s="177" t="s">
        <v>1653</v>
      </c>
      <c r="F2" s="177" t="s">
        <v>1654</v>
      </c>
      <c r="G2" s="177" t="s">
        <v>1655</v>
      </c>
      <c r="H2" s="177" t="s">
        <v>1656</v>
      </c>
      <c r="I2" s="177" t="s">
        <v>1657</v>
      </c>
      <c r="J2" s="177" t="s">
        <v>1658</v>
      </c>
      <c r="K2" s="177" t="s">
        <v>1659</v>
      </c>
      <c r="L2" s="177" t="s">
        <v>1660</v>
      </c>
      <c r="M2" s="177" t="s">
        <v>1661</v>
      </c>
      <c r="N2" s="177" t="s">
        <v>1662</v>
      </c>
      <c r="O2" s="177" t="s">
        <v>1663</v>
      </c>
      <c r="P2" s="177" t="s">
        <v>1664</v>
      </c>
      <c r="Q2" s="177" t="s">
        <v>1665</v>
      </c>
      <c r="R2" s="177" t="s">
        <v>1666</v>
      </c>
      <c r="S2" s="177" t="s">
        <v>1667</v>
      </c>
    </row>
    <row r="3" spans="1:19">
      <c r="A3" s="178" t="s">
        <v>1668</v>
      </c>
      <c r="B3" s="178">
        <v>15</v>
      </c>
      <c r="C3" s="178">
        <v>21.3</v>
      </c>
      <c r="D3" s="179">
        <v>1.65</v>
      </c>
      <c r="E3" s="179">
        <v>2.11</v>
      </c>
      <c r="F3" s="179">
        <v>2.11</v>
      </c>
      <c r="G3" s="178"/>
      <c r="H3" s="179">
        <v>2.41</v>
      </c>
      <c r="I3" s="179">
        <v>2.77</v>
      </c>
      <c r="J3" s="179">
        <v>2.77</v>
      </c>
      <c r="K3" s="179">
        <v>2.77</v>
      </c>
      <c r="L3" s="168"/>
      <c r="M3" s="180">
        <v>3.73</v>
      </c>
      <c r="N3" s="180">
        <v>3.73</v>
      </c>
      <c r="O3" s="168"/>
      <c r="P3" s="168"/>
      <c r="Q3" s="168"/>
      <c r="R3" s="180">
        <v>4.78</v>
      </c>
      <c r="S3" s="180">
        <v>7.47</v>
      </c>
    </row>
    <row r="4" spans="1:19">
      <c r="A4" s="178" t="s">
        <v>1669</v>
      </c>
      <c r="B4" s="178">
        <v>20</v>
      </c>
      <c r="C4" s="178">
        <v>26.7</v>
      </c>
      <c r="D4" s="179">
        <v>1.65</v>
      </c>
      <c r="E4" s="179">
        <v>2.11</v>
      </c>
      <c r="F4" s="179">
        <v>2.11</v>
      </c>
      <c r="G4" s="178"/>
      <c r="H4" s="179">
        <v>2.41</v>
      </c>
      <c r="I4" s="179">
        <v>2.87</v>
      </c>
      <c r="J4" s="179">
        <v>2.87</v>
      </c>
      <c r="K4" s="179">
        <v>2.87</v>
      </c>
      <c r="L4" s="168"/>
      <c r="M4" s="180">
        <v>3.91</v>
      </c>
      <c r="N4" s="180">
        <v>3.91</v>
      </c>
      <c r="O4" s="168"/>
      <c r="P4" s="168"/>
      <c r="Q4" s="168"/>
      <c r="R4" s="180">
        <v>5.56</v>
      </c>
      <c r="S4" s="180">
        <v>7.82</v>
      </c>
    </row>
    <row r="5" spans="1:19">
      <c r="A5" s="178" t="s">
        <v>1670</v>
      </c>
      <c r="B5" s="178">
        <v>25</v>
      </c>
      <c r="C5" s="178">
        <v>33.4</v>
      </c>
      <c r="D5" s="179">
        <v>1.65</v>
      </c>
      <c r="E5" s="179">
        <v>2.77</v>
      </c>
      <c r="F5" s="179">
        <v>2.77</v>
      </c>
      <c r="G5" s="178"/>
      <c r="H5" s="179">
        <v>2.9</v>
      </c>
      <c r="I5" s="179">
        <v>3.38</v>
      </c>
      <c r="J5" s="179">
        <v>3.38</v>
      </c>
      <c r="K5" s="179">
        <v>3.38</v>
      </c>
      <c r="L5" s="168"/>
      <c r="M5" s="180">
        <v>4.55</v>
      </c>
      <c r="N5" s="180">
        <v>4.55</v>
      </c>
      <c r="O5" s="168"/>
      <c r="P5" s="168"/>
      <c r="Q5" s="168"/>
      <c r="R5" s="180">
        <v>6.35</v>
      </c>
      <c r="S5" s="180">
        <v>9.09</v>
      </c>
    </row>
    <row r="6" spans="1:19">
      <c r="A6" s="178" t="s">
        <v>1671</v>
      </c>
      <c r="B6" s="178">
        <v>32</v>
      </c>
      <c r="C6" s="178">
        <v>42.2</v>
      </c>
      <c r="D6" s="179">
        <v>1.65</v>
      </c>
      <c r="E6" s="179">
        <v>2.77</v>
      </c>
      <c r="F6" s="179">
        <v>2.77</v>
      </c>
      <c r="G6" s="178"/>
      <c r="H6" s="179">
        <v>2.97</v>
      </c>
      <c r="I6" s="179">
        <v>3.56</v>
      </c>
      <c r="J6" s="179">
        <v>3.56</v>
      </c>
      <c r="K6" s="179">
        <v>3.56</v>
      </c>
      <c r="L6" s="168"/>
      <c r="M6" s="180">
        <v>4.8499999999999996</v>
      </c>
      <c r="N6" s="180">
        <v>4.8499999999999996</v>
      </c>
      <c r="O6" s="168"/>
      <c r="P6" s="168"/>
      <c r="Q6" s="168"/>
      <c r="R6" s="180">
        <v>6.35</v>
      </c>
      <c r="S6" s="180">
        <v>9.6999999999999993</v>
      </c>
    </row>
    <row r="7" spans="1:19">
      <c r="A7" s="178" t="s">
        <v>1672</v>
      </c>
      <c r="B7" s="178">
        <v>40</v>
      </c>
      <c r="C7" s="178">
        <v>48.3</v>
      </c>
      <c r="D7" s="179">
        <v>1.65</v>
      </c>
      <c r="E7" s="179">
        <v>2.77</v>
      </c>
      <c r="F7" s="179">
        <v>2.77</v>
      </c>
      <c r="G7" s="178"/>
      <c r="H7" s="179">
        <v>3.18</v>
      </c>
      <c r="I7" s="179">
        <v>3.68</v>
      </c>
      <c r="J7" s="179">
        <v>3.68</v>
      </c>
      <c r="K7" s="179">
        <v>3.68</v>
      </c>
      <c r="L7" s="168"/>
      <c r="M7" s="180">
        <v>5.08</v>
      </c>
      <c r="N7" s="180">
        <v>5.08</v>
      </c>
      <c r="O7" s="168"/>
      <c r="P7" s="168"/>
      <c r="Q7" s="168"/>
      <c r="R7" s="180">
        <v>7.14</v>
      </c>
      <c r="S7" s="180">
        <v>10.15</v>
      </c>
    </row>
    <row r="8" spans="1:19">
      <c r="A8" s="178" t="s">
        <v>1673</v>
      </c>
      <c r="B8" s="178">
        <v>50</v>
      </c>
      <c r="C8" s="178">
        <v>60.3</v>
      </c>
      <c r="D8" s="179">
        <v>1.65</v>
      </c>
      <c r="E8" s="179">
        <v>2.77</v>
      </c>
      <c r="F8" s="179">
        <v>2.77</v>
      </c>
      <c r="G8" s="178"/>
      <c r="H8" s="179">
        <v>3.18</v>
      </c>
      <c r="I8" s="179">
        <v>3.91</v>
      </c>
      <c r="J8" s="179">
        <v>3.91</v>
      </c>
      <c r="K8" s="179">
        <v>3.91</v>
      </c>
      <c r="L8" s="168"/>
      <c r="M8" s="180">
        <v>5.54</v>
      </c>
      <c r="N8" s="180">
        <v>5.54</v>
      </c>
      <c r="O8" s="168"/>
      <c r="P8" s="168"/>
      <c r="Q8" s="168"/>
      <c r="R8" s="180">
        <v>8.74</v>
      </c>
      <c r="S8" s="180">
        <v>11.07</v>
      </c>
    </row>
    <row r="9" spans="1:19">
      <c r="A9" s="178" t="s">
        <v>1674</v>
      </c>
      <c r="B9" s="178">
        <v>65</v>
      </c>
      <c r="C9" s="178">
        <v>73</v>
      </c>
      <c r="D9" s="179">
        <v>2.11</v>
      </c>
      <c r="E9" s="179">
        <v>3.05</v>
      </c>
      <c r="F9" s="179">
        <v>3.05</v>
      </c>
      <c r="G9" s="178"/>
      <c r="H9" s="179">
        <v>4.78</v>
      </c>
      <c r="I9" s="179">
        <v>5.16</v>
      </c>
      <c r="J9" s="179">
        <v>5.16</v>
      </c>
      <c r="K9" s="179">
        <v>5.16</v>
      </c>
      <c r="L9" s="168"/>
      <c r="M9" s="180">
        <v>7.01</v>
      </c>
      <c r="N9" s="180">
        <v>7.01</v>
      </c>
      <c r="O9" s="168"/>
      <c r="P9" s="168"/>
      <c r="Q9" s="168"/>
      <c r="R9" s="180">
        <v>9.5299999999999994</v>
      </c>
      <c r="S9" s="180">
        <v>14.02</v>
      </c>
    </row>
    <row r="10" spans="1:19">
      <c r="A10" s="178" t="s">
        <v>1675</v>
      </c>
      <c r="B10" s="178">
        <v>80</v>
      </c>
      <c r="C10" s="178">
        <v>88.9</v>
      </c>
      <c r="D10" s="179">
        <v>2.11</v>
      </c>
      <c r="E10" s="179">
        <v>3.05</v>
      </c>
      <c r="F10" s="179">
        <v>3.05</v>
      </c>
      <c r="G10" s="178"/>
      <c r="H10" s="179">
        <v>4.78</v>
      </c>
      <c r="I10" s="179">
        <v>5.49</v>
      </c>
      <c r="J10" s="179">
        <v>5.49</v>
      </c>
      <c r="K10" s="179">
        <v>5.49</v>
      </c>
      <c r="L10" s="168"/>
      <c r="M10" s="180">
        <v>7.62</v>
      </c>
      <c r="N10" s="180">
        <v>7.62</v>
      </c>
      <c r="O10" s="168"/>
      <c r="P10" s="168"/>
      <c r="Q10" s="168"/>
      <c r="R10" s="180">
        <v>11.13</v>
      </c>
      <c r="S10" s="180">
        <v>15.25</v>
      </c>
    </row>
    <row r="11" spans="1:19">
      <c r="A11" s="178" t="s">
        <v>1676</v>
      </c>
      <c r="B11" s="178">
        <v>90</v>
      </c>
      <c r="C11" s="178">
        <v>101.6</v>
      </c>
      <c r="D11" s="179">
        <v>2.11</v>
      </c>
      <c r="E11" s="179">
        <v>3.05</v>
      </c>
      <c r="F11" s="179">
        <v>3.05</v>
      </c>
      <c r="G11" s="178"/>
      <c r="H11" s="179">
        <v>4.78</v>
      </c>
      <c r="I11" s="179">
        <v>5.74</v>
      </c>
      <c r="J11" s="179">
        <v>5.74</v>
      </c>
      <c r="K11" s="179">
        <v>5.74</v>
      </c>
      <c r="L11" s="168"/>
      <c r="M11" s="180">
        <v>8.08</v>
      </c>
      <c r="N11" s="180">
        <v>8.08</v>
      </c>
      <c r="O11" s="168"/>
      <c r="P11" s="168"/>
      <c r="Q11" s="168"/>
      <c r="R11" s="168"/>
      <c r="S11" s="168"/>
    </row>
    <row r="12" spans="1:19">
      <c r="A12" s="178" t="s">
        <v>1677</v>
      </c>
      <c r="B12" s="178">
        <v>100</v>
      </c>
      <c r="C12" s="178">
        <v>114.3</v>
      </c>
      <c r="D12" s="179">
        <v>2.11</v>
      </c>
      <c r="E12" s="179">
        <v>3.05</v>
      </c>
      <c r="F12" s="179">
        <v>3.05</v>
      </c>
      <c r="G12" s="178"/>
      <c r="H12" s="179">
        <v>4.78</v>
      </c>
      <c r="I12" s="179">
        <v>6.02</v>
      </c>
      <c r="J12" s="179">
        <v>6.02</v>
      </c>
      <c r="K12" s="179">
        <v>6.02</v>
      </c>
      <c r="L12" s="168"/>
      <c r="M12" s="180">
        <v>8.56</v>
      </c>
      <c r="N12" s="180">
        <v>8.56</v>
      </c>
      <c r="O12" s="168"/>
      <c r="P12" s="180">
        <v>11.13</v>
      </c>
      <c r="Q12" s="168"/>
      <c r="R12" s="180">
        <v>13.49</v>
      </c>
      <c r="S12" s="180">
        <v>17.12</v>
      </c>
    </row>
    <row r="13" spans="1:19">
      <c r="A13" s="178" t="s">
        <v>1678</v>
      </c>
      <c r="B13" s="178">
        <v>125</v>
      </c>
      <c r="C13" s="178">
        <v>141.30000000000001</v>
      </c>
      <c r="D13" s="179">
        <v>2.77</v>
      </c>
      <c r="E13" s="179">
        <v>3.4</v>
      </c>
      <c r="F13" s="179">
        <v>3.4</v>
      </c>
      <c r="G13" s="178"/>
      <c r="H13" s="178"/>
      <c r="I13" s="179">
        <v>6.55</v>
      </c>
      <c r="J13" s="179">
        <v>6.55</v>
      </c>
      <c r="K13" s="179">
        <v>6.55</v>
      </c>
      <c r="L13" s="168"/>
      <c r="M13" s="180">
        <v>9.5299999999999994</v>
      </c>
      <c r="N13" s="180">
        <v>9.5299999999999994</v>
      </c>
      <c r="O13" s="168"/>
      <c r="P13" s="180">
        <v>12.7</v>
      </c>
      <c r="Q13" s="168"/>
      <c r="R13" s="180">
        <v>15.88</v>
      </c>
      <c r="S13" s="180">
        <v>19.05</v>
      </c>
    </row>
    <row r="14" spans="1:19">
      <c r="A14" s="178" t="s">
        <v>1679</v>
      </c>
      <c r="B14" s="178">
        <v>150</v>
      </c>
      <c r="C14" s="178">
        <v>168.3</v>
      </c>
      <c r="D14" s="179">
        <v>2.77</v>
      </c>
      <c r="E14" s="179">
        <v>3.4</v>
      </c>
      <c r="F14" s="179">
        <v>3.4</v>
      </c>
      <c r="G14" s="178"/>
      <c r="H14" s="178"/>
      <c r="I14" s="179">
        <v>7.11</v>
      </c>
      <c r="J14" s="179">
        <v>7.11</v>
      </c>
      <c r="K14" s="179">
        <v>7.11</v>
      </c>
      <c r="L14" s="168"/>
      <c r="M14" s="180">
        <v>10.97</v>
      </c>
      <c r="N14" s="180">
        <v>10.97</v>
      </c>
      <c r="O14" s="168"/>
      <c r="P14" s="180">
        <v>14.27</v>
      </c>
      <c r="Q14" s="168"/>
      <c r="R14" s="180">
        <v>18.260000000000002</v>
      </c>
      <c r="S14" s="180">
        <v>21.95</v>
      </c>
    </row>
    <row r="15" spans="1:19">
      <c r="A15" s="178" t="s">
        <v>1680</v>
      </c>
      <c r="B15" s="178">
        <v>200</v>
      </c>
      <c r="C15" s="178">
        <v>219.1</v>
      </c>
      <c r="D15" s="179">
        <v>2.77</v>
      </c>
      <c r="E15" s="179">
        <v>3.76</v>
      </c>
      <c r="F15" s="179">
        <v>3.76</v>
      </c>
      <c r="G15" s="179">
        <v>6.35</v>
      </c>
      <c r="H15" s="179">
        <v>7.04</v>
      </c>
      <c r="I15" s="179">
        <v>8.18</v>
      </c>
      <c r="J15" s="179">
        <v>8.18</v>
      </c>
      <c r="K15" s="179">
        <v>8.18</v>
      </c>
      <c r="L15" s="180">
        <v>10.31</v>
      </c>
      <c r="M15" s="180">
        <v>12.7</v>
      </c>
      <c r="N15" s="180">
        <v>12.7</v>
      </c>
      <c r="O15" s="180">
        <v>15.09</v>
      </c>
      <c r="P15" s="180">
        <v>18.260000000000002</v>
      </c>
      <c r="Q15" s="180">
        <v>20.62</v>
      </c>
      <c r="R15" s="180">
        <v>23.01</v>
      </c>
      <c r="S15" s="180">
        <v>22.23</v>
      </c>
    </row>
    <row r="16" spans="1:19">
      <c r="A16" s="178" t="s">
        <v>1681</v>
      </c>
      <c r="B16" s="178">
        <v>250</v>
      </c>
      <c r="C16" s="178">
        <v>273</v>
      </c>
      <c r="D16" s="179" t="s">
        <v>1682</v>
      </c>
      <c r="E16" s="179">
        <v>4.1900000000000004</v>
      </c>
      <c r="F16" s="179">
        <v>4.1900000000000004</v>
      </c>
      <c r="G16" s="179">
        <v>6.35</v>
      </c>
      <c r="H16" s="179">
        <v>7.8</v>
      </c>
      <c r="I16" s="179">
        <v>9.27</v>
      </c>
      <c r="J16" s="179">
        <v>9.27</v>
      </c>
      <c r="K16" s="179">
        <v>9.27</v>
      </c>
      <c r="L16" s="180">
        <v>12.7</v>
      </c>
      <c r="M16" s="180">
        <v>12.7</v>
      </c>
      <c r="N16" s="180">
        <v>15.09</v>
      </c>
      <c r="O16" s="180">
        <v>18.260000000000002</v>
      </c>
      <c r="P16" s="180">
        <v>21.44</v>
      </c>
      <c r="Q16" s="180">
        <v>25.4</v>
      </c>
      <c r="R16" s="180">
        <v>28.58</v>
      </c>
      <c r="S16" s="180">
        <v>25.4</v>
      </c>
    </row>
    <row r="17" spans="1:19">
      <c r="A17" s="178" t="s">
        <v>1683</v>
      </c>
      <c r="B17" s="178">
        <v>300</v>
      </c>
      <c r="C17" s="178">
        <v>323.8</v>
      </c>
      <c r="D17" s="179">
        <v>3.96</v>
      </c>
      <c r="E17" s="179">
        <v>4.57</v>
      </c>
      <c r="F17" s="179">
        <v>4.57</v>
      </c>
      <c r="G17" s="179">
        <v>6.35</v>
      </c>
      <c r="H17" s="179">
        <v>8.3800000000000008</v>
      </c>
      <c r="I17" s="179">
        <v>9.5299999999999994</v>
      </c>
      <c r="J17" s="179">
        <v>10.31</v>
      </c>
      <c r="K17" s="179">
        <v>9.5299999999999994</v>
      </c>
      <c r="L17" s="180">
        <v>14.27</v>
      </c>
      <c r="M17" s="180">
        <v>12.7</v>
      </c>
      <c r="N17" s="180">
        <v>17.48</v>
      </c>
      <c r="O17" s="180">
        <v>21.44</v>
      </c>
      <c r="P17" s="180">
        <v>25.4</v>
      </c>
      <c r="Q17" s="180">
        <v>28.58</v>
      </c>
      <c r="R17" s="180">
        <v>33.32</v>
      </c>
      <c r="S17" s="180">
        <v>25.4</v>
      </c>
    </row>
    <row r="18" spans="1:19">
      <c r="A18" s="178" t="s">
        <v>1684</v>
      </c>
      <c r="B18" s="178">
        <v>350</v>
      </c>
      <c r="C18" s="178">
        <v>355.6</v>
      </c>
      <c r="D18" s="179">
        <v>3.96</v>
      </c>
      <c r="E18" s="179">
        <v>4.78</v>
      </c>
      <c r="F18" s="179">
        <v>6.35</v>
      </c>
      <c r="G18" s="179">
        <v>7.92</v>
      </c>
      <c r="H18" s="179">
        <v>9.5299999999999994</v>
      </c>
      <c r="I18" s="179">
        <v>9.5299999999999994</v>
      </c>
      <c r="J18" s="179">
        <v>11.13</v>
      </c>
      <c r="K18" s="178"/>
      <c r="L18" s="180">
        <v>15.09</v>
      </c>
      <c r="M18" s="180">
        <v>12.7</v>
      </c>
      <c r="N18" s="180">
        <v>19.05</v>
      </c>
      <c r="O18" s="180">
        <v>23.83</v>
      </c>
      <c r="P18" s="180">
        <v>27.79</v>
      </c>
      <c r="Q18" s="180">
        <v>31.75</v>
      </c>
      <c r="R18" s="180">
        <v>35.71</v>
      </c>
      <c r="S18" s="168"/>
    </row>
    <row r="19" spans="1:19">
      <c r="A19" s="178" t="s">
        <v>1685</v>
      </c>
      <c r="B19" s="178">
        <v>400</v>
      </c>
      <c r="C19" s="178">
        <v>406.4</v>
      </c>
      <c r="D19" s="179">
        <v>4.1900000000000004</v>
      </c>
      <c r="E19" s="179">
        <v>4.78</v>
      </c>
      <c r="F19" s="179">
        <v>6.35</v>
      </c>
      <c r="G19" s="179">
        <v>7.92</v>
      </c>
      <c r="H19" s="179">
        <v>9.5299999999999994</v>
      </c>
      <c r="I19" s="179">
        <v>9.5299999999999994</v>
      </c>
      <c r="J19" s="179">
        <v>12.7</v>
      </c>
      <c r="K19" s="178"/>
      <c r="L19" s="180">
        <v>16.66</v>
      </c>
      <c r="M19" s="180">
        <v>12.7</v>
      </c>
      <c r="N19" s="180">
        <v>21.44</v>
      </c>
      <c r="O19" s="180">
        <v>26.19</v>
      </c>
      <c r="P19" s="180">
        <v>30.96</v>
      </c>
      <c r="Q19" s="180">
        <v>36.53</v>
      </c>
      <c r="R19" s="180">
        <v>40.19</v>
      </c>
      <c r="S19" s="168"/>
    </row>
    <row r="20" spans="1:19">
      <c r="A20" s="178" t="s">
        <v>1686</v>
      </c>
      <c r="B20" s="178">
        <v>450</v>
      </c>
      <c r="C20" s="178">
        <v>457.2</v>
      </c>
      <c r="D20" s="179">
        <v>4.1900000000000004</v>
      </c>
      <c r="E20" s="179">
        <v>4.78</v>
      </c>
      <c r="F20" s="179">
        <v>6.35</v>
      </c>
      <c r="G20" s="179">
        <v>7.92</v>
      </c>
      <c r="H20" s="179">
        <v>11.13</v>
      </c>
      <c r="I20" s="179">
        <v>9.5299999999999994</v>
      </c>
      <c r="J20" s="179">
        <v>14.27</v>
      </c>
      <c r="K20" s="178"/>
      <c r="L20" s="180">
        <v>19.05</v>
      </c>
      <c r="M20" s="180">
        <v>12.7</v>
      </c>
      <c r="N20" s="180">
        <v>23.83</v>
      </c>
      <c r="O20" s="180">
        <v>29.36</v>
      </c>
      <c r="P20" s="180">
        <v>34.93</v>
      </c>
      <c r="Q20" s="180">
        <v>39.67</v>
      </c>
      <c r="R20" s="180">
        <v>45.24</v>
      </c>
      <c r="S20" s="168"/>
    </row>
    <row r="21" spans="1:19">
      <c r="A21" s="178" t="s">
        <v>1687</v>
      </c>
      <c r="B21" s="178">
        <v>500</v>
      </c>
      <c r="C21" s="178">
        <v>508</v>
      </c>
      <c r="D21" s="179">
        <v>4.78</v>
      </c>
      <c r="E21" s="179">
        <v>5.54</v>
      </c>
      <c r="F21" s="179">
        <v>6.35</v>
      </c>
      <c r="G21" s="179">
        <v>9.5299999999999994</v>
      </c>
      <c r="H21" s="179">
        <v>12.7</v>
      </c>
      <c r="I21" s="179">
        <v>9.5299999999999994</v>
      </c>
      <c r="J21" s="179">
        <v>15.09</v>
      </c>
      <c r="K21" s="178"/>
      <c r="L21" s="180">
        <v>20.62</v>
      </c>
      <c r="M21" s="180">
        <v>12.7</v>
      </c>
      <c r="N21" s="180">
        <v>26.19</v>
      </c>
      <c r="O21" s="180">
        <v>32.54</v>
      </c>
      <c r="P21" s="180">
        <v>38.1</v>
      </c>
      <c r="Q21" s="180">
        <v>44.45</v>
      </c>
      <c r="R21" s="180">
        <v>50.01</v>
      </c>
      <c r="S21" s="168"/>
    </row>
    <row r="22" spans="1:19">
      <c r="A22" s="178" t="s">
        <v>1688</v>
      </c>
      <c r="B22" s="178">
        <v>550</v>
      </c>
      <c r="C22" s="178">
        <v>558.79999999999995</v>
      </c>
      <c r="D22" s="179">
        <v>4.78</v>
      </c>
      <c r="E22" s="179">
        <v>5.54</v>
      </c>
      <c r="F22" s="179">
        <v>6.35</v>
      </c>
      <c r="G22" s="179">
        <v>9.5299999999999994</v>
      </c>
      <c r="H22" s="179">
        <v>12.7</v>
      </c>
      <c r="I22" s="179">
        <v>9.5299999999999994</v>
      </c>
      <c r="J22" s="178"/>
      <c r="K22" s="178"/>
      <c r="L22" s="180">
        <v>22.23</v>
      </c>
      <c r="M22" s="180">
        <v>12.7</v>
      </c>
      <c r="N22" s="180">
        <v>28.58</v>
      </c>
      <c r="O22" s="180">
        <v>34.93</v>
      </c>
      <c r="P22" s="180">
        <v>41.28</v>
      </c>
      <c r="Q22" s="180">
        <v>47.63</v>
      </c>
      <c r="R22" s="180">
        <v>53.98</v>
      </c>
      <c r="S22" s="168"/>
    </row>
    <row r="23" spans="1:19">
      <c r="A23" s="178" t="s">
        <v>1689</v>
      </c>
      <c r="B23" s="178">
        <v>600</v>
      </c>
      <c r="C23" s="178">
        <v>609.6</v>
      </c>
      <c r="D23" s="179">
        <v>5.54</v>
      </c>
      <c r="E23" s="179">
        <v>6.35</v>
      </c>
      <c r="F23" s="179">
        <v>6.35</v>
      </c>
      <c r="G23" s="179">
        <v>9.5299999999999994</v>
      </c>
      <c r="H23" s="179">
        <v>14.27</v>
      </c>
      <c r="I23" s="179">
        <v>9.5299999999999994</v>
      </c>
      <c r="J23" s="179">
        <v>17.48</v>
      </c>
      <c r="K23" s="178"/>
      <c r="L23" s="180">
        <v>24.61</v>
      </c>
      <c r="M23" s="180">
        <v>12.7</v>
      </c>
      <c r="N23" s="180">
        <v>30.96</v>
      </c>
      <c r="O23" s="180">
        <v>38.89</v>
      </c>
      <c r="P23" s="180">
        <v>46.02</v>
      </c>
      <c r="Q23" s="180">
        <v>52.37</v>
      </c>
      <c r="R23" s="180">
        <v>59.54</v>
      </c>
      <c r="S23" s="168"/>
    </row>
    <row r="24" spans="1:19">
      <c r="A24" s="178" t="s">
        <v>1690</v>
      </c>
      <c r="B24" s="178">
        <v>650</v>
      </c>
      <c r="C24" s="178">
        <v>660.4</v>
      </c>
      <c r="D24" s="178"/>
      <c r="E24" s="178"/>
      <c r="F24" s="179">
        <v>7.92</v>
      </c>
      <c r="G24" s="179">
        <v>12.7</v>
      </c>
      <c r="H24" s="178"/>
      <c r="I24" s="179">
        <v>9.5299999999999994</v>
      </c>
      <c r="J24" s="178"/>
      <c r="K24" s="178"/>
      <c r="L24" s="168"/>
      <c r="M24" s="180">
        <v>12.7</v>
      </c>
      <c r="N24" s="168"/>
      <c r="O24" s="168"/>
      <c r="P24" s="168"/>
      <c r="Q24" s="168"/>
      <c r="R24" s="168"/>
      <c r="S24" s="168"/>
    </row>
    <row r="25" spans="1:19">
      <c r="A25" s="178" t="s">
        <v>1691</v>
      </c>
      <c r="B25" s="178">
        <v>700</v>
      </c>
      <c r="C25" s="178">
        <v>711.2</v>
      </c>
      <c r="D25" s="178"/>
      <c r="E25" s="178"/>
      <c r="F25" s="179">
        <v>7.92</v>
      </c>
      <c r="G25" s="179">
        <v>12.7</v>
      </c>
      <c r="H25" s="179">
        <v>15.88</v>
      </c>
      <c r="I25" s="179">
        <v>9.5299999999999994</v>
      </c>
      <c r="J25" s="178"/>
      <c r="K25" s="178"/>
      <c r="L25" s="168"/>
      <c r="M25" s="180">
        <v>12.7</v>
      </c>
      <c r="N25" s="168"/>
      <c r="O25" s="168"/>
      <c r="P25" s="168"/>
      <c r="Q25" s="168"/>
      <c r="R25" s="168"/>
      <c r="S25" s="168"/>
    </row>
    <row r="26" spans="1:19">
      <c r="A26" s="178" t="s">
        <v>1692</v>
      </c>
      <c r="B26" s="178">
        <v>750</v>
      </c>
      <c r="C26" s="178">
        <v>762</v>
      </c>
      <c r="D26" s="179">
        <v>6.35</v>
      </c>
      <c r="E26" s="179">
        <v>7.92</v>
      </c>
      <c r="F26" s="179">
        <v>7.92</v>
      </c>
      <c r="G26" s="179">
        <v>12.7</v>
      </c>
      <c r="H26" s="179">
        <v>15.88</v>
      </c>
      <c r="I26" s="179">
        <v>9.5299999999999994</v>
      </c>
      <c r="J26" s="178"/>
      <c r="K26" s="178"/>
      <c r="L26" s="168"/>
      <c r="M26" s="180">
        <v>12.7</v>
      </c>
      <c r="N26" s="168"/>
      <c r="O26" s="168"/>
      <c r="P26" s="168"/>
      <c r="Q26" s="168"/>
      <c r="R26" s="168"/>
      <c r="S26" s="168"/>
    </row>
    <row r="27" spans="1:19">
      <c r="A27" s="178" t="s">
        <v>1693</v>
      </c>
      <c r="B27" s="178">
        <v>800</v>
      </c>
      <c r="C27" s="178">
        <v>812.8</v>
      </c>
      <c r="D27" s="178"/>
      <c r="E27" s="178"/>
      <c r="F27" s="179">
        <v>7.92</v>
      </c>
      <c r="G27" s="179">
        <v>12.7</v>
      </c>
      <c r="H27" s="179">
        <v>15.88</v>
      </c>
      <c r="I27" s="179">
        <v>9.5299999999999994</v>
      </c>
      <c r="J27" s="179">
        <v>17.48</v>
      </c>
      <c r="K27" s="178"/>
      <c r="L27" s="168"/>
      <c r="M27" s="180">
        <v>12.7</v>
      </c>
      <c r="N27" s="168"/>
      <c r="O27" s="168"/>
      <c r="P27" s="168"/>
      <c r="Q27" s="168"/>
      <c r="R27" s="168"/>
      <c r="S27" s="168"/>
    </row>
    <row r="28" spans="1:19">
      <c r="A28" s="178" t="s">
        <v>1694</v>
      </c>
      <c r="B28" s="178">
        <v>850</v>
      </c>
      <c r="C28" s="178">
        <v>863.6</v>
      </c>
      <c r="D28" s="178"/>
      <c r="E28" s="178"/>
      <c r="F28" s="179">
        <v>7.92</v>
      </c>
      <c r="G28" s="179">
        <v>12.7</v>
      </c>
      <c r="H28" s="179">
        <v>15.88</v>
      </c>
      <c r="I28" s="179">
        <v>9.5299999999999994</v>
      </c>
      <c r="J28" s="179">
        <v>17.48</v>
      </c>
      <c r="K28" s="178"/>
      <c r="L28" s="168"/>
      <c r="M28" s="180">
        <v>12.7</v>
      </c>
      <c r="N28" s="168"/>
      <c r="O28" s="168"/>
      <c r="P28" s="168"/>
      <c r="Q28" s="168"/>
      <c r="R28" s="168"/>
      <c r="S28" s="168"/>
    </row>
    <row r="29" spans="1:19">
      <c r="A29" s="178" t="s">
        <v>1695</v>
      </c>
      <c r="B29" s="178">
        <v>900</v>
      </c>
      <c r="C29" s="178">
        <v>914.4</v>
      </c>
      <c r="D29" s="178"/>
      <c r="E29" s="178"/>
      <c r="F29" s="179">
        <v>7.92</v>
      </c>
      <c r="G29" s="179">
        <v>12.7</v>
      </c>
      <c r="H29" s="179">
        <v>15.88</v>
      </c>
      <c r="I29" s="179">
        <v>9.5299999999999994</v>
      </c>
      <c r="J29" s="179">
        <v>19.05</v>
      </c>
      <c r="K29" s="178"/>
      <c r="L29" s="168"/>
      <c r="M29" s="180">
        <v>12.7</v>
      </c>
      <c r="N29" s="168"/>
      <c r="O29" s="168"/>
      <c r="P29" s="168"/>
      <c r="Q29" s="168"/>
      <c r="R29" s="168"/>
      <c r="S29" s="168"/>
    </row>
    <row r="30" spans="1:19">
      <c r="A30" s="178" t="s">
        <v>1696</v>
      </c>
      <c r="B30" s="178">
        <v>950</v>
      </c>
      <c r="C30" s="178">
        <v>965.2</v>
      </c>
      <c r="D30" s="178"/>
      <c r="E30" s="178"/>
      <c r="F30" s="178"/>
      <c r="G30" s="178"/>
      <c r="H30" s="178"/>
      <c r="I30" s="179">
        <v>9.5299999999999994</v>
      </c>
      <c r="J30" s="178"/>
      <c r="K30" s="178"/>
      <c r="L30" s="168"/>
      <c r="M30" s="180">
        <v>12.7</v>
      </c>
      <c r="N30" s="168"/>
      <c r="O30" s="168"/>
      <c r="P30" s="168"/>
      <c r="Q30" s="168"/>
      <c r="R30" s="168"/>
      <c r="S30" s="168"/>
    </row>
    <row r="31" spans="1:19">
      <c r="A31" s="178" t="s">
        <v>1697</v>
      </c>
      <c r="B31" s="178">
        <v>1000</v>
      </c>
      <c r="C31" s="178">
        <v>1016</v>
      </c>
      <c r="D31" s="178"/>
      <c r="E31" s="178"/>
      <c r="F31" s="178"/>
      <c r="G31" s="178"/>
      <c r="H31" s="178"/>
      <c r="I31" s="179">
        <v>9.5299999999999994</v>
      </c>
      <c r="J31" s="178"/>
      <c r="K31" s="178"/>
      <c r="L31" s="168"/>
      <c r="M31" s="180">
        <v>12.7</v>
      </c>
      <c r="N31" s="168"/>
      <c r="O31" s="168"/>
      <c r="P31" s="168"/>
      <c r="Q31" s="168"/>
      <c r="R31" s="168"/>
      <c r="S31" s="168"/>
    </row>
    <row r="32" spans="1:19">
      <c r="A32" s="178" t="s">
        <v>1698</v>
      </c>
      <c r="B32" s="178">
        <v>1050</v>
      </c>
      <c r="C32" s="178">
        <v>1066.8</v>
      </c>
      <c r="D32" s="178"/>
      <c r="E32" s="178"/>
      <c r="F32" s="178"/>
      <c r="G32" s="178"/>
      <c r="H32" s="178"/>
      <c r="I32" s="179">
        <v>9.5299999999999994</v>
      </c>
      <c r="J32" s="178"/>
      <c r="K32" s="178"/>
      <c r="L32" s="168"/>
      <c r="M32" s="180">
        <v>12.7</v>
      </c>
      <c r="N32" s="168"/>
      <c r="O32" s="168"/>
      <c r="P32" s="168"/>
      <c r="Q32" s="168"/>
      <c r="R32" s="168"/>
      <c r="S32" s="168"/>
    </row>
    <row r="33" spans="1:19">
      <c r="A33" s="178" t="s">
        <v>1699</v>
      </c>
      <c r="B33" s="178">
        <v>1100</v>
      </c>
      <c r="C33" s="178">
        <v>1117.5999999999999</v>
      </c>
      <c r="D33" s="178"/>
      <c r="E33" s="178"/>
      <c r="F33" s="178"/>
      <c r="G33" s="178"/>
      <c r="H33" s="178"/>
      <c r="I33" s="179">
        <v>9.5299999999999994</v>
      </c>
      <c r="J33" s="178"/>
      <c r="K33" s="178"/>
      <c r="L33" s="168"/>
      <c r="M33" s="180">
        <v>12.7</v>
      </c>
      <c r="N33" s="168"/>
      <c r="O33" s="168"/>
      <c r="P33" s="168"/>
      <c r="Q33" s="168"/>
      <c r="R33" s="168"/>
      <c r="S33" s="168"/>
    </row>
    <row r="34" spans="1:19">
      <c r="A34" s="178" t="s">
        <v>1700</v>
      </c>
      <c r="B34" s="178">
        <v>1150</v>
      </c>
      <c r="C34" s="178">
        <v>1168.4000000000001</v>
      </c>
      <c r="D34" s="178"/>
      <c r="E34" s="178"/>
      <c r="F34" s="178"/>
      <c r="G34" s="178"/>
      <c r="H34" s="178"/>
      <c r="I34" s="179">
        <v>9.5299999999999994</v>
      </c>
      <c r="J34" s="178"/>
      <c r="K34" s="178"/>
      <c r="L34" s="168"/>
      <c r="M34" s="180">
        <v>12.7</v>
      </c>
      <c r="N34" s="168"/>
      <c r="O34" s="168"/>
      <c r="P34" s="168"/>
      <c r="Q34" s="168"/>
      <c r="R34" s="168"/>
      <c r="S34" s="168"/>
    </row>
    <row r="35" spans="1:19">
      <c r="A35" s="178" t="s">
        <v>1701</v>
      </c>
      <c r="B35" s="178">
        <v>1200</v>
      </c>
      <c r="C35" s="178">
        <v>1219.2</v>
      </c>
      <c r="D35" s="178"/>
      <c r="E35" s="178"/>
      <c r="F35" s="178"/>
      <c r="G35" s="178"/>
      <c r="H35" s="178"/>
      <c r="I35" s="179">
        <v>9.5299999999999994</v>
      </c>
      <c r="J35" s="178"/>
      <c r="K35" s="178"/>
      <c r="L35" s="178"/>
      <c r="M35" s="179">
        <v>12.7</v>
      </c>
      <c r="N35" s="178"/>
      <c r="O35" s="178"/>
      <c r="P35" s="178"/>
      <c r="Q35" s="178"/>
      <c r="R35" s="104"/>
      <c r="S35" s="104"/>
    </row>
  </sheetData>
  <mergeCells count="1">
    <mergeCell ref="A1:S1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382"/>
  <sheetViews>
    <sheetView topLeftCell="A166" workbookViewId="0">
      <selection activeCell="B3" sqref="B3"/>
    </sheetView>
  </sheetViews>
  <sheetFormatPr defaultRowHeight="15.75"/>
  <cols>
    <col min="1" max="16384" width="9" style="28"/>
  </cols>
  <sheetData>
    <row r="1" spans="1:20" customFormat="1">
      <c r="A1" s="213" t="s">
        <v>1184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</row>
    <row r="2" spans="1:20" customFormat="1" ht="14.25" customHeight="1">
      <c r="A2" s="214" t="s">
        <v>1207</v>
      </c>
      <c r="B2" s="217" t="s">
        <v>1208</v>
      </c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4" t="s">
        <v>1207</v>
      </c>
    </row>
    <row r="3" spans="1:20" customFormat="1" ht="14.25" customHeight="1">
      <c r="A3" s="215"/>
      <c r="B3" s="219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15"/>
    </row>
    <row r="4" spans="1:20" customFormat="1" ht="14.25" customHeight="1" thickBot="1">
      <c r="A4" s="215"/>
      <c r="B4" s="222" t="s">
        <v>1209</v>
      </c>
      <c r="C4" s="223"/>
      <c r="D4" s="223"/>
      <c r="E4" s="223"/>
      <c r="F4" s="223"/>
      <c r="G4" s="224"/>
      <c r="H4" s="222" t="s">
        <v>1210</v>
      </c>
      <c r="I4" s="223"/>
      <c r="J4" s="223"/>
      <c r="K4" s="223"/>
      <c r="L4" s="224"/>
      <c r="M4" s="222" t="s">
        <v>1211</v>
      </c>
      <c r="N4" s="223"/>
      <c r="O4" s="223"/>
      <c r="P4" s="223"/>
      <c r="Q4" s="223"/>
      <c r="R4" s="223"/>
      <c r="S4" s="223"/>
      <c r="T4" s="215"/>
    </row>
    <row r="5" spans="1:20" customFormat="1">
      <c r="A5" s="216"/>
      <c r="B5" s="118" t="s">
        <v>1212</v>
      </c>
      <c r="C5" s="119" t="s">
        <v>1213</v>
      </c>
      <c r="D5" s="119" t="s">
        <v>1214</v>
      </c>
      <c r="E5" s="120" t="s">
        <v>1186</v>
      </c>
      <c r="F5" s="120" t="s">
        <v>1187</v>
      </c>
      <c r="G5" s="121" t="s">
        <v>1189</v>
      </c>
      <c r="H5" s="122" t="s">
        <v>1213</v>
      </c>
      <c r="I5" s="120" t="s">
        <v>1214</v>
      </c>
      <c r="J5" s="120" t="s">
        <v>1186</v>
      </c>
      <c r="K5" s="120" t="s">
        <v>1187</v>
      </c>
      <c r="L5" s="121" t="s">
        <v>1189</v>
      </c>
      <c r="M5" s="122" t="s">
        <v>1214</v>
      </c>
      <c r="N5" s="120" t="s">
        <v>1186</v>
      </c>
      <c r="O5" s="120" t="s">
        <v>1187</v>
      </c>
      <c r="P5" s="120" t="s">
        <v>1189</v>
      </c>
      <c r="Q5" s="120" t="s">
        <v>1215</v>
      </c>
      <c r="R5" s="120" t="s">
        <v>1216</v>
      </c>
      <c r="S5" s="121" t="s">
        <v>1217</v>
      </c>
      <c r="T5" s="221"/>
    </row>
    <row r="6" spans="1:20" customFormat="1">
      <c r="A6" s="123" t="s">
        <v>1218</v>
      </c>
      <c r="B6" s="124"/>
      <c r="C6" s="41"/>
      <c r="D6" s="41"/>
      <c r="E6" s="41"/>
      <c r="F6" s="41"/>
      <c r="G6" s="125"/>
      <c r="H6" s="124"/>
      <c r="I6" s="41"/>
      <c r="J6" s="41"/>
      <c r="K6" s="41"/>
      <c r="L6" s="125"/>
      <c r="M6" s="124"/>
      <c r="N6" s="41"/>
      <c r="O6" s="41"/>
      <c r="P6" s="41"/>
      <c r="Q6" s="41"/>
      <c r="R6" s="41"/>
      <c r="S6" s="125"/>
      <c r="T6" s="126" t="s">
        <v>1218</v>
      </c>
    </row>
    <row r="7" spans="1:20" customFormat="1">
      <c r="A7" s="123">
        <v>10</v>
      </c>
      <c r="B7" s="124">
        <v>0.5</v>
      </c>
      <c r="C7" s="41">
        <v>0.5</v>
      </c>
      <c r="D7" s="41">
        <v>0.6</v>
      </c>
      <c r="E7" s="41">
        <v>0.6</v>
      </c>
      <c r="F7" s="41">
        <v>0.6</v>
      </c>
      <c r="G7" s="125">
        <v>0.6</v>
      </c>
      <c r="H7" s="124">
        <v>0.5</v>
      </c>
      <c r="I7" s="41">
        <v>0.5</v>
      </c>
      <c r="J7" s="41">
        <v>0.5</v>
      </c>
      <c r="K7" s="41">
        <v>0.5</v>
      </c>
      <c r="L7" s="125">
        <v>0.5</v>
      </c>
      <c r="M7" s="124">
        <v>0.5</v>
      </c>
      <c r="N7" s="41">
        <v>0.5</v>
      </c>
      <c r="O7" s="41">
        <v>0.5</v>
      </c>
      <c r="P7" s="41">
        <v>0.5</v>
      </c>
      <c r="Q7" s="41">
        <v>1</v>
      </c>
      <c r="R7" s="41">
        <v>1</v>
      </c>
      <c r="S7" s="127">
        <v>1.5</v>
      </c>
      <c r="T7" s="126"/>
    </row>
    <row r="8" spans="1:20" customFormat="1">
      <c r="A8" s="123">
        <v>15</v>
      </c>
      <c r="B8" s="124">
        <v>0.5</v>
      </c>
      <c r="C8" s="41">
        <v>0.5</v>
      </c>
      <c r="D8" s="41">
        <v>0.5</v>
      </c>
      <c r="E8" s="41">
        <v>0.5</v>
      </c>
      <c r="F8" s="41">
        <v>0.5</v>
      </c>
      <c r="G8" s="125">
        <v>0.5</v>
      </c>
      <c r="H8" s="124">
        <v>0.5</v>
      </c>
      <c r="I8" s="41">
        <v>0.5</v>
      </c>
      <c r="J8" s="41">
        <v>0.5</v>
      </c>
      <c r="K8" s="41">
        <v>0.5</v>
      </c>
      <c r="L8" s="125">
        <v>0.5</v>
      </c>
      <c r="M8" s="124">
        <v>1</v>
      </c>
      <c r="N8" s="41">
        <v>1</v>
      </c>
      <c r="O8" s="41">
        <v>1</v>
      </c>
      <c r="P8" s="41">
        <v>1</v>
      </c>
      <c r="Q8" s="41">
        <v>1</v>
      </c>
      <c r="R8" s="41">
        <v>1</v>
      </c>
      <c r="S8" s="127">
        <v>1.5</v>
      </c>
      <c r="T8" s="126">
        <v>15</v>
      </c>
    </row>
    <row r="9" spans="1:20" customFormat="1">
      <c r="A9" s="123">
        <v>20</v>
      </c>
      <c r="B9" s="124">
        <v>0.5</v>
      </c>
      <c r="C9" s="41">
        <v>0.5</v>
      </c>
      <c r="D9" s="41">
        <v>1</v>
      </c>
      <c r="E9" s="41">
        <v>1</v>
      </c>
      <c r="F9" s="41">
        <v>1</v>
      </c>
      <c r="G9" s="125">
        <v>1</v>
      </c>
      <c r="H9" s="124">
        <v>0.5</v>
      </c>
      <c r="I9" s="41">
        <v>1</v>
      </c>
      <c r="J9" s="41">
        <v>1</v>
      </c>
      <c r="K9" s="41">
        <v>1</v>
      </c>
      <c r="L9" s="125">
        <v>1</v>
      </c>
      <c r="M9" s="124">
        <v>1</v>
      </c>
      <c r="N9" s="41">
        <v>1</v>
      </c>
      <c r="O9" s="41">
        <v>1</v>
      </c>
      <c r="P9" s="41">
        <v>1</v>
      </c>
      <c r="Q9" s="41">
        <v>2</v>
      </c>
      <c r="R9" s="41">
        <v>2</v>
      </c>
      <c r="S9" s="125">
        <v>2.5</v>
      </c>
      <c r="T9" s="126">
        <v>20</v>
      </c>
    </row>
    <row r="10" spans="1:20" customFormat="1">
      <c r="A10" s="123">
        <v>25</v>
      </c>
      <c r="B10" s="124">
        <v>0.5</v>
      </c>
      <c r="C10" s="41">
        <v>0.5</v>
      </c>
      <c r="D10" s="41">
        <v>1</v>
      </c>
      <c r="E10" s="41">
        <v>1</v>
      </c>
      <c r="F10" s="41">
        <v>1</v>
      </c>
      <c r="G10" s="125">
        <v>1</v>
      </c>
      <c r="H10" s="124">
        <v>1</v>
      </c>
      <c r="I10" s="41">
        <v>1.5</v>
      </c>
      <c r="J10" s="41">
        <v>1.5</v>
      </c>
      <c r="K10" s="41">
        <v>1.5</v>
      </c>
      <c r="L10" s="125">
        <v>1.5</v>
      </c>
      <c r="M10" s="124">
        <v>1</v>
      </c>
      <c r="N10" s="41">
        <v>1</v>
      </c>
      <c r="O10" s="41">
        <v>1</v>
      </c>
      <c r="P10" s="41">
        <v>1</v>
      </c>
      <c r="Q10" s="41">
        <v>2.5</v>
      </c>
      <c r="R10" s="41">
        <v>2.5</v>
      </c>
      <c r="S10" s="125">
        <v>3</v>
      </c>
      <c r="T10" s="126">
        <v>25</v>
      </c>
    </row>
    <row r="11" spans="1:20" customFormat="1">
      <c r="A11" s="123">
        <v>32</v>
      </c>
      <c r="B11" s="124">
        <v>1</v>
      </c>
      <c r="C11" s="41">
        <v>1</v>
      </c>
      <c r="D11" s="41">
        <v>2</v>
      </c>
      <c r="E11" s="41">
        <v>2</v>
      </c>
      <c r="F11" s="41">
        <v>2</v>
      </c>
      <c r="G11" s="125">
        <v>2</v>
      </c>
      <c r="H11" s="124">
        <v>1</v>
      </c>
      <c r="I11" s="41">
        <v>2</v>
      </c>
      <c r="J11" s="41">
        <v>2</v>
      </c>
      <c r="K11" s="41">
        <v>2</v>
      </c>
      <c r="L11" s="125">
        <v>2</v>
      </c>
      <c r="M11" s="124">
        <v>2</v>
      </c>
      <c r="N11" s="41">
        <v>2</v>
      </c>
      <c r="O11" s="41">
        <v>2</v>
      </c>
      <c r="P11" s="41">
        <v>2</v>
      </c>
      <c r="Q11" s="41">
        <v>3</v>
      </c>
      <c r="R11" s="41">
        <v>3</v>
      </c>
      <c r="S11" s="125">
        <v>4</v>
      </c>
      <c r="T11" s="126">
        <v>32</v>
      </c>
    </row>
    <row r="12" spans="1:20" customFormat="1">
      <c r="A12" s="123">
        <v>40</v>
      </c>
      <c r="B12" s="124">
        <v>1.5</v>
      </c>
      <c r="C12" s="41">
        <v>1.5</v>
      </c>
      <c r="D12" s="41">
        <v>2</v>
      </c>
      <c r="E12" s="41">
        <v>2</v>
      </c>
      <c r="F12" s="41">
        <v>2</v>
      </c>
      <c r="G12" s="125">
        <v>2</v>
      </c>
      <c r="H12" s="124">
        <v>1.5</v>
      </c>
      <c r="I12" s="41">
        <v>2</v>
      </c>
      <c r="J12" s="41">
        <v>2</v>
      </c>
      <c r="K12" s="41">
        <v>2</v>
      </c>
      <c r="L12" s="125">
        <v>2</v>
      </c>
      <c r="M12" s="124">
        <v>2</v>
      </c>
      <c r="N12" s="41">
        <v>2</v>
      </c>
      <c r="O12" s="41">
        <v>2</v>
      </c>
      <c r="P12" s="41">
        <v>2</v>
      </c>
      <c r="Q12" s="41">
        <v>4</v>
      </c>
      <c r="R12" s="41">
        <v>4</v>
      </c>
      <c r="S12" s="125">
        <v>4.5</v>
      </c>
      <c r="T12" s="126">
        <v>40</v>
      </c>
    </row>
    <row r="13" spans="1:20" customFormat="1">
      <c r="A13" s="123">
        <v>50</v>
      </c>
      <c r="B13" s="124">
        <v>1.5</v>
      </c>
      <c r="C13" s="41">
        <v>1.5</v>
      </c>
      <c r="D13" s="41">
        <v>2.5</v>
      </c>
      <c r="E13" s="41">
        <v>2.5</v>
      </c>
      <c r="F13" s="41">
        <v>2.5</v>
      </c>
      <c r="G13" s="125">
        <v>2.5</v>
      </c>
      <c r="H13" s="124">
        <v>1.5</v>
      </c>
      <c r="I13" s="41">
        <v>2.5</v>
      </c>
      <c r="J13" s="41">
        <v>2.5</v>
      </c>
      <c r="K13" s="41">
        <v>3</v>
      </c>
      <c r="L13" s="125">
        <v>3</v>
      </c>
      <c r="M13" s="124">
        <v>2.5</v>
      </c>
      <c r="N13" s="41">
        <v>2.5</v>
      </c>
      <c r="O13" s="41">
        <v>3</v>
      </c>
      <c r="P13" s="41">
        <v>3</v>
      </c>
      <c r="Q13" s="41">
        <v>4.5</v>
      </c>
      <c r="R13" s="41">
        <v>6</v>
      </c>
      <c r="S13" s="125">
        <v>6.5</v>
      </c>
      <c r="T13" s="126">
        <v>50</v>
      </c>
    </row>
    <row r="14" spans="1:20" customFormat="1">
      <c r="A14" s="123">
        <v>65</v>
      </c>
      <c r="B14" s="124">
        <v>2</v>
      </c>
      <c r="C14" s="41">
        <v>2</v>
      </c>
      <c r="D14" s="41">
        <v>3</v>
      </c>
      <c r="E14" s="41">
        <v>3</v>
      </c>
      <c r="F14" s="41">
        <v>3.5</v>
      </c>
      <c r="G14" s="125">
        <v>3.5</v>
      </c>
      <c r="H14" s="124">
        <v>2</v>
      </c>
      <c r="I14" s="41">
        <v>3</v>
      </c>
      <c r="J14" s="41">
        <v>3</v>
      </c>
      <c r="K14" s="41">
        <v>4</v>
      </c>
      <c r="L14" s="125">
        <v>4</v>
      </c>
      <c r="M14" s="124">
        <v>3</v>
      </c>
      <c r="N14" s="41">
        <v>3</v>
      </c>
      <c r="O14" s="41">
        <v>4</v>
      </c>
      <c r="P14" s="41">
        <v>4</v>
      </c>
      <c r="Q14" s="41">
        <v>5.5</v>
      </c>
      <c r="R14" s="41">
        <v>7.5</v>
      </c>
      <c r="S14" s="125">
        <v>9.5</v>
      </c>
      <c r="T14" s="126">
        <v>65</v>
      </c>
    </row>
    <row r="15" spans="1:20" customFormat="1">
      <c r="A15" s="123">
        <v>80</v>
      </c>
      <c r="B15" s="124">
        <v>3</v>
      </c>
      <c r="C15" s="41">
        <v>3</v>
      </c>
      <c r="D15" s="41">
        <v>3.5</v>
      </c>
      <c r="E15" s="41">
        <v>3.5</v>
      </c>
      <c r="F15" s="41">
        <v>4.5</v>
      </c>
      <c r="G15" s="125">
        <v>4.5</v>
      </c>
      <c r="H15" s="124">
        <v>3</v>
      </c>
      <c r="I15" s="41">
        <v>4</v>
      </c>
      <c r="J15" s="41">
        <v>4</v>
      </c>
      <c r="K15" s="41">
        <v>4.5</v>
      </c>
      <c r="L15" s="125">
        <v>4.5</v>
      </c>
      <c r="M15" s="124">
        <v>4</v>
      </c>
      <c r="N15" s="41">
        <v>4</v>
      </c>
      <c r="O15" s="41">
        <v>5</v>
      </c>
      <c r="P15" s="41">
        <v>5</v>
      </c>
      <c r="Q15" s="41">
        <v>6.5</v>
      </c>
      <c r="R15" s="41">
        <v>9</v>
      </c>
      <c r="S15" s="125"/>
      <c r="T15" s="126">
        <v>80</v>
      </c>
    </row>
    <row r="16" spans="1:20" customFormat="1">
      <c r="A16" s="123">
        <v>100</v>
      </c>
      <c r="B16" s="124">
        <v>3.5</v>
      </c>
      <c r="C16" s="41">
        <v>3.5</v>
      </c>
      <c r="D16" s="41">
        <v>4.5</v>
      </c>
      <c r="E16" s="41">
        <v>4.5</v>
      </c>
      <c r="F16" s="41">
        <v>6</v>
      </c>
      <c r="G16" s="125">
        <v>6</v>
      </c>
      <c r="H16" s="124">
        <v>3</v>
      </c>
      <c r="I16" s="41">
        <v>4.5</v>
      </c>
      <c r="J16" s="41">
        <v>4.5</v>
      </c>
      <c r="K16" s="41">
        <v>6.5</v>
      </c>
      <c r="L16" s="125">
        <v>6.5</v>
      </c>
      <c r="M16" s="124">
        <v>4.5</v>
      </c>
      <c r="N16" s="41">
        <v>4.5</v>
      </c>
      <c r="O16" s="41">
        <v>6.5</v>
      </c>
      <c r="P16" s="41">
        <v>6.5</v>
      </c>
      <c r="Q16" s="41"/>
      <c r="R16" s="41"/>
      <c r="S16" s="125"/>
      <c r="T16" s="126">
        <v>100</v>
      </c>
    </row>
    <row r="17" spans="1:20" customFormat="1">
      <c r="A17" s="123">
        <v>125</v>
      </c>
      <c r="B17" s="124">
        <v>4.5</v>
      </c>
      <c r="C17" s="41">
        <v>4.5</v>
      </c>
      <c r="D17" s="41">
        <v>5.5</v>
      </c>
      <c r="E17" s="41">
        <v>5.5</v>
      </c>
      <c r="F17" s="41">
        <v>8</v>
      </c>
      <c r="G17" s="125">
        <v>8</v>
      </c>
      <c r="H17" s="124">
        <v>4.5</v>
      </c>
      <c r="I17" s="41">
        <v>6.5</v>
      </c>
      <c r="J17" s="41">
        <v>6.5</v>
      </c>
      <c r="K17" s="41">
        <v>8.5</v>
      </c>
      <c r="L17" s="125">
        <v>8.5</v>
      </c>
      <c r="M17" s="124">
        <v>6.5</v>
      </c>
      <c r="N17" s="41">
        <v>6.5</v>
      </c>
      <c r="O17" s="41">
        <v>9</v>
      </c>
      <c r="P17" s="41">
        <v>9</v>
      </c>
      <c r="Q17" s="41"/>
      <c r="R17" s="41"/>
      <c r="S17" s="125"/>
      <c r="T17" s="126">
        <v>125</v>
      </c>
    </row>
    <row r="18" spans="1:20" customFormat="1">
      <c r="A18" s="123">
        <v>150</v>
      </c>
      <c r="B18" s="124">
        <v>5</v>
      </c>
      <c r="C18" s="41">
        <v>5</v>
      </c>
      <c r="D18" s="41">
        <v>7</v>
      </c>
      <c r="E18" s="41">
        <v>7</v>
      </c>
      <c r="F18" s="41">
        <v>10.5</v>
      </c>
      <c r="G18" s="125">
        <v>10.8</v>
      </c>
      <c r="H18" s="124">
        <v>5</v>
      </c>
      <c r="I18" s="41">
        <v>7.5</v>
      </c>
      <c r="J18" s="41">
        <v>7.5</v>
      </c>
      <c r="K18" s="41">
        <v>11</v>
      </c>
      <c r="L18" s="125">
        <v>11</v>
      </c>
      <c r="M18" s="124">
        <v>7.5</v>
      </c>
      <c r="N18" s="41">
        <v>7.5</v>
      </c>
      <c r="O18" s="41">
        <v>11.5</v>
      </c>
      <c r="P18" s="41">
        <v>11.5</v>
      </c>
      <c r="Q18" s="41"/>
      <c r="R18" s="41"/>
      <c r="S18" s="125"/>
      <c r="T18" s="126">
        <v>150</v>
      </c>
    </row>
    <row r="19" spans="1:20" customFormat="1">
      <c r="A19" s="123">
        <v>200</v>
      </c>
      <c r="B19" s="124">
        <v>7</v>
      </c>
      <c r="C19" s="41">
        <v>7</v>
      </c>
      <c r="D19" s="41">
        <v>9.5</v>
      </c>
      <c r="E19" s="41">
        <v>9.5</v>
      </c>
      <c r="F19" s="41">
        <v>14.5</v>
      </c>
      <c r="G19" s="125">
        <v>18</v>
      </c>
      <c r="H19" s="124">
        <v>7</v>
      </c>
      <c r="I19" s="41">
        <v>10.5</v>
      </c>
      <c r="J19" s="41">
        <v>10</v>
      </c>
      <c r="K19" s="41">
        <v>15</v>
      </c>
      <c r="L19" s="125">
        <v>18.5</v>
      </c>
      <c r="M19" s="124">
        <v>11.5</v>
      </c>
      <c r="N19" s="41">
        <v>11</v>
      </c>
      <c r="O19" s="41">
        <v>17</v>
      </c>
      <c r="P19" s="41">
        <v>21</v>
      </c>
      <c r="Q19" s="41"/>
      <c r="R19" s="41"/>
      <c r="S19" s="125"/>
      <c r="T19" s="126">
        <v>200</v>
      </c>
    </row>
    <row r="20" spans="1:20" customFormat="1">
      <c r="A20" s="123">
        <v>250</v>
      </c>
      <c r="B20" s="124">
        <v>9</v>
      </c>
      <c r="C20" s="41">
        <v>9</v>
      </c>
      <c r="D20" s="41">
        <v>12</v>
      </c>
      <c r="E20" s="41">
        <v>14</v>
      </c>
      <c r="F20" s="41">
        <v>20</v>
      </c>
      <c r="G20" s="125">
        <v>29.5</v>
      </c>
      <c r="H20" s="124">
        <v>9</v>
      </c>
      <c r="I20" s="41">
        <v>13</v>
      </c>
      <c r="J20" s="41">
        <v>14</v>
      </c>
      <c r="K20" s="41">
        <v>21</v>
      </c>
      <c r="L20" s="125">
        <v>28.5</v>
      </c>
      <c r="M20" s="124">
        <v>15.5</v>
      </c>
      <c r="N20" s="41">
        <v>16.5</v>
      </c>
      <c r="O20" s="41">
        <v>24</v>
      </c>
      <c r="P20" s="41">
        <v>34</v>
      </c>
      <c r="Q20" s="41"/>
      <c r="R20" s="41"/>
      <c r="S20" s="125"/>
      <c r="T20" s="126">
        <v>250</v>
      </c>
    </row>
    <row r="21" spans="1:20" customFormat="1">
      <c r="A21" s="123">
        <v>300</v>
      </c>
      <c r="B21" s="124">
        <v>12</v>
      </c>
      <c r="C21" s="41">
        <v>12</v>
      </c>
      <c r="D21" s="41">
        <v>13.5</v>
      </c>
      <c r="E21" s="41">
        <v>19</v>
      </c>
      <c r="F21" s="41">
        <v>26.5</v>
      </c>
      <c r="G21" s="125">
        <v>41.5</v>
      </c>
      <c r="H21" s="124">
        <v>12</v>
      </c>
      <c r="I21" s="41">
        <v>15</v>
      </c>
      <c r="J21" s="41">
        <v>18</v>
      </c>
      <c r="K21" s="41">
        <v>28</v>
      </c>
      <c r="L21" s="125">
        <v>41.5</v>
      </c>
      <c r="M21" s="124">
        <v>18</v>
      </c>
      <c r="N21" s="41">
        <v>22</v>
      </c>
      <c r="O21" s="41">
        <v>31.5</v>
      </c>
      <c r="P21" s="41">
        <v>47.5</v>
      </c>
      <c r="Q21" s="41"/>
      <c r="R21" s="41"/>
      <c r="S21" s="125"/>
      <c r="T21" s="126">
        <v>300</v>
      </c>
    </row>
    <row r="22" spans="1:20" customFormat="1">
      <c r="A22" s="123">
        <v>350</v>
      </c>
      <c r="B22" s="124">
        <v>17</v>
      </c>
      <c r="C22" s="41">
        <v>17</v>
      </c>
      <c r="D22" s="41">
        <v>20.5</v>
      </c>
      <c r="E22" s="41">
        <v>28</v>
      </c>
      <c r="F22" s="41">
        <v>42</v>
      </c>
      <c r="G22" s="125">
        <v>62</v>
      </c>
      <c r="H22" s="124"/>
      <c r="I22" s="41">
        <v>23.5</v>
      </c>
      <c r="J22" s="41">
        <v>28.5</v>
      </c>
      <c r="K22" s="41">
        <v>46.5</v>
      </c>
      <c r="L22" s="125">
        <v>60</v>
      </c>
      <c r="M22" s="124">
        <v>24.5</v>
      </c>
      <c r="N22" s="41">
        <v>32</v>
      </c>
      <c r="O22" s="41">
        <v>48</v>
      </c>
      <c r="P22" s="41">
        <v>69</v>
      </c>
      <c r="Q22" s="41"/>
      <c r="R22" s="41"/>
      <c r="S22" s="125"/>
      <c r="T22" s="126">
        <v>350</v>
      </c>
    </row>
    <row r="23" spans="1:20" customFormat="1">
      <c r="A23" s="123">
        <v>400</v>
      </c>
      <c r="B23" s="124">
        <v>20</v>
      </c>
      <c r="C23" s="41">
        <v>20</v>
      </c>
      <c r="D23" s="41">
        <v>27.5</v>
      </c>
      <c r="E23" s="41">
        <v>36</v>
      </c>
      <c r="F23" s="41">
        <v>55</v>
      </c>
      <c r="G23" s="125">
        <v>89.5</v>
      </c>
      <c r="H23" s="124"/>
      <c r="I23" s="41">
        <v>29</v>
      </c>
      <c r="J23" s="41">
        <v>36.5</v>
      </c>
      <c r="K23" s="41">
        <v>59.5</v>
      </c>
      <c r="L23" s="125">
        <v>83.5</v>
      </c>
      <c r="M23" s="124">
        <v>29.5</v>
      </c>
      <c r="N23" s="41">
        <v>40</v>
      </c>
      <c r="O23" s="41">
        <v>63</v>
      </c>
      <c r="P23" s="41">
        <v>98</v>
      </c>
      <c r="Q23" s="41"/>
      <c r="R23" s="41"/>
      <c r="S23" s="125"/>
      <c r="T23" s="126">
        <v>400</v>
      </c>
    </row>
    <row r="24" spans="1:20" customFormat="1">
      <c r="A24" s="123">
        <v>450</v>
      </c>
      <c r="B24" s="124">
        <v>24.5</v>
      </c>
      <c r="C24" s="41">
        <v>24.5</v>
      </c>
      <c r="D24" s="41">
        <v>33.5</v>
      </c>
      <c r="E24" s="41">
        <v>46</v>
      </c>
      <c r="F24" s="41">
        <v>64.5</v>
      </c>
      <c r="G24" s="125">
        <v>91.5</v>
      </c>
      <c r="H24" s="124"/>
      <c r="I24" s="41">
        <v>33.5</v>
      </c>
      <c r="J24" s="41">
        <v>49.5</v>
      </c>
      <c r="K24" s="41">
        <v>71.5</v>
      </c>
      <c r="L24" s="125">
        <v>87.5</v>
      </c>
      <c r="M24" s="124">
        <v>34</v>
      </c>
      <c r="N24" s="41">
        <v>54.5</v>
      </c>
      <c r="O24" s="41">
        <v>75.5</v>
      </c>
      <c r="P24" s="41">
        <v>105.1</v>
      </c>
      <c r="Q24" s="41"/>
      <c r="R24" s="41"/>
      <c r="S24" s="125"/>
      <c r="T24" s="126">
        <v>450</v>
      </c>
    </row>
    <row r="25" spans="1:20" customFormat="1">
      <c r="A25" s="123">
        <v>500</v>
      </c>
      <c r="B25" s="124">
        <v>26.5</v>
      </c>
      <c r="C25" s="41">
        <v>26.5</v>
      </c>
      <c r="D25" s="41">
        <v>40</v>
      </c>
      <c r="E25" s="41">
        <v>64</v>
      </c>
      <c r="F25" s="41">
        <v>84</v>
      </c>
      <c r="G25" s="125">
        <v>120.5</v>
      </c>
      <c r="H25" s="124"/>
      <c r="I25" s="41">
        <v>40.5</v>
      </c>
      <c r="J25" s="41">
        <v>68.5</v>
      </c>
      <c r="K25" s="41">
        <v>89.5</v>
      </c>
      <c r="L25" s="125">
        <v>107.5</v>
      </c>
      <c r="M25" s="124">
        <v>39.5</v>
      </c>
      <c r="N25" s="41">
        <v>74</v>
      </c>
      <c r="O25" s="41">
        <v>96.5</v>
      </c>
      <c r="P25" s="41">
        <v>130.5</v>
      </c>
      <c r="Q25" s="41"/>
      <c r="R25" s="41"/>
      <c r="S25" s="125"/>
      <c r="T25" s="126">
        <v>500</v>
      </c>
    </row>
    <row r="26" spans="1:20" customFormat="1">
      <c r="A26" s="123">
        <v>600</v>
      </c>
      <c r="B26" s="124">
        <v>35</v>
      </c>
      <c r="C26" s="41">
        <v>35</v>
      </c>
      <c r="D26" s="41">
        <v>54.5</v>
      </c>
      <c r="E26" s="41">
        <v>96</v>
      </c>
      <c r="F26" s="117">
        <v>127.5</v>
      </c>
      <c r="G26" s="127">
        <v>189.5</v>
      </c>
      <c r="H26" s="124"/>
      <c r="I26" s="41">
        <v>56</v>
      </c>
      <c r="J26" s="41">
        <v>107.5</v>
      </c>
      <c r="K26" s="41">
        <v>139.5</v>
      </c>
      <c r="L26" s="125">
        <v>176</v>
      </c>
      <c r="M26" s="124">
        <v>56</v>
      </c>
      <c r="N26" s="41">
        <v>116.5</v>
      </c>
      <c r="O26" s="41">
        <v>138.6</v>
      </c>
      <c r="P26" s="41">
        <v>211.5</v>
      </c>
      <c r="Q26" s="41"/>
      <c r="R26" s="41"/>
      <c r="S26" s="125"/>
      <c r="T26" s="126">
        <v>600</v>
      </c>
    </row>
    <row r="27" spans="1:20" customFormat="1">
      <c r="A27" s="123">
        <v>700</v>
      </c>
      <c r="B27" s="124">
        <v>52</v>
      </c>
      <c r="C27" s="41"/>
      <c r="D27" s="41"/>
      <c r="E27" s="41"/>
      <c r="F27" s="128"/>
      <c r="G27" s="129"/>
      <c r="H27" s="124"/>
      <c r="I27" s="41"/>
      <c r="J27" s="41"/>
      <c r="K27" s="41"/>
      <c r="L27" s="125"/>
      <c r="M27" s="124">
        <v>65</v>
      </c>
      <c r="N27" s="130">
        <v>87</v>
      </c>
      <c r="O27" s="41"/>
      <c r="P27" s="41"/>
      <c r="Q27" s="41"/>
      <c r="R27" s="41"/>
      <c r="S27" s="125"/>
      <c r="T27" s="126">
        <v>700</v>
      </c>
    </row>
    <row r="28" spans="1:20" customFormat="1">
      <c r="A28" s="123">
        <v>800</v>
      </c>
      <c r="B28" s="124">
        <v>65</v>
      </c>
      <c r="C28" s="41"/>
      <c r="D28" s="41"/>
      <c r="E28" s="41"/>
      <c r="F28" s="41"/>
      <c r="G28" s="125"/>
      <c r="H28" s="124"/>
      <c r="I28" s="41"/>
      <c r="J28" s="41"/>
      <c r="K28" s="41"/>
      <c r="L28" s="125"/>
      <c r="M28" s="124">
        <v>87</v>
      </c>
      <c r="N28" s="41">
        <v>111</v>
      </c>
      <c r="O28" s="41"/>
      <c r="P28" s="41"/>
      <c r="Q28" s="41"/>
      <c r="R28" s="41"/>
      <c r="S28" s="125"/>
      <c r="T28" s="126">
        <v>800</v>
      </c>
    </row>
    <row r="29" spans="1:20" customFormat="1">
      <c r="A29" s="123">
        <v>900</v>
      </c>
      <c r="B29" s="124">
        <v>75.5</v>
      </c>
      <c r="C29" s="41"/>
      <c r="D29" s="41"/>
      <c r="E29" s="41"/>
      <c r="F29" s="41"/>
      <c r="G29" s="125"/>
      <c r="H29" s="124"/>
      <c r="I29" s="41"/>
      <c r="J29" s="41"/>
      <c r="K29" s="41"/>
      <c r="L29" s="125"/>
      <c r="M29" s="124">
        <v>106</v>
      </c>
      <c r="N29" s="41">
        <v>129</v>
      </c>
      <c r="O29" s="41"/>
      <c r="P29" s="41"/>
      <c r="Q29" s="41"/>
      <c r="R29" s="41"/>
      <c r="S29" s="125"/>
      <c r="T29" s="126">
        <v>900</v>
      </c>
    </row>
    <row r="30" spans="1:20" customFormat="1">
      <c r="A30" s="123">
        <v>1000</v>
      </c>
      <c r="B30" s="124">
        <v>84.5</v>
      </c>
      <c r="C30" s="41"/>
      <c r="D30" s="41"/>
      <c r="E30" s="41"/>
      <c r="F30" s="41"/>
      <c r="G30" s="125"/>
      <c r="H30" s="124"/>
      <c r="I30" s="41"/>
      <c r="J30" s="41"/>
      <c r="K30" s="41"/>
      <c r="L30" s="125"/>
      <c r="M30" s="124">
        <v>123</v>
      </c>
      <c r="N30" s="41">
        <v>169</v>
      </c>
      <c r="O30" s="41"/>
      <c r="P30" s="41"/>
      <c r="Q30" s="41"/>
      <c r="R30" s="41"/>
      <c r="S30" s="125"/>
      <c r="T30" s="126">
        <v>1000</v>
      </c>
    </row>
    <row r="31" spans="1:20" customFormat="1">
      <c r="A31" s="123">
        <v>1200</v>
      </c>
      <c r="B31" s="124">
        <v>101.5</v>
      </c>
      <c r="C31" s="41"/>
      <c r="D31" s="41"/>
      <c r="E31" s="41"/>
      <c r="F31" s="41"/>
      <c r="G31" s="125"/>
      <c r="H31" s="124"/>
      <c r="I31" s="41"/>
      <c r="J31" s="41"/>
      <c r="K31" s="41"/>
      <c r="L31" s="125"/>
      <c r="M31" s="124">
        <v>184</v>
      </c>
      <c r="N31" s="41">
        <v>251</v>
      </c>
      <c r="O31" s="41"/>
      <c r="P31" s="41"/>
      <c r="Q31" s="41"/>
      <c r="R31" s="41"/>
      <c r="S31" s="125"/>
      <c r="T31" s="126">
        <v>1200</v>
      </c>
    </row>
    <row r="32" spans="1:20" customFormat="1">
      <c r="A32" s="123">
        <v>1400</v>
      </c>
      <c r="B32" s="124">
        <v>128</v>
      </c>
      <c r="C32" s="41"/>
      <c r="D32" s="41"/>
      <c r="E32" s="41"/>
      <c r="F32" s="41"/>
      <c r="G32" s="125"/>
      <c r="H32" s="124"/>
      <c r="I32" s="41"/>
      <c r="J32" s="41"/>
      <c r="K32" s="41"/>
      <c r="L32" s="125"/>
      <c r="M32" s="124">
        <v>252</v>
      </c>
      <c r="N32" s="41">
        <v>329</v>
      </c>
      <c r="O32" s="41"/>
      <c r="P32" s="41"/>
      <c r="Q32" s="41"/>
      <c r="R32" s="41"/>
      <c r="S32" s="125"/>
      <c r="T32" s="126">
        <v>1400</v>
      </c>
    </row>
    <row r="33" spans="1:20" customFormat="1">
      <c r="A33" s="123">
        <v>1600</v>
      </c>
      <c r="B33" s="124">
        <v>171</v>
      </c>
      <c r="C33" s="41"/>
      <c r="D33" s="41"/>
      <c r="E33" s="41"/>
      <c r="F33" s="41"/>
      <c r="G33" s="125"/>
      <c r="H33" s="124"/>
      <c r="I33" s="41"/>
      <c r="J33" s="41"/>
      <c r="K33" s="41"/>
      <c r="L33" s="125"/>
      <c r="M33" s="124">
        <v>363</v>
      </c>
      <c r="N33" s="41">
        <v>476</v>
      </c>
      <c r="O33" s="41"/>
      <c r="P33" s="41"/>
      <c r="Q33" s="41"/>
      <c r="R33" s="41"/>
      <c r="S33" s="125"/>
      <c r="T33" s="126">
        <v>1600</v>
      </c>
    </row>
    <row r="34" spans="1:20" customFormat="1">
      <c r="A34" s="123">
        <v>1800</v>
      </c>
      <c r="B34" s="124">
        <v>202.5</v>
      </c>
      <c r="C34" s="41"/>
      <c r="D34" s="41"/>
      <c r="E34" s="41"/>
      <c r="F34" s="41"/>
      <c r="G34" s="125"/>
      <c r="H34" s="124"/>
      <c r="I34" s="41"/>
      <c r="J34" s="41"/>
      <c r="K34" s="41"/>
      <c r="L34" s="125"/>
      <c r="M34" s="124">
        <v>445.5</v>
      </c>
      <c r="N34" s="41">
        <v>582</v>
      </c>
      <c r="O34" s="41"/>
      <c r="P34" s="41"/>
      <c r="Q34" s="41"/>
      <c r="R34" s="41"/>
      <c r="S34" s="125"/>
      <c r="T34" s="126">
        <v>1800</v>
      </c>
    </row>
    <row r="35" spans="1:20" customFormat="1" ht="16.149999999999999" thickBot="1">
      <c r="A35" s="123">
        <v>2000</v>
      </c>
      <c r="B35" s="131">
        <v>240.5</v>
      </c>
      <c r="C35" s="132"/>
      <c r="D35" s="132"/>
      <c r="E35" s="132"/>
      <c r="F35" s="132"/>
      <c r="G35" s="133"/>
      <c r="H35" s="131"/>
      <c r="I35" s="132"/>
      <c r="J35" s="132"/>
      <c r="K35" s="132"/>
      <c r="L35" s="133"/>
      <c r="M35" s="131">
        <v>558</v>
      </c>
      <c r="N35" s="132">
        <v>720</v>
      </c>
      <c r="O35" s="132"/>
      <c r="P35" s="132"/>
      <c r="Q35" s="132"/>
      <c r="R35" s="132"/>
      <c r="S35" s="133"/>
      <c r="T35" s="126">
        <v>2000</v>
      </c>
    </row>
    <row r="36" spans="1:20" customFormat="1">
      <c r="A36" s="134"/>
      <c r="T36" s="134"/>
    </row>
    <row r="37" spans="1:20" customFormat="1">
      <c r="A37" s="134"/>
      <c r="T37" s="134"/>
    </row>
    <row r="38" spans="1:20" customFormat="1" ht="14.25" customHeight="1">
      <c r="A38" s="225" t="s">
        <v>1207</v>
      </c>
      <c r="B38" s="226"/>
      <c r="C38" s="239" t="s">
        <v>1219</v>
      </c>
      <c r="D38" s="240"/>
      <c r="E38" s="240"/>
      <c r="F38" s="240"/>
      <c r="G38" s="240"/>
      <c r="H38" s="240"/>
      <c r="I38" s="240"/>
      <c r="J38" s="240"/>
      <c r="K38" s="240"/>
      <c r="L38" s="240"/>
      <c r="M38" s="241"/>
      <c r="N38" s="225" t="s">
        <v>1207</v>
      </c>
      <c r="O38" s="226"/>
      <c r="T38" s="134"/>
    </row>
    <row r="39" spans="1:20" customFormat="1" ht="14.25" customHeight="1">
      <c r="A39" s="227"/>
      <c r="B39" s="228"/>
      <c r="C39" s="242"/>
      <c r="D39" s="243"/>
      <c r="E39" s="243"/>
      <c r="F39" s="243"/>
      <c r="G39" s="243"/>
      <c r="H39" s="243"/>
      <c r="I39" s="243"/>
      <c r="J39" s="243"/>
      <c r="K39" s="243"/>
      <c r="L39" s="243"/>
      <c r="M39" s="244"/>
      <c r="N39" s="227"/>
      <c r="O39" s="228"/>
      <c r="T39" s="134"/>
    </row>
    <row r="40" spans="1:20" customFormat="1" ht="14.25" customHeight="1">
      <c r="A40" s="227"/>
      <c r="B40" s="228"/>
      <c r="C40" s="231" t="s">
        <v>1210</v>
      </c>
      <c r="D40" s="232"/>
      <c r="E40" s="232"/>
      <c r="F40" s="232"/>
      <c r="G40" s="233"/>
      <c r="H40" s="231" t="s">
        <v>1211</v>
      </c>
      <c r="I40" s="232"/>
      <c r="J40" s="232"/>
      <c r="K40" s="232"/>
      <c r="L40" s="232"/>
      <c r="M40" s="233"/>
      <c r="N40" s="227"/>
      <c r="O40" s="228"/>
      <c r="T40" s="134"/>
    </row>
    <row r="41" spans="1:20" customFormat="1">
      <c r="A41" s="229"/>
      <c r="B41" s="230"/>
      <c r="C41" s="135" t="s">
        <v>1220</v>
      </c>
      <c r="D41" s="135" t="s">
        <v>1221</v>
      </c>
      <c r="E41" s="135" t="s">
        <v>1222</v>
      </c>
      <c r="F41" s="135" t="s">
        <v>1223</v>
      </c>
      <c r="G41" s="135" t="s">
        <v>1224</v>
      </c>
      <c r="H41" s="135" t="s">
        <v>1220</v>
      </c>
      <c r="I41" s="135" t="s">
        <v>1221</v>
      </c>
      <c r="J41" s="135" t="s">
        <v>1222</v>
      </c>
      <c r="K41" s="135" t="s">
        <v>1223</v>
      </c>
      <c r="L41" s="135" t="s">
        <v>1224</v>
      </c>
      <c r="M41" s="135" t="s">
        <v>1225</v>
      </c>
      <c r="N41" s="229"/>
      <c r="O41" s="230"/>
      <c r="T41" s="134"/>
    </row>
    <row r="42" spans="1:20" customFormat="1">
      <c r="A42" s="41" t="s">
        <v>1226</v>
      </c>
      <c r="B42" s="41" t="s">
        <v>1218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 t="s">
        <v>1226</v>
      </c>
      <c r="O42" s="41" t="s">
        <v>1218</v>
      </c>
      <c r="T42" s="134"/>
    </row>
    <row r="43" spans="1:20" customFormat="1">
      <c r="A43" s="41" t="s">
        <v>1227</v>
      </c>
      <c r="B43" s="41">
        <v>15</v>
      </c>
      <c r="C43" s="41">
        <v>0.41</v>
      </c>
      <c r="D43" s="41">
        <v>0.63</v>
      </c>
      <c r="E43" s="41">
        <v>0.75</v>
      </c>
      <c r="F43" s="41">
        <v>1.75</v>
      </c>
      <c r="G43" s="41">
        <v>1.75</v>
      </c>
      <c r="H43" s="41">
        <v>0.91</v>
      </c>
      <c r="I43" s="41">
        <v>0.91</v>
      </c>
      <c r="J43" s="41">
        <v>1.36</v>
      </c>
      <c r="K43" s="41">
        <v>3.18</v>
      </c>
      <c r="L43" s="41">
        <v>3.18</v>
      </c>
      <c r="M43" s="41">
        <v>3.63</v>
      </c>
      <c r="N43" s="41" t="s">
        <v>1227</v>
      </c>
      <c r="O43" s="41">
        <v>15</v>
      </c>
      <c r="T43" s="134"/>
    </row>
    <row r="44" spans="1:20" customFormat="1">
      <c r="A44" s="41" t="s">
        <v>1228</v>
      </c>
      <c r="B44" s="41">
        <v>20</v>
      </c>
      <c r="C44" s="41">
        <v>0.57999999999999996</v>
      </c>
      <c r="D44" s="41">
        <v>1.1599999999999999</v>
      </c>
      <c r="E44" s="41">
        <v>1.35</v>
      </c>
      <c r="F44" s="41">
        <v>2.35</v>
      </c>
      <c r="G44" s="41">
        <v>2.35</v>
      </c>
      <c r="H44" s="41">
        <v>0.91</v>
      </c>
      <c r="I44" s="41">
        <v>1.36</v>
      </c>
      <c r="J44" s="41">
        <v>1.59</v>
      </c>
      <c r="K44" s="41">
        <v>3.18</v>
      </c>
      <c r="L44" s="41">
        <v>3.18</v>
      </c>
      <c r="M44" s="41">
        <v>4.09</v>
      </c>
      <c r="N44" s="41" t="s">
        <v>1228</v>
      </c>
      <c r="O44" s="41">
        <v>20</v>
      </c>
      <c r="T44" s="134"/>
    </row>
    <row r="45" spans="1:20" customFormat="1">
      <c r="A45" s="41" t="s">
        <v>1229</v>
      </c>
      <c r="B45" s="41">
        <v>25</v>
      </c>
      <c r="C45" s="41">
        <v>0.8</v>
      </c>
      <c r="D45" s="41">
        <v>1.37</v>
      </c>
      <c r="E45" s="41">
        <v>1.58</v>
      </c>
      <c r="F45" s="41">
        <v>3.5</v>
      </c>
      <c r="G45" s="41">
        <v>3.5</v>
      </c>
      <c r="H45" s="41">
        <v>1.1399999999999999</v>
      </c>
      <c r="I45" s="41">
        <v>1.82</v>
      </c>
      <c r="J45" s="41">
        <v>1.82</v>
      </c>
      <c r="K45" s="41">
        <v>3.86</v>
      </c>
      <c r="L45" s="41">
        <v>3.86</v>
      </c>
      <c r="M45" s="41">
        <v>5.9</v>
      </c>
      <c r="N45" s="41" t="s">
        <v>1229</v>
      </c>
      <c r="O45" s="41">
        <v>25</v>
      </c>
      <c r="T45" s="134"/>
    </row>
    <row r="46" spans="1:20" customFormat="1">
      <c r="A46" s="41" t="s">
        <v>1230</v>
      </c>
      <c r="B46" s="41">
        <v>32</v>
      </c>
      <c r="C46" s="41">
        <v>1.07</v>
      </c>
      <c r="D46" s="41">
        <v>1.75</v>
      </c>
      <c r="E46" s="41">
        <v>2.15</v>
      </c>
      <c r="F46" s="41">
        <v>4.01</v>
      </c>
      <c r="G46" s="41">
        <v>4.01</v>
      </c>
      <c r="H46" s="41">
        <v>1.1399999999999999</v>
      </c>
      <c r="I46" s="41">
        <v>2.27</v>
      </c>
      <c r="J46" s="41">
        <v>2.5</v>
      </c>
      <c r="K46" s="41">
        <v>4.54</v>
      </c>
      <c r="L46" s="41">
        <v>4.54</v>
      </c>
      <c r="M46" s="41">
        <v>9.08</v>
      </c>
      <c r="N46" s="41" t="s">
        <v>1230</v>
      </c>
      <c r="O46" s="41">
        <v>32</v>
      </c>
      <c r="T46" s="134"/>
    </row>
    <row r="47" spans="1:20" customFormat="1">
      <c r="A47" s="41" t="s">
        <v>1231</v>
      </c>
      <c r="B47" s="41">
        <v>40</v>
      </c>
      <c r="C47" s="41">
        <v>1.37</v>
      </c>
      <c r="D47" s="41">
        <v>2.4700000000000002</v>
      </c>
      <c r="E47" s="41">
        <v>2.99</v>
      </c>
      <c r="F47" s="41">
        <v>5.52</v>
      </c>
      <c r="G47" s="41">
        <v>5.52</v>
      </c>
      <c r="H47" s="41">
        <v>1.81</v>
      </c>
      <c r="I47" s="41">
        <v>3.18</v>
      </c>
      <c r="J47" s="41">
        <v>3.63</v>
      </c>
      <c r="K47" s="41">
        <v>6.36</v>
      </c>
      <c r="L47" s="41">
        <v>6.36</v>
      </c>
      <c r="M47" s="41">
        <v>12.7</v>
      </c>
      <c r="N47" s="41" t="s">
        <v>1231</v>
      </c>
      <c r="O47" s="41">
        <v>40</v>
      </c>
      <c r="T47" s="134"/>
    </row>
    <row r="48" spans="1:20" customFormat="1">
      <c r="A48" s="41" t="s">
        <v>674</v>
      </c>
      <c r="B48" s="41">
        <v>50</v>
      </c>
      <c r="C48" s="41">
        <v>2.0099999999999998</v>
      </c>
      <c r="D48" s="41">
        <v>2.9</v>
      </c>
      <c r="E48" s="41">
        <v>3.71</v>
      </c>
      <c r="F48" s="41">
        <v>9.81</v>
      </c>
      <c r="G48" s="41">
        <v>9.81</v>
      </c>
      <c r="H48" s="41">
        <v>2.72</v>
      </c>
      <c r="I48" s="41">
        <v>3.36</v>
      </c>
      <c r="J48" s="41">
        <v>4.54</v>
      </c>
      <c r="K48" s="41">
        <v>10.9</v>
      </c>
      <c r="L48" s="41">
        <v>10.9</v>
      </c>
      <c r="M48" s="41">
        <v>19.100000000000001</v>
      </c>
      <c r="N48" s="41" t="s">
        <v>674</v>
      </c>
      <c r="O48" s="41">
        <v>50</v>
      </c>
      <c r="T48" s="134"/>
    </row>
    <row r="49" spans="1:20" customFormat="1">
      <c r="A49" s="41" t="s">
        <v>1232</v>
      </c>
      <c r="B49" s="41">
        <v>65</v>
      </c>
      <c r="C49" s="41">
        <v>3.32</v>
      </c>
      <c r="D49" s="41">
        <v>4.17</v>
      </c>
      <c r="E49" s="41">
        <v>5.2</v>
      </c>
      <c r="F49" s="41">
        <v>13.5</v>
      </c>
      <c r="G49" s="41">
        <v>13.5</v>
      </c>
      <c r="H49" s="41">
        <v>4.45</v>
      </c>
      <c r="I49" s="41">
        <v>5.45</v>
      </c>
      <c r="J49" s="41">
        <v>6.36</v>
      </c>
      <c r="K49" s="41">
        <v>16.3</v>
      </c>
      <c r="L49" s="41">
        <v>16.34</v>
      </c>
      <c r="M49" s="41">
        <v>23.6</v>
      </c>
      <c r="N49" s="41" t="s">
        <v>1232</v>
      </c>
      <c r="O49" s="41">
        <v>65</v>
      </c>
      <c r="T49" s="134"/>
    </row>
    <row r="50" spans="1:20" customFormat="1">
      <c r="A50" s="41" t="s">
        <v>170</v>
      </c>
      <c r="B50" s="41">
        <v>80</v>
      </c>
      <c r="C50" s="41">
        <v>3.83</v>
      </c>
      <c r="D50" s="41">
        <v>5.92</v>
      </c>
      <c r="E50" s="41">
        <v>7.13</v>
      </c>
      <c r="F50" s="41">
        <v>11.5</v>
      </c>
      <c r="G50" s="41"/>
      <c r="H50" s="41">
        <v>5.22</v>
      </c>
      <c r="I50" s="41">
        <v>8.17</v>
      </c>
      <c r="J50" s="41">
        <v>8.17</v>
      </c>
      <c r="K50" s="41">
        <v>13.2</v>
      </c>
      <c r="L50" s="41">
        <v>21.8</v>
      </c>
      <c r="M50" s="41">
        <v>42.7</v>
      </c>
      <c r="N50" s="41" t="s">
        <v>170</v>
      </c>
      <c r="O50" s="41">
        <v>80</v>
      </c>
      <c r="T50" s="134"/>
    </row>
    <row r="51" spans="1:20" customFormat="1">
      <c r="A51" s="41" t="s">
        <v>165</v>
      </c>
      <c r="B51" s="41">
        <v>100</v>
      </c>
      <c r="C51" s="41">
        <v>5.4</v>
      </c>
      <c r="D51" s="41">
        <v>9.73</v>
      </c>
      <c r="E51" s="41">
        <v>14.9</v>
      </c>
      <c r="F51" s="41">
        <v>19.399999999999999</v>
      </c>
      <c r="G51" s="41"/>
      <c r="H51" s="41">
        <v>7.49</v>
      </c>
      <c r="I51" s="41">
        <v>12.1</v>
      </c>
      <c r="J51" s="41">
        <v>16.8</v>
      </c>
      <c r="K51" s="41">
        <v>23.2</v>
      </c>
      <c r="L51" s="41">
        <v>31.3</v>
      </c>
      <c r="M51" s="41">
        <v>66.3</v>
      </c>
      <c r="N51" s="41" t="s">
        <v>165</v>
      </c>
      <c r="O51" s="41">
        <v>100</v>
      </c>
      <c r="T51" s="134"/>
    </row>
    <row r="52" spans="1:20" customFormat="1">
      <c r="A52" s="41" t="s">
        <v>258</v>
      </c>
      <c r="B52" s="41">
        <v>125</v>
      </c>
      <c r="C52" s="41">
        <v>6.26</v>
      </c>
      <c r="D52" s="41">
        <v>12.4</v>
      </c>
      <c r="E52" s="41">
        <v>24.6</v>
      </c>
      <c r="F52" s="41">
        <v>32.4</v>
      </c>
      <c r="G52" s="41"/>
      <c r="H52" s="41">
        <v>9.5299999999999994</v>
      </c>
      <c r="I52" s="41">
        <v>16.3</v>
      </c>
      <c r="J52" s="41">
        <v>30.9</v>
      </c>
      <c r="K52" s="41">
        <v>39.1</v>
      </c>
      <c r="L52" s="41">
        <v>59.9</v>
      </c>
      <c r="M52" s="41">
        <v>110.8</v>
      </c>
      <c r="N52" s="41" t="s">
        <v>258</v>
      </c>
      <c r="O52" s="41">
        <v>125</v>
      </c>
      <c r="T52" s="134"/>
    </row>
    <row r="53" spans="1:20" customFormat="1">
      <c r="A53" s="41" t="s">
        <v>283</v>
      </c>
      <c r="B53" s="41">
        <v>150</v>
      </c>
      <c r="C53" s="41">
        <v>7.5</v>
      </c>
      <c r="D53" s="41">
        <v>16</v>
      </c>
      <c r="E53" s="41">
        <v>28.7</v>
      </c>
      <c r="F53" s="41">
        <v>41</v>
      </c>
      <c r="G53" s="41"/>
      <c r="H53" s="41">
        <v>11.8</v>
      </c>
      <c r="I53" s="41">
        <v>20.399999999999999</v>
      </c>
      <c r="J53" s="41">
        <v>33.1</v>
      </c>
      <c r="K53" s="41">
        <v>49.9</v>
      </c>
      <c r="L53" s="41">
        <v>74.5</v>
      </c>
      <c r="M53" s="41">
        <v>171.6</v>
      </c>
      <c r="N53" s="41" t="s">
        <v>283</v>
      </c>
      <c r="O53" s="41">
        <v>150</v>
      </c>
      <c r="T53" s="134"/>
    </row>
    <row r="54" spans="1:20" customFormat="1">
      <c r="A54" s="41" t="s">
        <v>306</v>
      </c>
      <c r="B54" s="41">
        <v>200</v>
      </c>
      <c r="C54" s="41">
        <v>12.3</v>
      </c>
      <c r="D54" s="41">
        <v>23.9</v>
      </c>
      <c r="E54" s="41">
        <v>43.5</v>
      </c>
      <c r="F54" s="41">
        <v>70.599999999999994</v>
      </c>
      <c r="G54" s="41"/>
      <c r="H54" s="41">
        <v>19.100000000000001</v>
      </c>
      <c r="I54" s="41">
        <v>31.3</v>
      </c>
      <c r="J54" s="41">
        <v>50.9</v>
      </c>
      <c r="K54" s="41">
        <v>84.9</v>
      </c>
      <c r="L54" s="41">
        <v>123.9</v>
      </c>
      <c r="M54" s="41">
        <v>261.5</v>
      </c>
      <c r="N54" s="41" t="s">
        <v>306</v>
      </c>
      <c r="O54" s="41">
        <v>200</v>
      </c>
      <c r="T54" s="134"/>
    </row>
    <row r="55" spans="1:20" customFormat="1">
      <c r="A55" s="41" t="s">
        <v>224</v>
      </c>
      <c r="B55" s="41">
        <v>250</v>
      </c>
      <c r="C55" s="41">
        <v>16.2</v>
      </c>
      <c r="D55" s="41">
        <v>34</v>
      </c>
      <c r="E55" s="41">
        <v>70.900000000000006</v>
      </c>
      <c r="F55" s="41">
        <v>99.7</v>
      </c>
      <c r="G55" s="41"/>
      <c r="H55" s="41">
        <v>24.5</v>
      </c>
      <c r="I55" s="41">
        <v>45.4</v>
      </c>
      <c r="J55" s="41">
        <v>85.8</v>
      </c>
      <c r="K55" s="41">
        <v>121.7</v>
      </c>
      <c r="L55" s="41">
        <v>206.1</v>
      </c>
      <c r="M55" s="41">
        <v>484.9</v>
      </c>
      <c r="N55" s="41" t="s">
        <v>224</v>
      </c>
      <c r="O55" s="41">
        <v>250</v>
      </c>
      <c r="T55" s="134"/>
    </row>
    <row r="56" spans="1:20" customFormat="1">
      <c r="A56" s="41" t="s">
        <v>166</v>
      </c>
      <c r="B56" s="41">
        <v>300</v>
      </c>
      <c r="C56" s="41">
        <v>26.5</v>
      </c>
      <c r="D56" s="41">
        <v>49.1</v>
      </c>
      <c r="E56" s="41">
        <v>84.5</v>
      </c>
      <c r="F56" s="41">
        <v>132.30000000000001</v>
      </c>
      <c r="G56" s="41"/>
      <c r="H56" s="41">
        <v>39.9</v>
      </c>
      <c r="I56" s="41">
        <v>64.5</v>
      </c>
      <c r="J56" s="41">
        <v>102.6</v>
      </c>
      <c r="K56" s="41">
        <v>168.9</v>
      </c>
      <c r="L56" s="41">
        <v>313.3</v>
      </c>
      <c r="M56" s="41">
        <v>730.1</v>
      </c>
      <c r="N56" s="41" t="s">
        <v>166</v>
      </c>
      <c r="O56" s="41">
        <v>300</v>
      </c>
      <c r="T56" s="134"/>
    </row>
    <row r="57" spans="1:20" customFormat="1">
      <c r="A57" s="41" t="s">
        <v>161</v>
      </c>
      <c r="B57" s="41">
        <v>350</v>
      </c>
      <c r="C57" s="41">
        <v>34.5</v>
      </c>
      <c r="D57" s="41">
        <v>69.099999999999994</v>
      </c>
      <c r="E57" s="41">
        <v>99.3</v>
      </c>
      <c r="F57" s="41">
        <v>151.80000000000001</v>
      </c>
      <c r="G57" s="41"/>
      <c r="H57" s="41">
        <v>51.8</v>
      </c>
      <c r="I57" s="41">
        <v>93.5</v>
      </c>
      <c r="J57" s="41">
        <v>157.5</v>
      </c>
      <c r="K57" s="41">
        <v>255.2</v>
      </c>
      <c r="L57" s="41">
        <v>406.5</v>
      </c>
      <c r="M57" s="41"/>
      <c r="N57" s="41" t="s">
        <v>161</v>
      </c>
      <c r="O57" s="41">
        <v>350</v>
      </c>
      <c r="T57" s="134"/>
    </row>
    <row r="58" spans="1:20" customFormat="1">
      <c r="A58" s="41" t="s">
        <v>253</v>
      </c>
      <c r="B58" s="41">
        <v>400</v>
      </c>
      <c r="C58" s="41">
        <v>45.5</v>
      </c>
      <c r="D58" s="41">
        <v>88.9</v>
      </c>
      <c r="E58" s="41">
        <v>141</v>
      </c>
      <c r="F58" s="41">
        <v>184.1</v>
      </c>
      <c r="G58" s="41"/>
      <c r="H58" s="41">
        <v>64.5</v>
      </c>
      <c r="I58" s="41">
        <v>113.1</v>
      </c>
      <c r="J58" s="41">
        <v>218.4</v>
      </c>
      <c r="K58" s="41">
        <v>311</v>
      </c>
      <c r="L58" s="41">
        <v>525</v>
      </c>
      <c r="M58" s="41"/>
      <c r="N58" s="41" t="s">
        <v>253</v>
      </c>
      <c r="O58" s="41">
        <v>400</v>
      </c>
      <c r="T58" s="134"/>
    </row>
    <row r="59" spans="1:20" customFormat="1">
      <c r="A59" s="41" t="s">
        <v>167</v>
      </c>
      <c r="B59" s="41">
        <v>450</v>
      </c>
      <c r="C59" s="41">
        <v>48.5</v>
      </c>
      <c r="D59" s="41">
        <v>107.2</v>
      </c>
      <c r="E59" s="41">
        <v>174.8</v>
      </c>
      <c r="F59" s="41">
        <v>256.10000000000002</v>
      </c>
      <c r="G59" s="41"/>
      <c r="H59" s="41">
        <v>74.900000000000006</v>
      </c>
      <c r="I59" s="41">
        <v>138.9</v>
      </c>
      <c r="J59" s="41">
        <v>252</v>
      </c>
      <c r="K59" s="41">
        <v>419.5</v>
      </c>
      <c r="L59" s="41">
        <v>687.2</v>
      </c>
      <c r="M59" s="41"/>
      <c r="N59" s="41" t="s">
        <v>167</v>
      </c>
      <c r="O59" s="41">
        <v>450</v>
      </c>
      <c r="T59" s="134"/>
    </row>
    <row r="60" spans="1:20" customFormat="1">
      <c r="A60" s="41" t="s">
        <v>171</v>
      </c>
      <c r="B60" s="41">
        <v>500</v>
      </c>
      <c r="C60" s="41">
        <v>61.8</v>
      </c>
      <c r="D60" s="41">
        <v>132.9</v>
      </c>
      <c r="E60" s="41">
        <v>221.8</v>
      </c>
      <c r="F60" s="41">
        <v>333.2</v>
      </c>
      <c r="G60" s="41"/>
      <c r="H60" s="41">
        <v>89.4</v>
      </c>
      <c r="I60" s="41">
        <v>167.5</v>
      </c>
      <c r="J60" s="41">
        <v>313.3</v>
      </c>
      <c r="K60" s="41">
        <v>528.5</v>
      </c>
      <c r="L60" s="41">
        <v>852.6</v>
      </c>
      <c r="M60" s="41"/>
      <c r="N60" s="41" t="s">
        <v>171</v>
      </c>
      <c r="O60" s="41">
        <v>500</v>
      </c>
      <c r="T60" s="134"/>
    </row>
    <row r="61" spans="1:20" customFormat="1">
      <c r="A61" s="41" t="s">
        <v>229</v>
      </c>
      <c r="B61" s="41">
        <v>550</v>
      </c>
      <c r="C61" s="41"/>
      <c r="D61" s="41"/>
      <c r="E61" s="41"/>
      <c r="F61" s="41"/>
      <c r="G61" s="41"/>
      <c r="H61" s="41">
        <v>103.5</v>
      </c>
      <c r="I61" s="41">
        <v>199.4</v>
      </c>
      <c r="J61" s="41">
        <v>376.5</v>
      </c>
      <c r="K61" s="41"/>
      <c r="L61" s="41"/>
      <c r="M61" s="41"/>
      <c r="N61" s="41" t="s">
        <v>229</v>
      </c>
      <c r="O61" s="41">
        <v>550</v>
      </c>
      <c r="T61" s="134"/>
    </row>
    <row r="62" spans="1:20" customFormat="1">
      <c r="A62" s="41" t="s">
        <v>241</v>
      </c>
      <c r="B62" s="41">
        <v>600</v>
      </c>
      <c r="C62" s="41">
        <v>87.7</v>
      </c>
      <c r="D62" s="41">
        <v>198.7</v>
      </c>
      <c r="E62" s="41">
        <v>313.3</v>
      </c>
      <c r="F62" s="41">
        <v>600</v>
      </c>
      <c r="G62" s="41"/>
      <c r="H62" s="41">
        <v>121.7</v>
      </c>
      <c r="I62" s="41">
        <v>235.6</v>
      </c>
      <c r="J62" s="41">
        <v>443.6</v>
      </c>
      <c r="K62" s="41">
        <v>956.6</v>
      </c>
      <c r="L62" s="41">
        <v>1366.8</v>
      </c>
      <c r="M62" s="41"/>
      <c r="N62" s="41" t="s">
        <v>241</v>
      </c>
      <c r="O62" s="41">
        <v>600</v>
      </c>
      <c r="T62" s="134"/>
    </row>
    <row r="64" spans="1:20">
      <c r="A64" s="203" t="s">
        <v>1233</v>
      </c>
      <c r="B64" s="204"/>
      <c r="C64" s="204"/>
      <c r="D64" s="204"/>
      <c r="E64" s="204"/>
      <c r="G64" s="203" t="s">
        <v>1234</v>
      </c>
      <c r="H64" s="203"/>
      <c r="I64" s="203"/>
      <c r="J64" s="203"/>
      <c r="K64" s="203"/>
      <c r="L64" s="203"/>
    </row>
    <row r="65" spans="1:12" customFormat="1">
      <c r="A65" s="10" t="s">
        <v>1201</v>
      </c>
      <c r="B65" s="115" t="s">
        <v>1201</v>
      </c>
      <c r="C65" s="1" t="s">
        <v>1235</v>
      </c>
      <c r="D65" s="234" t="s">
        <v>1170</v>
      </c>
      <c r="E65" s="203" t="s">
        <v>1236</v>
      </c>
      <c r="G65" s="10" t="s">
        <v>1201</v>
      </c>
      <c r="H65" s="115" t="s">
        <v>1201</v>
      </c>
      <c r="I65" s="1" t="s">
        <v>1235</v>
      </c>
      <c r="J65" s="234" t="s">
        <v>1170</v>
      </c>
      <c r="K65" s="210" t="s">
        <v>1237</v>
      </c>
      <c r="L65" s="210" t="s">
        <v>1238</v>
      </c>
    </row>
    <row r="66" spans="1:12" customFormat="1">
      <c r="A66" s="10" t="s">
        <v>1239</v>
      </c>
      <c r="B66" s="115" t="s">
        <v>1203</v>
      </c>
      <c r="C66" s="1" t="s">
        <v>116</v>
      </c>
      <c r="D66" s="208"/>
      <c r="E66" s="203"/>
      <c r="G66" s="10" t="s">
        <v>1239</v>
      </c>
      <c r="H66" s="115" t="s">
        <v>1203</v>
      </c>
      <c r="I66" s="1" t="s">
        <v>116</v>
      </c>
      <c r="J66" s="208"/>
      <c r="K66" s="235"/>
      <c r="L66" s="235"/>
    </row>
    <row r="67" spans="1:12" customFormat="1">
      <c r="A67" s="10" t="s">
        <v>1240</v>
      </c>
      <c r="B67" s="115" t="s">
        <v>1205</v>
      </c>
      <c r="C67" s="1" t="s">
        <v>1241</v>
      </c>
      <c r="D67" s="1" t="s">
        <v>1242</v>
      </c>
      <c r="E67" s="10" t="s">
        <v>102</v>
      </c>
      <c r="G67" s="10" t="s">
        <v>1240</v>
      </c>
      <c r="H67" s="115" t="s">
        <v>1205</v>
      </c>
      <c r="I67" s="1" t="s">
        <v>1241</v>
      </c>
      <c r="J67" s="1" t="s">
        <v>1242</v>
      </c>
      <c r="K67" s="208"/>
      <c r="L67" s="208"/>
    </row>
    <row r="68" spans="1:12" customFormat="1">
      <c r="A68" s="10">
        <v>2.5</v>
      </c>
      <c r="B68" s="115">
        <v>10</v>
      </c>
      <c r="C68" s="1">
        <v>4</v>
      </c>
      <c r="D68" s="10" t="s">
        <v>1243</v>
      </c>
      <c r="E68" s="1">
        <v>0.5</v>
      </c>
      <c r="G68" s="36">
        <v>6</v>
      </c>
      <c r="H68" s="137">
        <v>10</v>
      </c>
      <c r="I68" s="1">
        <v>4</v>
      </c>
      <c r="J68" s="10" t="s">
        <v>1244</v>
      </c>
      <c r="K68" s="1">
        <v>40</v>
      </c>
      <c r="L68" s="1">
        <v>55</v>
      </c>
    </row>
    <row r="69" spans="1:12" customFormat="1">
      <c r="A69" s="10">
        <v>2.5</v>
      </c>
      <c r="B69" s="115">
        <v>15</v>
      </c>
      <c r="C69" s="1">
        <v>4</v>
      </c>
      <c r="D69" s="10" t="s">
        <v>1243</v>
      </c>
      <c r="E69" s="1">
        <v>0.5</v>
      </c>
      <c r="G69" s="1">
        <v>6</v>
      </c>
      <c r="H69" s="115">
        <v>15</v>
      </c>
      <c r="I69" s="1">
        <v>4</v>
      </c>
      <c r="J69" s="10" t="s">
        <v>1244</v>
      </c>
      <c r="K69" s="1">
        <v>40</v>
      </c>
      <c r="L69" s="1">
        <v>55</v>
      </c>
    </row>
    <row r="70" spans="1:12" customFormat="1">
      <c r="A70" s="10">
        <v>2.5</v>
      </c>
      <c r="B70" s="115">
        <v>20</v>
      </c>
      <c r="C70" s="1">
        <v>4</v>
      </c>
      <c r="D70" s="10" t="s">
        <v>1243</v>
      </c>
      <c r="E70" s="1">
        <v>0.5</v>
      </c>
      <c r="G70" s="1">
        <v>6</v>
      </c>
      <c r="H70" s="115">
        <v>20</v>
      </c>
      <c r="I70" s="1">
        <v>4</v>
      </c>
      <c r="J70" s="10" t="s">
        <v>1244</v>
      </c>
      <c r="K70" s="1">
        <v>45</v>
      </c>
      <c r="L70" s="1">
        <v>60</v>
      </c>
    </row>
    <row r="71" spans="1:12" customFormat="1">
      <c r="A71" s="10">
        <v>2.5</v>
      </c>
      <c r="B71" s="115">
        <v>25</v>
      </c>
      <c r="C71" s="1">
        <v>4</v>
      </c>
      <c r="D71" s="10" t="s">
        <v>1243</v>
      </c>
      <c r="E71" s="1">
        <v>1</v>
      </c>
      <c r="G71" s="1">
        <v>6</v>
      </c>
      <c r="H71" s="115">
        <v>25</v>
      </c>
      <c r="I71" s="1">
        <v>4</v>
      </c>
      <c r="J71" s="10" t="s">
        <v>1244</v>
      </c>
      <c r="K71" s="1">
        <v>45</v>
      </c>
      <c r="L71" s="1">
        <v>60</v>
      </c>
    </row>
    <row r="72" spans="1:12" customFormat="1">
      <c r="A72" s="10">
        <v>2.5</v>
      </c>
      <c r="B72" s="115">
        <v>32</v>
      </c>
      <c r="C72" s="1">
        <v>4</v>
      </c>
      <c r="D72" s="10" t="s">
        <v>1245</v>
      </c>
      <c r="E72" s="1">
        <v>1</v>
      </c>
      <c r="G72" s="1">
        <v>6</v>
      </c>
      <c r="H72" s="115">
        <v>32</v>
      </c>
      <c r="I72" s="1">
        <v>4</v>
      </c>
      <c r="J72" s="10" t="s">
        <v>86</v>
      </c>
      <c r="K72" s="1">
        <v>50</v>
      </c>
      <c r="L72" s="1">
        <v>65</v>
      </c>
    </row>
    <row r="73" spans="1:12" customFormat="1">
      <c r="A73" s="10">
        <v>2.5</v>
      </c>
      <c r="B73" s="115">
        <v>40</v>
      </c>
      <c r="C73" s="1">
        <v>4</v>
      </c>
      <c r="D73" s="10" t="s">
        <v>1245</v>
      </c>
      <c r="E73" s="1">
        <v>1.5</v>
      </c>
      <c r="G73" s="1">
        <v>6</v>
      </c>
      <c r="H73" s="115">
        <v>40</v>
      </c>
      <c r="I73" s="1">
        <v>4</v>
      </c>
      <c r="J73" s="10" t="s">
        <v>86</v>
      </c>
      <c r="K73" s="1">
        <v>50</v>
      </c>
      <c r="L73" s="1">
        <v>65</v>
      </c>
    </row>
    <row r="74" spans="1:12" customFormat="1">
      <c r="A74" s="10">
        <v>2.5</v>
      </c>
      <c r="B74" s="115">
        <v>50</v>
      </c>
      <c r="C74" s="1">
        <v>4</v>
      </c>
      <c r="D74" s="10" t="s">
        <v>1245</v>
      </c>
      <c r="E74" s="1">
        <v>1.5</v>
      </c>
      <c r="G74" s="1">
        <v>6</v>
      </c>
      <c r="H74" s="115">
        <v>50</v>
      </c>
      <c r="I74" s="1">
        <v>4</v>
      </c>
      <c r="J74" s="10" t="s">
        <v>86</v>
      </c>
      <c r="K74" s="1">
        <v>50</v>
      </c>
      <c r="L74" s="1">
        <v>65</v>
      </c>
    </row>
    <row r="75" spans="1:12" customFormat="1">
      <c r="A75" s="10">
        <v>2.5</v>
      </c>
      <c r="B75" s="115">
        <v>65</v>
      </c>
      <c r="C75" s="1">
        <v>4</v>
      </c>
      <c r="D75" s="10" t="s">
        <v>1245</v>
      </c>
      <c r="E75" s="1">
        <v>2</v>
      </c>
      <c r="G75" s="1">
        <v>6</v>
      </c>
      <c r="H75" s="115">
        <v>65</v>
      </c>
      <c r="I75" s="1">
        <v>4</v>
      </c>
      <c r="J75" s="10" t="s">
        <v>86</v>
      </c>
      <c r="K75" s="1">
        <v>50</v>
      </c>
      <c r="L75" s="1">
        <v>65</v>
      </c>
    </row>
    <row r="76" spans="1:12" customFormat="1">
      <c r="A76" s="10">
        <v>2.5</v>
      </c>
      <c r="B76" s="115">
        <v>80</v>
      </c>
      <c r="C76" s="1">
        <v>4</v>
      </c>
      <c r="D76" s="10" t="s">
        <v>1246</v>
      </c>
      <c r="E76" s="1">
        <v>3.5</v>
      </c>
      <c r="G76" s="1">
        <v>6</v>
      </c>
      <c r="H76" s="115">
        <v>80</v>
      </c>
      <c r="I76" s="1">
        <v>4</v>
      </c>
      <c r="J76" s="10" t="s">
        <v>1176</v>
      </c>
      <c r="K76" s="1">
        <v>55</v>
      </c>
      <c r="L76" s="1">
        <v>80</v>
      </c>
    </row>
    <row r="77" spans="1:12" customFormat="1">
      <c r="A77" s="10">
        <v>2.5</v>
      </c>
      <c r="B77" s="115">
        <v>100</v>
      </c>
      <c r="C77" s="1">
        <v>4</v>
      </c>
      <c r="D77" s="10" t="s">
        <v>1246</v>
      </c>
      <c r="E77" s="1">
        <v>4</v>
      </c>
      <c r="G77" s="1">
        <v>6</v>
      </c>
      <c r="H77" s="115">
        <v>100</v>
      </c>
      <c r="I77" s="1">
        <v>4</v>
      </c>
      <c r="J77" s="10" t="s">
        <v>1176</v>
      </c>
      <c r="K77" s="1">
        <v>55</v>
      </c>
      <c r="L77" s="1">
        <v>80</v>
      </c>
    </row>
    <row r="78" spans="1:12" customFormat="1">
      <c r="A78" s="10">
        <v>2.5</v>
      </c>
      <c r="B78" s="115">
        <v>125</v>
      </c>
      <c r="C78" s="1">
        <v>8</v>
      </c>
      <c r="D78" s="10" t="s">
        <v>1246</v>
      </c>
      <c r="E78" s="1">
        <v>6</v>
      </c>
      <c r="G78" s="1">
        <v>6</v>
      </c>
      <c r="H78" s="115">
        <v>125</v>
      </c>
      <c r="I78" s="1">
        <v>8</v>
      </c>
      <c r="J78" s="10" t="s">
        <v>1176</v>
      </c>
      <c r="K78" s="1">
        <v>60</v>
      </c>
      <c r="L78" s="1">
        <v>85</v>
      </c>
    </row>
    <row r="79" spans="1:12" customFormat="1">
      <c r="A79" s="10">
        <v>2.5</v>
      </c>
      <c r="B79" s="115">
        <v>150</v>
      </c>
      <c r="C79" s="1">
        <v>8</v>
      </c>
      <c r="D79" s="10" t="s">
        <v>1246</v>
      </c>
      <c r="E79" s="1">
        <v>7.5</v>
      </c>
      <c r="G79" s="1">
        <v>6</v>
      </c>
      <c r="H79" s="115">
        <v>150</v>
      </c>
      <c r="I79" s="1">
        <v>8</v>
      </c>
      <c r="J79" s="10" t="s">
        <v>1176</v>
      </c>
      <c r="K79" s="1">
        <v>60</v>
      </c>
      <c r="L79" s="1">
        <v>85</v>
      </c>
    </row>
    <row r="80" spans="1:12" customFormat="1">
      <c r="A80" s="10">
        <v>2.5</v>
      </c>
      <c r="B80" s="115">
        <v>200</v>
      </c>
      <c r="C80" s="1">
        <v>8</v>
      </c>
      <c r="D80" s="10" t="s">
        <v>1246</v>
      </c>
      <c r="E80" s="1">
        <v>12.5</v>
      </c>
      <c r="G80" s="1">
        <v>6</v>
      </c>
      <c r="H80" s="115">
        <v>200</v>
      </c>
      <c r="I80" s="1">
        <v>8</v>
      </c>
      <c r="J80" s="10" t="s">
        <v>1176</v>
      </c>
      <c r="K80" s="1">
        <v>65</v>
      </c>
      <c r="L80" s="1">
        <v>90</v>
      </c>
    </row>
    <row r="81" spans="1:12" customFormat="1">
      <c r="A81" s="10">
        <v>2.5</v>
      </c>
      <c r="B81" s="115">
        <v>250</v>
      </c>
      <c r="C81" s="116">
        <v>12</v>
      </c>
      <c r="D81" s="10" t="s">
        <v>1246</v>
      </c>
      <c r="E81" s="1">
        <v>18.5</v>
      </c>
      <c r="G81" s="1">
        <v>6</v>
      </c>
      <c r="H81" s="115">
        <v>250</v>
      </c>
      <c r="I81" s="116">
        <v>12</v>
      </c>
      <c r="J81" s="10" t="s">
        <v>1176</v>
      </c>
      <c r="K81" s="1">
        <v>70</v>
      </c>
      <c r="L81" s="1">
        <v>95</v>
      </c>
    </row>
    <row r="82" spans="1:12" customFormat="1">
      <c r="A82" s="10">
        <v>2.5</v>
      </c>
      <c r="B82" s="115">
        <v>300</v>
      </c>
      <c r="C82" s="1">
        <v>12</v>
      </c>
      <c r="D82" s="10" t="s">
        <v>1247</v>
      </c>
      <c r="E82" s="1">
        <v>25.5</v>
      </c>
      <c r="G82" s="138">
        <v>6</v>
      </c>
      <c r="H82" s="139">
        <v>300</v>
      </c>
      <c r="I82" s="138">
        <v>12</v>
      </c>
      <c r="J82" s="140" t="s">
        <v>1178</v>
      </c>
      <c r="K82" s="1">
        <v>75</v>
      </c>
      <c r="L82" s="1">
        <v>105</v>
      </c>
    </row>
    <row r="83" spans="1:12" customFormat="1">
      <c r="A83" s="10">
        <v>2.5</v>
      </c>
      <c r="B83" s="115">
        <v>350</v>
      </c>
      <c r="C83" s="1">
        <v>12</v>
      </c>
      <c r="D83" s="10" t="s">
        <v>1247</v>
      </c>
      <c r="E83" s="1">
        <v>32</v>
      </c>
      <c r="G83" s="36">
        <v>10</v>
      </c>
      <c r="H83" s="137">
        <v>10</v>
      </c>
      <c r="I83" s="36">
        <v>4</v>
      </c>
      <c r="J83" s="4" t="s">
        <v>86</v>
      </c>
      <c r="K83" s="1">
        <v>50</v>
      </c>
      <c r="L83" s="1">
        <v>70</v>
      </c>
    </row>
    <row r="84" spans="1:12" customFormat="1">
      <c r="A84" s="10">
        <v>2.5</v>
      </c>
      <c r="B84" s="115">
        <v>400</v>
      </c>
      <c r="C84" s="1">
        <v>16</v>
      </c>
      <c r="D84" s="10" t="s">
        <v>1247</v>
      </c>
      <c r="E84" s="1">
        <v>38.5</v>
      </c>
      <c r="G84" s="1">
        <v>10</v>
      </c>
      <c r="H84" s="115">
        <v>15</v>
      </c>
      <c r="I84" s="1">
        <v>4</v>
      </c>
      <c r="J84" s="10" t="s">
        <v>86</v>
      </c>
      <c r="K84" s="1">
        <v>50</v>
      </c>
      <c r="L84" s="1">
        <v>70</v>
      </c>
    </row>
    <row r="85" spans="1:12" customFormat="1">
      <c r="A85" s="10">
        <v>2.5</v>
      </c>
      <c r="B85" s="115">
        <v>450</v>
      </c>
      <c r="C85" s="1">
        <v>16</v>
      </c>
      <c r="D85" s="10" t="s">
        <v>1247</v>
      </c>
      <c r="E85" s="1">
        <v>51</v>
      </c>
      <c r="G85" s="1">
        <v>10</v>
      </c>
      <c r="H85" s="115">
        <v>20</v>
      </c>
      <c r="I85" s="1">
        <v>4</v>
      </c>
      <c r="J85" s="10" t="s">
        <v>86</v>
      </c>
      <c r="K85" s="1">
        <v>55</v>
      </c>
      <c r="L85" s="1">
        <v>75</v>
      </c>
    </row>
    <row r="86" spans="1:12" customFormat="1">
      <c r="A86" s="10">
        <v>2.5</v>
      </c>
      <c r="B86" s="115">
        <v>500</v>
      </c>
      <c r="C86" s="1">
        <v>20</v>
      </c>
      <c r="D86" s="10" t="s">
        <v>1247</v>
      </c>
      <c r="E86" s="1">
        <v>60.1</v>
      </c>
      <c r="G86" s="1">
        <v>10</v>
      </c>
      <c r="H86" s="115">
        <v>25</v>
      </c>
      <c r="I86" s="1">
        <v>4</v>
      </c>
      <c r="J86" s="10" t="s">
        <v>86</v>
      </c>
      <c r="K86" s="1">
        <v>55</v>
      </c>
      <c r="L86" s="1">
        <v>75</v>
      </c>
    </row>
    <row r="87" spans="1:12" customFormat="1">
      <c r="A87" s="10">
        <v>2.5</v>
      </c>
      <c r="B87" s="115">
        <v>600</v>
      </c>
      <c r="C87" s="1">
        <v>20</v>
      </c>
      <c r="D87" s="10" t="s">
        <v>1248</v>
      </c>
      <c r="E87" s="1">
        <v>103</v>
      </c>
      <c r="G87" s="1">
        <v>10</v>
      </c>
      <c r="H87" s="115">
        <v>32</v>
      </c>
      <c r="I87" s="1">
        <v>4</v>
      </c>
      <c r="J87" s="10" t="s">
        <v>1176</v>
      </c>
      <c r="K87" s="1">
        <v>60</v>
      </c>
      <c r="L87" s="1">
        <v>85</v>
      </c>
    </row>
    <row r="88" spans="1:12" customFormat="1">
      <c r="A88" s="10">
        <v>2.5</v>
      </c>
      <c r="B88" s="115">
        <v>700</v>
      </c>
      <c r="C88" s="1">
        <v>24</v>
      </c>
      <c r="D88" s="10" t="s">
        <v>1248</v>
      </c>
      <c r="E88" s="1">
        <v>178.5</v>
      </c>
      <c r="G88" s="1">
        <v>10</v>
      </c>
      <c r="H88" s="115">
        <v>40</v>
      </c>
      <c r="I88" s="1">
        <v>4</v>
      </c>
      <c r="J88" s="10" t="s">
        <v>1176</v>
      </c>
      <c r="K88" s="1">
        <v>60</v>
      </c>
      <c r="L88" s="1">
        <v>85</v>
      </c>
    </row>
    <row r="89" spans="1:12" customFormat="1">
      <c r="A89" s="10">
        <v>2.5</v>
      </c>
      <c r="B89" s="115">
        <v>800</v>
      </c>
      <c r="C89" s="1">
        <v>24</v>
      </c>
      <c r="D89" s="10" t="s">
        <v>1249</v>
      </c>
      <c r="E89" s="1">
        <v>252</v>
      </c>
      <c r="G89" s="1">
        <v>10</v>
      </c>
      <c r="H89" s="115">
        <v>50</v>
      </c>
      <c r="I89" s="1">
        <v>4</v>
      </c>
      <c r="J89" s="10" t="s">
        <v>1176</v>
      </c>
      <c r="K89" s="1">
        <v>60</v>
      </c>
      <c r="L89" s="1">
        <v>85</v>
      </c>
    </row>
    <row r="90" spans="1:12" customFormat="1">
      <c r="A90" s="10">
        <v>2.5</v>
      </c>
      <c r="B90" s="115">
        <v>900</v>
      </c>
      <c r="C90" s="1">
        <v>24</v>
      </c>
      <c r="D90" s="10" t="s">
        <v>1249</v>
      </c>
      <c r="E90" s="1">
        <v>335.5</v>
      </c>
      <c r="G90" s="1">
        <v>10</v>
      </c>
      <c r="H90" s="115">
        <v>65</v>
      </c>
      <c r="I90" s="1">
        <v>8</v>
      </c>
      <c r="J90" s="10" t="s">
        <v>1176</v>
      </c>
      <c r="K90" s="1">
        <v>60</v>
      </c>
      <c r="L90" s="1">
        <v>85</v>
      </c>
    </row>
    <row r="91" spans="1:12" customFormat="1">
      <c r="A91" s="10">
        <v>2.5</v>
      </c>
      <c r="B91" s="115">
        <v>1000</v>
      </c>
      <c r="C91" s="1">
        <v>28</v>
      </c>
      <c r="D91" s="10" t="s">
        <v>1249</v>
      </c>
      <c r="E91" s="1">
        <v>434.5</v>
      </c>
      <c r="G91" s="1">
        <v>10</v>
      </c>
      <c r="H91" s="115">
        <v>80</v>
      </c>
      <c r="I91" s="1">
        <v>8</v>
      </c>
      <c r="J91" s="10" t="s">
        <v>1176</v>
      </c>
      <c r="K91" s="1">
        <v>65</v>
      </c>
      <c r="L91" s="1">
        <v>90</v>
      </c>
    </row>
    <row r="92" spans="1:12" customFormat="1">
      <c r="A92" s="10">
        <v>2.5</v>
      </c>
      <c r="B92" s="115">
        <v>1200</v>
      </c>
      <c r="C92" s="1">
        <v>32</v>
      </c>
      <c r="D92" s="10" t="s">
        <v>1249</v>
      </c>
      <c r="E92" s="1">
        <v>505</v>
      </c>
      <c r="G92" s="1">
        <v>10</v>
      </c>
      <c r="H92" s="115">
        <v>100</v>
      </c>
      <c r="I92" s="1">
        <v>8</v>
      </c>
      <c r="J92" s="10" t="s">
        <v>1176</v>
      </c>
      <c r="K92" s="1">
        <v>65</v>
      </c>
      <c r="L92" s="1">
        <v>90</v>
      </c>
    </row>
    <row r="93" spans="1:12" customFormat="1">
      <c r="A93" s="10">
        <v>2.5</v>
      </c>
      <c r="B93" s="115">
        <v>1400</v>
      </c>
      <c r="C93" s="1">
        <v>36</v>
      </c>
      <c r="D93" s="10" t="s">
        <v>1249</v>
      </c>
      <c r="E93" s="1">
        <v>724.5</v>
      </c>
      <c r="G93" s="1">
        <v>10</v>
      </c>
      <c r="H93" s="115">
        <v>125</v>
      </c>
      <c r="I93" s="1">
        <v>8</v>
      </c>
      <c r="J93" s="10" t="s">
        <v>1176</v>
      </c>
      <c r="K93" s="1">
        <v>70</v>
      </c>
      <c r="L93" s="1">
        <v>95</v>
      </c>
    </row>
    <row r="94" spans="1:12" customFormat="1">
      <c r="A94" s="10">
        <v>2.5</v>
      </c>
      <c r="B94" s="115">
        <v>1600</v>
      </c>
      <c r="C94" s="1">
        <v>40</v>
      </c>
      <c r="D94" s="10" t="s">
        <v>1249</v>
      </c>
      <c r="E94" s="1">
        <v>996</v>
      </c>
      <c r="G94" s="1">
        <v>10</v>
      </c>
      <c r="H94" s="115">
        <v>150</v>
      </c>
      <c r="I94" s="1">
        <v>8</v>
      </c>
      <c r="J94" s="10" t="s">
        <v>1178</v>
      </c>
      <c r="K94" s="1">
        <v>75</v>
      </c>
      <c r="L94" s="1">
        <v>105</v>
      </c>
    </row>
    <row r="95" spans="1:12" customFormat="1">
      <c r="A95" s="10">
        <v>2.5</v>
      </c>
      <c r="B95" s="115">
        <v>1800</v>
      </c>
      <c r="C95" s="1">
        <v>44</v>
      </c>
      <c r="D95" s="10" t="s">
        <v>1249</v>
      </c>
      <c r="E95" s="1">
        <v>1305.5</v>
      </c>
      <c r="G95" s="1">
        <v>10</v>
      </c>
      <c r="H95" s="115">
        <v>200</v>
      </c>
      <c r="I95" s="1">
        <v>8</v>
      </c>
      <c r="J95" s="10" t="s">
        <v>1178</v>
      </c>
      <c r="K95" s="1">
        <v>80</v>
      </c>
      <c r="L95" s="1">
        <v>105</v>
      </c>
    </row>
    <row r="96" spans="1:12" customFormat="1">
      <c r="A96" s="138">
        <v>2.5</v>
      </c>
      <c r="B96" s="139">
        <v>2000</v>
      </c>
      <c r="C96" s="138">
        <v>48</v>
      </c>
      <c r="D96" s="138" t="s">
        <v>1249</v>
      </c>
      <c r="E96" s="1">
        <v>1699.5</v>
      </c>
      <c r="G96" s="1">
        <v>10</v>
      </c>
      <c r="H96" s="115">
        <v>250</v>
      </c>
      <c r="I96" s="93">
        <v>12</v>
      </c>
      <c r="J96" s="136" t="s">
        <v>1178</v>
      </c>
      <c r="K96" s="1">
        <v>80</v>
      </c>
      <c r="L96" s="1">
        <v>110</v>
      </c>
    </row>
    <row r="97" spans="1:12" customFormat="1">
      <c r="A97" s="36">
        <v>6</v>
      </c>
      <c r="B97" s="137">
        <v>10</v>
      </c>
      <c r="C97" s="36">
        <v>4</v>
      </c>
      <c r="D97" s="4" t="s">
        <v>1244</v>
      </c>
      <c r="E97" s="1">
        <v>0.5</v>
      </c>
      <c r="G97" s="1">
        <v>10</v>
      </c>
      <c r="H97" s="115">
        <v>300</v>
      </c>
      <c r="I97" s="93">
        <v>12</v>
      </c>
      <c r="J97" s="136" t="s">
        <v>1178</v>
      </c>
      <c r="K97" s="1">
        <v>80</v>
      </c>
      <c r="L97" s="1">
        <v>110</v>
      </c>
    </row>
    <row r="98" spans="1:12" customFormat="1">
      <c r="A98" s="1">
        <v>6</v>
      </c>
      <c r="B98" s="115">
        <v>15</v>
      </c>
      <c r="C98" s="1">
        <v>4</v>
      </c>
      <c r="D98" s="10" t="s">
        <v>1244</v>
      </c>
      <c r="E98" s="1">
        <v>0.5</v>
      </c>
      <c r="G98" s="1">
        <v>10</v>
      </c>
      <c r="H98" s="115">
        <v>350</v>
      </c>
      <c r="I98" s="93">
        <v>16</v>
      </c>
      <c r="J98" s="136" t="s">
        <v>1178</v>
      </c>
      <c r="K98" s="1">
        <v>80</v>
      </c>
      <c r="L98" s="1">
        <v>110</v>
      </c>
    </row>
    <row r="99" spans="1:12" customFormat="1">
      <c r="A99" s="1">
        <v>6</v>
      </c>
      <c r="B99" s="115">
        <v>20</v>
      </c>
      <c r="C99" s="1">
        <v>4</v>
      </c>
      <c r="D99" s="10" t="s">
        <v>1244</v>
      </c>
      <c r="E99" s="1">
        <v>0.5</v>
      </c>
      <c r="G99" s="1">
        <v>10</v>
      </c>
      <c r="H99" s="115">
        <v>400</v>
      </c>
      <c r="I99" s="93">
        <v>16</v>
      </c>
      <c r="J99" s="136" t="s">
        <v>1179</v>
      </c>
      <c r="K99" s="1">
        <v>85</v>
      </c>
      <c r="L99" s="1">
        <v>120</v>
      </c>
    </row>
    <row r="100" spans="1:12" customFormat="1">
      <c r="A100" s="1">
        <v>6</v>
      </c>
      <c r="B100" s="115">
        <v>25</v>
      </c>
      <c r="C100" s="1">
        <v>4</v>
      </c>
      <c r="D100" s="141" t="s">
        <v>1244</v>
      </c>
      <c r="E100" s="1">
        <v>1</v>
      </c>
      <c r="G100" s="1">
        <v>10</v>
      </c>
      <c r="H100" s="115">
        <v>450</v>
      </c>
      <c r="I100" s="93">
        <v>20</v>
      </c>
      <c r="J100" s="136" t="s">
        <v>1179</v>
      </c>
      <c r="K100" s="1">
        <v>90</v>
      </c>
      <c r="L100" s="1">
        <v>125</v>
      </c>
    </row>
    <row r="101" spans="1:12" customFormat="1">
      <c r="A101" s="1">
        <v>6</v>
      </c>
      <c r="B101" s="115">
        <v>32</v>
      </c>
      <c r="C101" s="1">
        <v>4</v>
      </c>
      <c r="D101" s="141" t="s">
        <v>1245</v>
      </c>
      <c r="E101" s="1">
        <v>1</v>
      </c>
      <c r="G101" s="1">
        <v>10</v>
      </c>
      <c r="H101" s="115">
        <v>500</v>
      </c>
      <c r="I101" s="93">
        <v>20</v>
      </c>
      <c r="J101" s="136" t="s">
        <v>1179</v>
      </c>
      <c r="K101" s="1">
        <v>90</v>
      </c>
      <c r="L101" s="1">
        <v>125</v>
      </c>
    </row>
    <row r="102" spans="1:12" customFormat="1">
      <c r="A102" s="1">
        <v>6</v>
      </c>
      <c r="B102" s="115">
        <v>40</v>
      </c>
      <c r="C102" s="1">
        <v>4</v>
      </c>
      <c r="D102" s="141" t="s">
        <v>1245</v>
      </c>
      <c r="E102" s="1">
        <v>1.5</v>
      </c>
      <c r="G102" s="138">
        <v>10</v>
      </c>
      <c r="H102" s="139">
        <v>600</v>
      </c>
      <c r="I102" s="138">
        <v>20</v>
      </c>
      <c r="J102" s="140" t="s">
        <v>1249</v>
      </c>
      <c r="K102" s="1">
        <v>95</v>
      </c>
      <c r="L102" s="1">
        <v>130</v>
      </c>
    </row>
    <row r="103" spans="1:12" customFormat="1">
      <c r="A103" s="1">
        <v>6</v>
      </c>
      <c r="B103" s="115">
        <v>50</v>
      </c>
      <c r="C103" s="1">
        <v>4</v>
      </c>
      <c r="D103" s="141" t="s">
        <v>1245</v>
      </c>
      <c r="E103" s="1">
        <v>1.5</v>
      </c>
      <c r="G103" s="36">
        <v>16</v>
      </c>
      <c r="H103" s="137">
        <v>10</v>
      </c>
      <c r="I103" s="36">
        <v>4</v>
      </c>
      <c r="J103" s="4" t="s">
        <v>86</v>
      </c>
      <c r="K103" s="1">
        <v>50</v>
      </c>
      <c r="L103" s="1">
        <v>70</v>
      </c>
    </row>
    <row r="104" spans="1:12" customFormat="1">
      <c r="A104" s="1">
        <v>6</v>
      </c>
      <c r="B104" s="115">
        <v>65</v>
      </c>
      <c r="C104" s="1">
        <v>4</v>
      </c>
      <c r="D104" s="141" t="s">
        <v>1245</v>
      </c>
      <c r="E104" s="1">
        <v>2</v>
      </c>
      <c r="G104" s="36">
        <v>16</v>
      </c>
      <c r="H104" s="115">
        <v>15</v>
      </c>
      <c r="I104" s="1">
        <v>4</v>
      </c>
      <c r="J104" s="10" t="s">
        <v>86</v>
      </c>
      <c r="K104" s="1">
        <v>50</v>
      </c>
      <c r="L104" s="1">
        <v>70</v>
      </c>
    </row>
    <row r="105" spans="1:12" customFormat="1">
      <c r="A105" s="1">
        <v>6</v>
      </c>
      <c r="B105" s="115">
        <v>80</v>
      </c>
      <c r="C105" s="1">
        <v>4</v>
      </c>
      <c r="D105" s="141" t="s">
        <v>1246</v>
      </c>
      <c r="E105" s="1">
        <v>3.5</v>
      </c>
      <c r="G105" s="36">
        <v>16</v>
      </c>
      <c r="H105" s="115">
        <v>20</v>
      </c>
      <c r="I105" s="1">
        <v>4</v>
      </c>
      <c r="J105" s="10" t="s">
        <v>86</v>
      </c>
      <c r="K105" s="1">
        <v>55</v>
      </c>
      <c r="L105" s="1">
        <v>75</v>
      </c>
    </row>
    <row r="106" spans="1:12" customFormat="1">
      <c r="A106" s="1">
        <v>6</v>
      </c>
      <c r="B106" s="115">
        <v>100</v>
      </c>
      <c r="C106" s="1">
        <v>4</v>
      </c>
      <c r="D106" s="141" t="s">
        <v>1246</v>
      </c>
      <c r="E106" s="1">
        <v>4</v>
      </c>
      <c r="G106" s="36">
        <v>16</v>
      </c>
      <c r="H106" s="115">
        <v>25</v>
      </c>
      <c r="I106" s="1">
        <v>4</v>
      </c>
      <c r="J106" s="141" t="s">
        <v>86</v>
      </c>
      <c r="K106" s="1">
        <v>55</v>
      </c>
      <c r="L106" s="1">
        <v>75</v>
      </c>
    </row>
    <row r="107" spans="1:12" customFormat="1">
      <c r="A107" s="1">
        <v>6</v>
      </c>
      <c r="B107" s="115">
        <v>125</v>
      </c>
      <c r="C107" s="1">
        <v>8</v>
      </c>
      <c r="D107" s="10" t="s">
        <v>1246</v>
      </c>
      <c r="E107" s="1">
        <v>6</v>
      </c>
      <c r="G107" s="36">
        <v>16</v>
      </c>
      <c r="H107" s="115">
        <v>32</v>
      </c>
      <c r="I107" s="1">
        <v>4</v>
      </c>
      <c r="J107" s="141" t="s">
        <v>1176</v>
      </c>
      <c r="K107" s="1">
        <v>60</v>
      </c>
      <c r="L107" s="1">
        <v>85</v>
      </c>
    </row>
    <row r="108" spans="1:12" customFormat="1">
      <c r="A108" s="1">
        <v>6</v>
      </c>
      <c r="B108" s="115">
        <v>150</v>
      </c>
      <c r="C108" s="1">
        <v>8</v>
      </c>
      <c r="D108" s="10" t="s">
        <v>1246</v>
      </c>
      <c r="E108" s="1">
        <v>7.5</v>
      </c>
      <c r="G108" s="36">
        <v>16</v>
      </c>
      <c r="H108" s="115">
        <v>40</v>
      </c>
      <c r="I108" s="1">
        <v>4</v>
      </c>
      <c r="J108" s="141" t="s">
        <v>1176</v>
      </c>
      <c r="K108" s="1">
        <v>60</v>
      </c>
      <c r="L108" s="1">
        <v>85</v>
      </c>
    </row>
    <row r="109" spans="1:12" customFormat="1">
      <c r="A109" s="1">
        <v>6</v>
      </c>
      <c r="B109" s="115">
        <v>200</v>
      </c>
      <c r="C109" s="1">
        <v>8</v>
      </c>
      <c r="D109" s="10" t="s">
        <v>1246</v>
      </c>
      <c r="E109" s="1">
        <v>12.5</v>
      </c>
      <c r="G109" s="36">
        <v>16</v>
      </c>
      <c r="H109" s="115">
        <v>50</v>
      </c>
      <c r="I109" s="1">
        <v>4</v>
      </c>
      <c r="J109" s="141" t="s">
        <v>1176</v>
      </c>
      <c r="K109" s="1">
        <v>60</v>
      </c>
      <c r="L109" s="1">
        <v>85</v>
      </c>
    </row>
    <row r="110" spans="1:12" customFormat="1">
      <c r="A110" s="1">
        <v>6</v>
      </c>
      <c r="B110" s="115">
        <v>250</v>
      </c>
      <c r="C110" s="1">
        <v>12</v>
      </c>
      <c r="D110" s="10" t="s">
        <v>1246</v>
      </c>
      <c r="E110" s="1">
        <v>18.5</v>
      </c>
      <c r="G110" s="36">
        <v>16</v>
      </c>
      <c r="H110" s="115">
        <v>65</v>
      </c>
      <c r="I110" s="1">
        <v>8</v>
      </c>
      <c r="J110" s="141" t="s">
        <v>1176</v>
      </c>
      <c r="K110" s="1">
        <v>60</v>
      </c>
      <c r="L110" s="1">
        <v>85</v>
      </c>
    </row>
    <row r="111" spans="1:12" customFormat="1">
      <c r="A111" s="1">
        <v>6</v>
      </c>
      <c r="B111" s="115">
        <v>300</v>
      </c>
      <c r="C111" s="1">
        <v>12</v>
      </c>
      <c r="D111" s="10" t="s">
        <v>1178</v>
      </c>
      <c r="E111" s="1">
        <v>25.5</v>
      </c>
      <c r="G111" s="36">
        <v>16</v>
      </c>
      <c r="H111" s="115">
        <v>80</v>
      </c>
      <c r="I111" s="1">
        <v>8</v>
      </c>
      <c r="J111" s="141" t="s">
        <v>1176</v>
      </c>
      <c r="K111" s="1">
        <v>65</v>
      </c>
      <c r="L111" s="1">
        <v>90</v>
      </c>
    </row>
    <row r="112" spans="1:12" customFormat="1">
      <c r="A112" s="1">
        <v>6</v>
      </c>
      <c r="B112" s="115">
        <v>350</v>
      </c>
      <c r="C112" s="1">
        <v>12</v>
      </c>
      <c r="D112" s="10" t="s">
        <v>1178</v>
      </c>
      <c r="E112" s="1">
        <v>32</v>
      </c>
      <c r="G112" s="36">
        <v>16</v>
      </c>
      <c r="H112" s="115">
        <v>100</v>
      </c>
      <c r="I112" s="1">
        <v>8</v>
      </c>
      <c r="J112" s="141" t="s">
        <v>1176</v>
      </c>
      <c r="K112" s="1">
        <v>65</v>
      </c>
      <c r="L112" s="1">
        <v>90</v>
      </c>
    </row>
    <row r="113" spans="1:12" customFormat="1">
      <c r="A113" s="1">
        <v>6</v>
      </c>
      <c r="B113" s="115">
        <v>400</v>
      </c>
      <c r="C113" s="1">
        <v>16</v>
      </c>
      <c r="D113" s="10" t="s">
        <v>1178</v>
      </c>
      <c r="E113" s="1">
        <v>38.5</v>
      </c>
      <c r="G113" s="36">
        <v>16</v>
      </c>
      <c r="H113" s="115">
        <v>125</v>
      </c>
      <c r="I113" s="1">
        <v>8</v>
      </c>
      <c r="J113" s="10" t="s">
        <v>1176</v>
      </c>
      <c r="K113" s="1">
        <v>70</v>
      </c>
      <c r="L113" s="1">
        <v>95</v>
      </c>
    </row>
    <row r="114" spans="1:12" customFormat="1">
      <c r="A114" s="1">
        <v>6</v>
      </c>
      <c r="B114" s="115">
        <v>450</v>
      </c>
      <c r="C114" s="1">
        <v>16</v>
      </c>
      <c r="D114" s="10" t="s">
        <v>1178</v>
      </c>
      <c r="E114" s="1">
        <v>51</v>
      </c>
      <c r="G114" s="36">
        <v>16</v>
      </c>
      <c r="H114" s="115">
        <v>150</v>
      </c>
      <c r="I114" s="1">
        <v>8</v>
      </c>
      <c r="J114" s="10" t="s">
        <v>1178</v>
      </c>
      <c r="K114" s="1">
        <v>75</v>
      </c>
      <c r="L114" s="1">
        <v>105</v>
      </c>
    </row>
    <row r="115" spans="1:12" customFormat="1">
      <c r="A115" s="1">
        <v>6</v>
      </c>
      <c r="B115" s="115">
        <v>500</v>
      </c>
      <c r="C115" s="1">
        <v>20</v>
      </c>
      <c r="D115" s="10" t="s">
        <v>1178</v>
      </c>
      <c r="E115" s="1">
        <v>60.03</v>
      </c>
      <c r="G115" s="36">
        <v>16</v>
      </c>
      <c r="H115" s="115">
        <v>200</v>
      </c>
      <c r="I115" s="1">
        <v>12</v>
      </c>
      <c r="J115" s="10" t="s">
        <v>1178</v>
      </c>
      <c r="K115" s="1">
        <v>80</v>
      </c>
      <c r="L115" s="1">
        <v>105</v>
      </c>
    </row>
    <row r="116" spans="1:12" customFormat="1">
      <c r="A116" s="10">
        <v>6</v>
      </c>
      <c r="B116" s="115">
        <v>600</v>
      </c>
      <c r="C116" s="1">
        <v>20</v>
      </c>
      <c r="D116" s="10" t="s">
        <v>1179</v>
      </c>
      <c r="E116" s="1">
        <v>103</v>
      </c>
      <c r="G116" s="36">
        <v>16</v>
      </c>
      <c r="H116" s="115">
        <v>250</v>
      </c>
      <c r="I116" s="1">
        <v>12</v>
      </c>
      <c r="J116" s="10" t="s">
        <v>1179</v>
      </c>
      <c r="K116" s="1">
        <v>85</v>
      </c>
      <c r="L116" s="1">
        <v>120</v>
      </c>
    </row>
    <row r="117" spans="1:12" customFormat="1">
      <c r="A117" s="10">
        <v>6</v>
      </c>
      <c r="B117" s="115">
        <v>700</v>
      </c>
      <c r="C117" s="1">
        <v>24</v>
      </c>
      <c r="D117" s="10" t="s">
        <v>1179</v>
      </c>
      <c r="E117" s="1">
        <v>178.5</v>
      </c>
      <c r="G117" s="36">
        <v>16</v>
      </c>
      <c r="H117" s="115">
        <v>300</v>
      </c>
      <c r="I117" s="1">
        <v>12</v>
      </c>
      <c r="J117" s="10" t="s">
        <v>1179</v>
      </c>
      <c r="K117" s="1">
        <v>90</v>
      </c>
      <c r="L117" s="1">
        <v>125</v>
      </c>
    </row>
    <row r="118" spans="1:12" customFormat="1">
      <c r="A118" s="10">
        <v>6</v>
      </c>
      <c r="B118" s="115">
        <v>800</v>
      </c>
      <c r="C118" s="1">
        <v>24</v>
      </c>
      <c r="D118" s="10" t="s">
        <v>1180</v>
      </c>
      <c r="E118" s="1">
        <v>252</v>
      </c>
      <c r="G118" s="36">
        <v>16</v>
      </c>
      <c r="H118" s="115">
        <v>350</v>
      </c>
      <c r="I118" s="1">
        <v>16</v>
      </c>
      <c r="J118" s="10" t="s">
        <v>1179</v>
      </c>
      <c r="K118" s="1">
        <v>95</v>
      </c>
      <c r="L118" s="1">
        <v>130</v>
      </c>
    </row>
    <row r="119" spans="1:12" customFormat="1">
      <c r="A119" s="10">
        <v>6</v>
      </c>
      <c r="B119" s="115">
        <v>900</v>
      </c>
      <c r="C119" s="1">
        <v>24</v>
      </c>
      <c r="D119" s="10" t="s">
        <v>1180</v>
      </c>
      <c r="E119" s="1">
        <v>335.5</v>
      </c>
      <c r="G119" s="36">
        <v>16</v>
      </c>
      <c r="H119" s="115">
        <v>400</v>
      </c>
      <c r="I119" s="1">
        <v>16</v>
      </c>
      <c r="J119" s="10" t="s">
        <v>1180</v>
      </c>
      <c r="K119" s="1">
        <v>100</v>
      </c>
      <c r="L119" s="1">
        <v>140</v>
      </c>
    </row>
    <row r="120" spans="1:12" customFormat="1">
      <c r="A120" s="10">
        <v>6</v>
      </c>
      <c r="B120" s="115">
        <v>1000</v>
      </c>
      <c r="C120" s="1">
        <v>28</v>
      </c>
      <c r="D120" s="10" t="s">
        <v>1180</v>
      </c>
      <c r="E120" s="1">
        <v>434.5</v>
      </c>
      <c r="G120" s="36">
        <v>16</v>
      </c>
      <c r="H120" s="115">
        <v>450</v>
      </c>
      <c r="I120" s="1">
        <v>20</v>
      </c>
      <c r="J120" s="10" t="s">
        <v>1180</v>
      </c>
      <c r="K120" s="1">
        <v>120</v>
      </c>
      <c r="L120" s="1">
        <v>155</v>
      </c>
    </row>
    <row r="121" spans="1:12" customFormat="1">
      <c r="A121" s="10">
        <v>6</v>
      </c>
      <c r="B121" s="115">
        <v>1200</v>
      </c>
      <c r="C121" s="1">
        <v>32</v>
      </c>
      <c r="D121" s="10" t="s">
        <v>1181</v>
      </c>
      <c r="E121" s="1">
        <v>717.5</v>
      </c>
      <c r="G121" s="36">
        <v>16</v>
      </c>
      <c r="H121" s="115">
        <v>500</v>
      </c>
      <c r="I121" s="1">
        <v>20</v>
      </c>
      <c r="J121" s="10" t="s">
        <v>1181</v>
      </c>
      <c r="K121" s="1">
        <v>130</v>
      </c>
      <c r="L121" s="1">
        <v>170</v>
      </c>
    </row>
    <row r="122" spans="1:12" customFormat="1">
      <c r="A122" s="10">
        <v>6</v>
      </c>
      <c r="B122" s="115">
        <v>1400</v>
      </c>
      <c r="C122" s="1">
        <v>36</v>
      </c>
      <c r="D122" s="10" t="s">
        <v>1182</v>
      </c>
      <c r="E122" s="1">
        <v>1094</v>
      </c>
      <c r="G122" s="138">
        <v>16</v>
      </c>
      <c r="H122" s="139">
        <v>600</v>
      </c>
      <c r="I122" s="138">
        <v>20</v>
      </c>
      <c r="J122" s="140" t="s">
        <v>1182</v>
      </c>
      <c r="K122" s="1">
        <v>155</v>
      </c>
      <c r="L122" s="1">
        <v>200</v>
      </c>
    </row>
    <row r="123" spans="1:12" customFormat="1">
      <c r="A123" s="10">
        <v>6</v>
      </c>
      <c r="B123" s="115">
        <v>1600</v>
      </c>
      <c r="C123" s="1">
        <v>40</v>
      </c>
      <c r="D123" s="10" t="s">
        <v>1182</v>
      </c>
      <c r="E123" s="1">
        <v>1545</v>
      </c>
      <c r="G123" s="36">
        <v>25</v>
      </c>
      <c r="H123" s="137">
        <v>10</v>
      </c>
      <c r="I123" s="36">
        <v>4</v>
      </c>
      <c r="J123" s="4" t="s">
        <v>86</v>
      </c>
      <c r="K123" s="10" t="s">
        <v>1250</v>
      </c>
      <c r="L123" s="1">
        <v>70</v>
      </c>
    </row>
    <row r="124" spans="1:12" customFormat="1">
      <c r="A124" s="10">
        <v>6</v>
      </c>
      <c r="B124" s="115">
        <v>1800</v>
      </c>
      <c r="C124" s="1">
        <v>44</v>
      </c>
      <c r="D124" s="10" t="s">
        <v>1251</v>
      </c>
      <c r="E124" s="1">
        <v>2131</v>
      </c>
      <c r="G124" s="36">
        <v>25</v>
      </c>
      <c r="H124" s="115">
        <v>15</v>
      </c>
      <c r="I124" s="1">
        <v>4</v>
      </c>
      <c r="J124" s="10" t="s">
        <v>86</v>
      </c>
      <c r="K124" s="10" t="s">
        <v>1250</v>
      </c>
      <c r="L124" s="1">
        <v>70</v>
      </c>
    </row>
    <row r="125" spans="1:12" customFormat="1">
      <c r="A125" s="138">
        <v>6</v>
      </c>
      <c r="B125" s="138">
        <v>2000</v>
      </c>
      <c r="C125" s="138">
        <v>48</v>
      </c>
      <c r="D125" s="138" t="s">
        <v>1183</v>
      </c>
      <c r="E125" s="1">
        <v>2862</v>
      </c>
      <c r="G125" s="36">
        <v>25</v>
      </c>
      <c r="H125" s="115">
        <v>20</v>
      </c>
      <c r="I125" s="1">
        <v>4</v>
      </c>
      <c r="J125" s="10" t="s">
        <v>86</v>
      </c>
      <c r="K125" s="10" t="s">
        <v>1250</v>
      </c>
      <c r="L125" s="1">
        <v>75</v>
      </c>
    </row>
    <row r="126" spans="1:12" customFormat="1">
      <c r="A126" s="36">
        <v>10</v>
      </c>
      <c r="B126" s="137">
        <v>10</v>
      </c>
      <c r="C126" s="36">
        <v>4</v>
      </c>
      <c r="D126" s="4" t="s">
        <v>1245</v>
      </c>
      <c r="E126" s="1">
        <v>1</v>
      </c>
      <c r="G126" s="36">
        <v>25</v>
      </c>
      <c r="H126" s="115">
        <v>25</v>
      </c>
      <c r="I126" s="1">
        <v>4</v>
      </c>
      <c r="J126" s="10" t="s">
        <v>86</v>
      </c>
      <c r="K126" s="10" t="s">
        <v>1250</v>
      </c>
      <c r="L126" s="1">
        <v>75</v>
      </c>
    </row>
    <row r="127" spans="1:12" customFormat="1">
      <c r="A127" s="1">
        <v>10</v>
      </c>
      <c r="B127" s="115">
        <v>15</v>
      </c>
      <c r="C127" s="1">
        <v>4</v>
      </c>
      <c r="D127" s="10" t="s">
        <v>1245</v>
      </c>
      <c r="E127" s="1">
        <v>1</v>
      </c>
      <c r="G127" s="36">
        <v>25</v>
      </c>
      <c r="H127" s="115">
        <v>32</v>
      </c>
      <c r="I127" s="1">
        <v>4</v>
      </c>
      <c r="J127" s="10" t="s">
        <v>1176</v>
      </c>
      <c r="K127" s="10" t="s">
        <v>1250</v>
      </c>
      <c r="L127" s="1">
        <v>85</v>
      </c>
    </row>
    <row r="128" spans="1:12" customFormat="1">
      <c r="A128" s="1">
        <v>10</v>
      </c>
      <c r="B128" s="115">
        <v>20</v>
      </c>
      <c r="C128" s="1">
        <v>4</v>
      </c>
      <c r="D128" s="10" t="s">
        <v>1245</v>
      </c>
      <c r="E128" s="1">
        <v>1</v>
      </c>
      <c r="G128" s="36">
        <v>25</v>
      </c>
      <c r="H128" s="115">
        <v>40</v>
      </c>
      <c r="I128" s="1">
        <v>4</v>
      </c>
      <c r="J128" s="10" t="s">
        <v>1176</v>
      </c>
      <c r="K128" s="10" t="s">
        <v>1250</v>
      </c>
      <c r="L128" s="1">
        <v>85</v>
      </c>
    </row>
    <row r="129" spans="1:12" customFormat="1">
      <c r="A129" s="1">
        <v>10</v>
      </c>
      <c r="B129" s="115">
        <v>25</v>
      </c>
      <c r="C129" s="1">
        <v>4</v>
      </c>
      <c r="D129" s="10" t="s">
        <v>1245</v>
      </c>
      <c r="E129" s="1">
        <v>1.5</v>
      </c>
      <c r="G129" s="36">
        <v>25</v>
      </c>
      <c r="H129" s="115">
        <v>50</v>
      </c>
      <c r="I129" s="1">
        <v>4</v>
      </c>
      <c r="J129" s="10" t="s">
        <v>1176</v>
      </c>
      <c r="K129" s="10" t="s">
        <v>1250</v>
      </c>
      <c r="L129" s="1">
        <v>90</v>
      </c>
    </row>
    <row r="130" spans="1:12" customFormat="1">
      <c r="A130" s="1">
        <v>10</v>
      </c>
      <c r="B130" s="115">
        <v>32</v>
      </c>
      <c r="C130" s="1">
        <v>4</v>
      </c>
      <c r="D130" s="10" t="s">
        <v>1246</v>
      </c>
      <c r="E130" s="1">
        <v>2</v>
      </c>
      <c r="G130" s="36">
        <v>25</v>
      </c>
      <c r="H130" s="115">
        <v>65</v>
      </c>
      <c r="I130" s="1">
        <v>8</v>
      </c>
      <c r="J130" s="10" t="s">
        <v>1176</v>
      </c>
      <c r="K130" s="10" t="s">
        <v>1250</v>
      </c>
      <c r="L130" s="1">
        <v>95</v>
      </c>
    </row>
    <row r="131" spans="1:12" customFormat="1">
      <c r="A131" s="1">
        <v>10</v>
      </c>
      <c r="B131" s="115">
        <v>40</v>
      </c>
      <c r="C131" s="1">
        <v>4</v>
      </c>
      <c r="D131" s="10" t="s">
        <v>1246</v>
      </c>
      <c r="E131" s="1">
        <v>2.5</v>
      </c>
      <c r="G131" s="36">
        <v>25</v>
      </c>
      <c r="H131" s="115">
        <v>80</v>
      </c>
      <c r="I131" s="1">
        <v>8</v>
      </c>
      <c r="J131" s="10" t="s">
        <v>1176</v>
      </c>
      <c r="K131" s="10" t="s">
        <v>1250</v>
      </c>
      <c r="L131" s="1">
        <v>95</v>
      </c>
    </row>
    <row r="132" spans="1:12" customFormat="1">
      <c r="A132" s="1">
        <v>10</v>
      </c>
      <c r="B132" s="115">
        <v>50</v>
      </c>
      <c r="C132" s="1">
        <v>4</v>
      </c>
      <c r="D132" s="10" t="s">
        <v>1246</v>
      </c>
      <c r="E132" s="1">
        <v>3</v>
      </c>
      <c r="G132" s="36">
        <v>25</v>
      </c>
      <c r="H132" s="115">
        <v>100</v>
      </c>
      <c r="I132" s="1">
        <v>8</v>
      </c>
      <c r="J132" s="10" t="s">
        <v>1178</v>
      </c>
      <c r="K132" s="10" t="s">
        <v>1250</v>
      </c>
      <c r="L132" s="1">
        <v>105</v>
      </c>
    </row>
    <row r="133" spans="1:12" customFormat="1">
      <c r="A133" s="1">
        <v>10</v>
      </c>
      <c r="B133" s="115">
        <v>65</v>
      </c>
      <c r="C133" s="1">
        <v>8</v>
      </c>
      <c r="D133" s="10" t="s">
        <v>1246</v>
      </c>
      <c r="E133" s="1">
        <v>3.5</v>
      </c>
      <c r="G133" s="36">
        <v>25</v>
      </c>
      <c r="H133" s="115">
        <v>125</v>
      </c>
      <c r="I133" s="1">
        <v>8</v>
      </c>
      <c r="J133" s="10" t="s">
        <v>1179</v>
      </c>
      <c r="K133" s="10" t="s">
        <v>1250</v>
      </c>
      <c r="L133" s="1">
        <v>120</v>
      </c>
    </row>
    <row r="134" spans="1:12" customFormat="1">
      <c r="A134" s="1">
        <v>10</v>
      </c>
      <c r="B134" s="115">
        <v>80</v>
      </c>
      <c r="C134" s="1">
        <v>8</v>
      </c>
      <c r="D134" s="10" t="s">
        <v>1246</v>
      </c>
      <c r="E134" s="1">
        <v>4.5</v>
      </c>
      <c r="G134" s="36">
        <v>25</v>
      </c>
      <c r="H134" s="115">
        <v>150</v>
      </c>
      <c r="I134" s="1">
        <v>8</v>
      </c>
      <c r="J134" s="10" t="s">
        <v>1179</v>
      </c>
      <c r="K134" s="10" t="s">
        <v>1250</v>
      </c>
      <c r="L134" s="1">
        <v>125</v>
      </c>
    </row>
    <row r="135" spans="1:12" customFormat="1">
      <c r="A135" s="1">
        <v>10</v>
      </c>
      <c r="B135" s="115">
        <v>100</v>
      </c>
      <c r="C135" s="1">
        <v>8</v>
      </c>
      <c r="D135" s="10" t="s">
        <v>1246</v>
      </c>
      <c r="E135" s="1">
        <v>5.5</v>
      </c>
      <c r="G135" s="36">
        <v>25</v>
      </c>
      <c r="H135" s="115">
        <v>200</v>
      </c>
      <c r="I135" s="1">
        <v>12</v>
      </c>
      <c r="J135" s="10" t="s">
        <v>1179</v>
      </c>
      <c r="K135" s="10" t="s">
        <v>1250</v>
      </c>
      <c r="L135" s="1">
        <v>130</v>
      </c>
    </row>
    <row r="136" spans="1:12" customFormat="1">
      <c r="A136" s="1">
        <v>10</v>
      </c>
      <c r="B136" s="115">
        <v>125</v>
      </c>
      <c r="C136" s="1">
        <v>8</v>
      </c>
      <c r="D136" s="10" t="s">
        <v>1246</v>
      </c>
      <c r="E136" s="1">
        <v>8</v>
      </c>
      <c r="G136" s="36">
        <v>25</v>
      </c>
      <c r="H136" s="115">
        <v>250</v>
      </c>
      <c r="I136" s="1">
        <v>12</v>
      </c>
      <c r="J136" s="10" t="s">
        <v>1180</v>
      </c>
      <c r="K136" s="10" t="s">
        <v>1250</v>
      </c>
      <c r="L136" s="1">
        <v>140</v>
      </c>
    </row>
    <row r="137" spans="1:12" customFormat="1">
      <c r="A137" s="1">
        <v>10</v>
      </c>
      <c r="B137" s="115">
        <v>150</v>
      </c>
      <c r="C137" s="1">
        <v>8</v>
      </c>
      <c r="D137" s="10" t="s">
        <v>1247</v>
      </c>
      <c r="E137" s="1">
        <v>10.5</v>
      </c>
      <c r="G137" s="36">
        <v>25</v>
      </c>
      <c r="H137" s="115">
        <v>300</v>
      </c>
      <c r="I137" s="1">
        <v>16</v>
      </c>
      <c r="J137" s="10" t="s">
        <v>1180</v>
      </c>
      <c r="K137" s="10" t="s">
        <v>1250</v>
      </c>
      <c r="L137" s="1">
        <v>145</v>
      </c>
    </row>
    <row r="138" spans="1:12" customFormat="1">
      <c r="A138" s="1">
        <v>10</v>
      </c>
      <c r="B138" s="115">
        <v>200</v>
      </c>
      <c r="C138" s="1">
        <v>8</v>
      </c>
      <c r="D138" s="10" t="s">
        <v>1247</v>
      </c>
      <c r="E138" s="1">
        <v>16.5</v>
      </c>
      <c r="G138" s="36">
        <v>25</v>
      </c>
      <c r="H138" s="115">
        <v>350</v>
      </c>
      <c r="I138" s="1">
        <v>16</v>
      </c>
      <c r="J138" s="10" t="s">
        <v>1181</v>
      </c>
      <c r="K138" s="10" t="s">
        <v>1250</v>
      </c>
      <c r="L138" s="1">
        <v>155</v>
      </c>
    </row>
    <row r="139" spans="1:12" customFormat="1">
      <c r="A139" s="1">
        <v>10</v>
      </c>
      <c r="B139" s="115">
        <v>250</v>
      </c>
      <c r="C139" s="1">
        <v>12</v>
      </c>
      <c r="D139" s="10" t="s">
        <v>1247</v>
      </c>
      <c r="E139" s="1">
        <v>24</v>
      </c>
      <c r="G139" s="36">
        <v>25</v>
      </c>
      <c r="H139" s="115">
        <v>400</v>
      </c>
      <c r="I139" s="1">
        <v>16</v>
      </c>
      <c r="J139" s="10" t="s">
        <v>1182</v>
      </c>
      <c r="K139" s="10" t="s">
        <v>1250</v>
      </c>
      <c r="L139" s="1">
        <v>170</v>
      </c>
    </row>
    <row r="140" spans="1:12" customFormat="1">
      <c r="A140" s="1">
        <v>10</v>
      </c>
      <c r="B140" s="115">
        <v>300</v>
      </c>
      <c r="C140" s="1">
        <v>12</v>
      </c>
      <c r="D140" s="10" t="s">
        <v>1247</v>
      </c>
      <c r="E140" s="1">
        <v>31</v>
      </c>
      <c r="G140" s="36">
        <v>25</v>
      </c>
      <c r="H140" s="115">
        <v>450</v>
      </c>
      <c r="I140" s="1">
        <v>20</v>
      </c>
      <c r="J140" s="10" t="s">
        <v>1182</v>
      </c>
      <c r="K140" s="10" t="s">
        <v>1250</v>
      </c>
      <c r="L140" s="1">
        <v>180</v>
      </c>
    </row>
    <row r="141" spans="1:12" customFormat="1">
      <c r="A141" s="1">
        <v>10</v>
      </c>
      <c r="B141" s="115">
        <v>350</v>
      </c>
      <c r="C141" s="1">
        <v>16</v>
      </c>
      <c r="D141" s="10" t="s">
        <v>1247</v>
      </c>
      <c r="E141" s="1">
        <v>39.5</v>
      </c>
      <c r="G141" s="36">
        <v>25</v>
      </c>
      <c r="H141" s="115">
        <v>500</v>
      </c>
      <c r="I141" s="1">
        <v>20</v>
      </c>
      <c r="J141" s="10" t="s">
        <v>1182</v>
      </c>
      <c r="K141" s="10" t="s">
        <v>1250</v>
      </c>
      <c r="L141" s="1">
        <v>185</v>
      </c>
    </row>
    <row r="142" spans="1:12" customFormat="1">
      <c r="A142" s="1">
        <v>10</v>
      </c>
      <c r="B142" s="115">
        <v>400</v>
      </c>
      <c r="C142" s="1">
        <v>16</v>
      </c>
      <c r="D142" s="10" t="s">
        <v>1248</v>
      </c>
      <c r="E142" s="1">
        <v>49.5</v>
      </c>
      <c r="G142" s="138">
        <v>25</v>
      </c>
      <c r="H142" s="139">
        <v>600</v>
      </c>
      <c r="I142" s="138">
        <v>20</v>
      </c>
      <c r="J142" s="140" t="s">
        <v>1251</v>
      </c>
      <c r="K142" s="10" t="s">
        <v>1250</v>
      </c>
      <c r="L142" s="1">
        <v>205</v>
      </c>
    </row>
    <row r="143" spans="1:12" customFormat="1">
      <c r="A143" s="1">
        <v>10</v>
      </c>
      <c r="B143" s="115">
        <v>450</v>
      </c>
      <c r="C143" s="1">
        <v>20</v>
      </c>
      <c r="D143" s="10" t="s">
        <v>1248</v>
      </c>
      <c r="E143" s="1">
        <v>63</v>
      </c>
      <c r="G143" s="36">
        <v>40</v>
      </c>
      <c r="H143" s="137">
        <v>10</v>
      </c>
      <c r="I143" s="36">
        <v>4</v>
      </c>
      <c r="J143" s="4" t="s">
        <v>86</v>
      </c>
      <c r="K143" s="10" t="s">
        <v>1250</v>
      </c>
      <c r="L143" s="1">
        <v>70</v>
      </c>
    </row>
    <row r="144" spans="1:12" customFormat="1">
      <c r="A144" s="1">
        <v>10</v>
      </c>
      <c r="B144" s="115">
        <v>500</v>
      </c>
      <c r="C144" s="1">
        <v>20</v>
      </c>
      <c r="D144" s="10" t="s">
        <v>1248</v>
      </c>
      <c r="E144" s="1">
        <v>75.5</v>
      </c>
      <c r="G144" s="36">
        <v>40</v>
      </c>
      <c r="H144" s="115">
        <v>15</v>
      </c>
      <c r="I144" s="36">
        <v>4</v>
      </c>
      <c r="J144" s="4" t="s">
        <v>86</v>
      </c>
      <c r="K144" s="10" t="s">
        <v>1250</v>
      </c>
      <c r="L144" s="1">
        <v>70</v>
      </c>
    </row>
    <row r="145" spans="1:12" customFormat="1">
      <c r="A145" s="10">
        <v>10</v>
      </c>
      <c r="B145" s="115">
        <v>600</v>
      </c>
      <c r="C145" s="1">
        <v>20</v>
      </c>
      <c r="D145" s="10" t="s">
        <v>1180</v>
      </c>
      <c r="E145" s="1">
        <v>124</v>
      </c>
      <c r="G145" s="36">
        <v>40</v>
      </c>
      <c r="H145" s="115">
        <v>20</v>
      </c>
      <c r="I145" s="36">
        <v>4</v>
      </c>
      <c r="J145" s="4" t="s">
        <v>86</v>
      </c>
      <c r="K145" s="10" t="s">
        <v>1250</v>
      </c>
      <c r="L145" s="1">
        <v>75</v>
      </c>
    </row>
    <row r="146" spans="1:12" customFormat="1">
      <c r="A146" s="10">
        <v>10</v>
      </c>
      <c r="B146" s="115">
        <v>700</v>
      </c>
      <c r="C146" s="1">
        <v>24</v>
      </c>
      <c r="D146" s="10" t="s">
        <v>1180</v>
      </c>
      <c r="E146" s="1">
        <v>182.5</v>
      </c>
      <c r="G146" s="36">
        <v>40</v>
      </c>
      <c r="H146" s="115">
        <v>25</v>
      </c>
      <c r="I146" s="36">
        <v>4</v>
      </c>
      <c r="J146" s="4" t="s">
        <v>86</v>
      </c>
      <c r="K146" s="10" t="s">
        <v>1250</v>
      </c>
      <c r="L146" s="1">
        <v>75</v>
      </c>
    </row>
    <row r="147" spans="1:12" customFormat="1">
      <c r="A147" s="10">
        <v>10</v>
      </c>
      <c r="B147" s="115">
        <v>800</v>
      </c>
      <c r="C147" s="1">
        <v>24</v>
      </c>
      <c r="D147" s="10" t="s">
        <v>1181</v>
      </c>
      <c r="E147" s="1">
        <v>260</v>
      </c>
      <c r="G147" s="36">
        <v>40</v>
      </c>
      <c r="H147" s="115">
        <v>32</v>
      </c>
      <c r="I147" s="36">
        <v>4</v>
      </c>
      <c r="J147" s="4" t="s">
        <v>1176</v>
      </c>
      <c r="K147" s="10" t="s">
        <v>1250</v>
      </c>
      <c r="L147" s="1">
        <v>85</v>
      </c>
    </row>
    <row r="148" spans="1:12" customFormat="1">
      <c r="A148" s="10">
        <v>10</v>
      </c>
      <c r="B148" s="115">
        <v>900</v>
      </c>
      <c r="C148" s="1">
        <v>28</v>
      </c>
      <c r="D148" s="10" t="s">
        <v>1181</v>
      </c>
      <c r="E148" s="1">
        <v>344</v>
      </c>
      <c r="G148" s="36">
        <v>40</v>
      </c>
      <c r="H148" s="115">
        <v>40</v>
      </c>
      <c r="I148" s="36">
        <v>4</v>
      </c>
      <c r="J148" s="4" t="s">
        <v>1176</v>
      </c>
      <c r="K148" s="10" t="s">
        <v>1250</v>
      </c>
      <c r="L148" s="1">
        <v>85</v>
      </c>
    </row>
    <row r="149" spans="1:12" customFormat="1">
      <c r="A149" s="10">
        <v>10</v>
      </c>
      <c r="B149" s="115">
        <v>1000</v>
      </c>
      <c r="C149" s="1">
        <v>28</v>
      </c>
      <c r="D149" s="10" t="s">
        <v>1182</v>
      </c>
      <c r="E149" s="1">
        <v>473.5</v>
      </c>
      <c r="G149" s="36">
        <v>40</v>
      </c>
      <c r="H149" s="115">
        <v>50</v>
      </c>
      <c r="I149" s="36">
        <v>4</v>
      </c>
      <c r="J149" s="4" t="s">
        <v>1176</v>
      </c>
      <c r="K149" s="10" t="s">
        <v>1250</v>
      </c>
      <c r="L149" s="1">
        <v>90</v>
      </c>
    </row>
    <row r="150" spans="1:12" customFormat="1">
      <c r="A150" s="140">
        <v>10</v>
      </c>
      <c r="B150" s="139">
        <v>1200</v>
      </c>
      <c r="C150" s="138">
        <v>32</v>
      </c>
      <c r="D150" s="140" t="s">
        <v>1251</v>
      </c>
      <c r="E150" s="1">
        <v>765</v>
      </c>
      <c r="G150" s="36">
        <v>40</v>
      </c>
      <c r="H150" s="115">
        <v>65</v>
      </c>
      <c r="I150" s="36">
        <v>8</v>
      </c>
      <c r="J150" s="4" t="s">
        <v>1176</v>
      </c>
      <c r="K150" s="10" t="s">
        <v>1250</v>
      </c>
      <c r="L150" s="1">
        <v>95</v>
      </c>
    </row>
    <row r="151" spans="1:12" customFormat="1">
      <c r="A151" s="4">
        <v>16</v>
      </c>
      <c r="B151" s="137">
        <v>10</v>
      </c>
      <c r="C151" s="36">
        <v>4</v>
      </c>
      <c r="D151" s="4" t="s">
        <v>86</v>
      </c>
      <c r="E151" s="1">
        <v>1</v>
      </c>
      <c r="G151" s="36">
        <v>40</v>
      </c>
      <c r="H151" s="115">
        <v>80</v>
      </c>
      <c r="I151" s="36">
        <v>8</v>
      </c>
      <c r="J151" s="4" t="s">
        <v>1176</v>
      </c>
      <c r="K151" s="10" t="s">
        <v>1250</v>
      </c>
      <c r="L151" s="1">
        <v>95</v>
      </c>
    </row>
    <row r="152" spans="1:12" customFormat="1">
      <c r="A152" s="10">
        <v>16</v>
      </c>
      <c r="B152" s="115">
        <v>15</v>
      </c>
      <c r="C152" s="1">
        <v>4</v>
      </c>
      <c r="D152" s="10" t="s">
        <v>86</v>
      </c>
      <c r="E152" s="1">
        <v>1</v>
      </c>
      <c r="G152" s="36">
        <v>40</v>
      </c>
      <c r="H152" s="115">
        <v>100</v>
      </c>
      <c r="I152" s="36">
        <v>8</v>
      </c>
      <c r="J152" s="4" t="s">
        <v>1178</v>
      </c>
      <c r="K152" s="10" t="s">
        <v>1250</v>
      </c>
      <c r="L152" s="1">
        <v>105</v>
      </c>
    </row>
    <row r="153" spans="1:12" customFormat="1">
      <c r="A153" s="10">
        <v>16</v>
      </c>
      <c r="B153" s="115">
        <v>20</v>
      </c>
      <c r="C153" s="1">
        <v>4</v>
      </c>
      <c r="D153" s="10" t="s">
        <v>86</v>
      </c>
      <c r="E153" s="1">
        <v>1</v>
      </c>
      <c r="G153" s="36">
        <v>40</v>
      </c>
      <c r="H153" s="115">
        <v>125</v>
      </c>
      <c r="I153" s="36">
        <v>8</v>
      </c>
      <c r="J153" s="4" t="s">
        <v>1179</v>
      </c>
      <c r="K153" s="10" t="s">
        <v>1250</v>
      </c>
      <c r="L153" s="1">
        <v>120</v>
      </c>
    </row>
    <row r="154" spans="1:12" customFormat="1">
      <c r="A154" s="10">
        <v>16</v>
      </c>
      <c r="B154" s="115">
        <v>25</v>
      </c>
      <c r="C154" s="1">
        <v>4</v>
      </c>
      <c r="D154" s="141" t="s">
        <v>86</v>
      </c>
      <c r="E154" s="1">
        <v>1.5</v>
      </c>
      <c r="G154" s="36">
        <v>40</v>
      </c>
      <c r="H154" s="115">
        <v>150</v>
      </c>
      <c r="I154" s="36">
        <v>8</v>
      </c>
      <c r="J154" s="4" t="s">
        <v>1179</v>
      </c>
      <c r="K154" s="10" t="s">
        <v>1250</v>
      </c>
      <c r="L154" s="1">
        <v>125</v>
      </c>
    </row>
    <row r="155" spans="1:12" customFormat="1">
      <c r="A155" s="10">
        <v>16</v>
      </c>
      <c r="B155" s="115">
        <v>32</v>
      </c>
      <c r="C155" s="1">
        <v>4</v>
      </c>
      <c r="D155" s="141" t="s">
        <v>1176</v>
      </c>
      <c r="E155" s="1">
        <v>2</v>
      </c>
      <c r="G155" s="36">
        <v>40</v>
      </c>
      <c r="H155" s="115">
        <v>200</v>
      </c>
      <c r="I155" s="36">
        <v>12</v>
      </c>
      <c r="J155" s="4" t="s">
        <v>1180</v>
      </c>
      <c r="K155" s="10" t="s">
        <v>1250</v>
      </c>
      <c r="L155" s="1">
        <v>145</v>
      </c>
    </row>
    <row r="156" spans="1:12" customFormat="1">
      <c r="A156" s="10">
        <v>16</v>
      </c>
      <c r="B156" s="115">
        <v>40</v>
      </c>
      <c r="C156" s="1">
        <v>4</v>
      </c>
      <c r="D156" s="141" t="s">
        <v>1176</v>
      </c>
      <c r="E156" s="1">
        <v>2.5</v>
      </c>
      <c r="G156" s="36">
        <v>40</v>
      </c>
      <c r="H156" s="115">
        <v>250</v>
      </c>
      <c r="I156" s="36">
        <v>12</v>
      </c>
      <c r="J156" s="4" t="s">
        <v>1181</v>
      </c>
      <c r="K156" s="10" t="s">
        <v>1250</v>
      </c>
      <c r="L156" s="1">
        <v>155</v>
      </c>
    </row>
    <row r="157" spans="1:12" customFormat="1">
      <c r="A157" s="10">
        <v>16</v>
      </c>
      <c r="B157" s="115">
        <v>50</v>
      </c>
      <c r="C157" s="1">
        <v>4</v>
      </c>
      <c r="D157" s="141" t="s">
        <v>1176</v>
      </c>
      <c r="E157" s="1">
        <v>3</v>
      </c>
      <c r="G157" s="36">
        <v>40</v>
      </c>
      <c r="H157" s="115">
        <v>300</v>
      </c>
      <c r="I157" s="36">
        <v>16</v>
      </c>
      <c r="J157" s="4" t="s">
        <v>1181</v>
      </c>
      <c r="K157" s="10" t="s">
        <v>1250</v>
      </c>
      <c r="L157" s="1">
        <v>165</v>
      </c>
    </row>
    <row r="158" spans="1:12" customFormat="1">
      <c r="A158" s="10">
        <v>16</v>
      </c>
      <c r="B158" s="115">
        <v>65</v>
      </c>
      <c r="C158" s="1">
        <v>8</v>
      </c>
      <c r="D158" s="141" t="s">
        <v>1176</v>
      </c>
      <c r="E158" s="1">
        <v>3.4</v>
      </c>
      <c r="G158" s="36">
        <v>40</v>
      </c>
      <c r="H158" s="115">
        <v>350</v>
      </c>
      <c r="I158" s="36">
        <v>16</v>
      </c>
      <c r="J158" s="4" t="s">
        <v>1182</v>
      </c>
      <c r="K158" s="10" t="s">
        <v>1250</v>
      </c>
      <c r="L158" s="1">
        <v>180</v>
      </c>
    </row>
    <row r="159" spans="1:12" customFormat="1">
      <c r="A159" s="10">
        <v>16</v>
      </c>
      <c r="B159" s="142">
        <v>80</v>
      </c>
      <c r="C159" s="1">
        <v>8</v>
      </c>
      <c r="D159" s="141" t="s">
        <v>1176</v>
      </c>
      <c r="E159" s="1">
        <v>4.5</v>
      </c>
      <c r="G159" s="36">
        <v>40</v>
      </c>
      <c r="H159" s="115">
        <v>400</v>
      </c>
      <c r="I159" s="36">
        <v>16</v>
      </c>
      <c r="J159" s="4" t="s">
        <v>1251</v>
      </c>
      <c r="K159" s="10" t="s">
        <v>1250</v>
      </c>
      <c r="L159" s="1">
        <v>190</v>
      </c>
    </row>
    <row r="160" spans="1:12" customFormat="1">
      <c r="A160" s="10">
        <v>16</v>
      </c>
      <c r="B160" s="115">
        <v>100</v>
      </c>
      <c r="C160" s="1">
        <v>8</v>
      </c>
      <c r="D160" s="141" t="s">
        <v>1176</v>
      </c>
      <c r="E160" s="1">
        <v>5.5</v>
      </c>
      <c r="G160" s="36">
        <v>40</v>
      </c>
      <c r="H160" s="115">
        <v>450</v>
      </c>
      <c r="I160" s="36">
        <v>20</v>
      </c>
      <c r="J160" s="4" t="s">
        <v>1251</v>
      </c>
      <c r="K160" s="10" t="s">
        <v>1250</v>
      </c>
      <c r="L160" s="1">
        <v>205</v>
      </c>
    </row>
    <row r="161" spans="1:13" customFormat="1">
      <c r="A161" s="10">
        <v>16</v>
      </c>
      <c r="B161" s="115">
        <v>125</v>
      </c>
      <c r="C161" s="1">
        <v>8</v>
      </c>
      <c r="D161" s="141" t="s">
        <v>1176</v>
      </c>
      <c r="E161" s="1">
        <v>8</v>
      </c>
      <c r="G161" s="36">
        <v>40</v>
      </c>
      <c r="H161" s="115">
        <v>500</v>
      </c>
      <c r="I161" s="36">
        <v>20</v>
      </c>
      <c r="J161" s="4" t="s">
        <v>1183</v>
      </c>
      <c r="K161" s="10" t="s">
        <v>1250</v>
      </c>
      <c r="L161" s="1">
        <v>215</v>
      </c>
    </row>
    <row r="162" spans="1:13" customFormat="1">
      <c r="A162" s="10">
        <v>16</v>
      </c>
      <c r="B162" s="115">
        <v>150</v>
      </c>
      <c r="C162" s="1">
        <v>8</v>
      </c>
      <c r="D162" s="141" t="s">
        <v>1178</v>
      </c>
      <c r="E162" s="1">
        <v>10.5</v>
      </c>
      <c r="G162" s="138">
        <v>40</v>
      </c>
      <c r="H162" s="139">
        <v>600</v>
      </c>
      <c r="I162" s="138">
        <v>20</v>
      </c>
      <c r="J162" s="138" t="s">
        <v>1252</v>
      </c>
      <c r="K162" s="10" t="s">
        <v>1250</v>
      </c>
      <c r="L162" s="1">
        <v>260</v>
      </c>
    </row>
    <row r="163" spans="1:13" customFormat="1">
      <c r="A163" s="10">
        <v>16</v>
      </c>
      <c r="B163" s="115">
        <v>200</v>
      </c>
      <c r="C163" s="1">
        <v>12</v>
      </c>
      <c r="D163" s="141" t="s">
        <v>1178</v>
      </c>
      <c r="E163" s="1">
        <v>16.5</v>
      </c>
      <c r="G163" s="36">
        <v>63</v>
      </c>
      <c r="H163" s="137">
        <v>10</v>
      </c>
      <c r="I163" s="36">
        <v>4</v>
      </c>
      <c r="J163" s="4" t="s">
        <v>86</v>
      </c>
      <c r="K163" s="10" t="s">
        <v>1250</v>
      </c>
      <c r="L163" s="10">
        <v>75</v>
      </c>
      <c r="M163" s="10">
        <v>90</v>
      </c>
    </row>
    <row r="164" spans="1:13" customFormat="1">
      <c r="A164" s="10">
        <v>16</v>
      </c>
      <c r="B164" s="115">
        <v>250</v>
      </c>
      <c r="C164" s="1">
        <v>12</v>
      </c>
      <c r="D164" s="141" t="s">
        <v>1179</v>
      </c>
      <c r="E164" s="1">
        <v>25</v>
      </c>
      <c r="G164" s="36">
        <v>63</v>
      </c>
      <c r="H164" s="115">
        <v>15</v>
      </c>
      <c r="I164" s="36">
        <v>4</v>
      </c>
      <c r="J164" s="4" t="s">
        <v>86</v>
      </c>
      <c r="K164" s="10" t="s">
        <v>1250</v>
      </c>
      <c r="L164" s="10">
        <v>75</v>
      </c>
      <c r="M164" s="10">
        <v>90</v>
      </c>
    </row>
    <row r="165" spans="1:13" customFormat="1">
      <c r="A165" s="10">
        <v>16</v>
      </c>
      <c r="B165" s="115">
        <v>300</v>
      </c>
      <c r="C165" s="1">
        <v>12</v>
      </c>
      <c r="D165" s="141" t="s">
        <v>1179</v>
      </c>
      <c r="E165" s="1">
        <v>35</v>
      </c>
      <c r="G165" s="36">
        <v>63</v>
      </c>
      <c r="H165" s="115">
        <v>20</v>
      </c>
      <c r="I165" s="36">
        <v>4</v>
      </c>
      <c r="J165" s="4" t="s">
        <v>1176</v>
      </c>
      <c r="K165" s="10" t="s">
        <v>1250</v>
      </c>
      <c r="L165" s="10">
        <v>95</v>
      </c>
      <c r="M165" s="10">
        <v>105</v>
      </c>
    </row>
    <row r="166" spans="1:13" customFormat="1">
      <c r="A166" s="10">
        <v>16</v>
      </c>
      <c r="B166" s="115">
        <v>350</v>
      </c>
      <c r="C166" s="1">
        <v>16</v>
      </c>
      <c r="D166" s="141" t="s">
        <v>1179</v>
      </c>
      <c r="E166" s="1">
        <v>48</v>
      </c>
      <c r="G166" s="36">
        <v>63</v>
      </c>
      <c r="H166" s="115">
        <v>25</v>
      </c>
      <c r="I166" s="36">
        <v>4</v>
      </c>
      <c r="J166" s="4" t="s">
        <v>1176</v>
      </c>
      <c r="K166" s="10" t="s">
        <v>1250</v>
      </c>
      <c r="L166" s="10">
        <v>95</v>
      </c>
      <c r="M166" s="10">
        <v>110</v>
      </c>
    </row>
    <row r="167" spans="1:13" customFormat="1">
      <c r="A167" s="10">
        <v>16</v>
      </c>
      <c r="B167" s="115">
        <v>400</v>
      </c>
      <c r="C167" s="1">
        <v>16</v>
      </c>
      <c r="D167" s="141" t="s">
        <v>1180</v>
      </c>
      <c r="E167" s="1">
        <v>63.5</v>
      </c>
      <c r="G167" s="36">
        <v>63</v>
      </c>
      <c r="H167" s="115">
        <v>32</v>
      </c>
      <c r="I167" s="36">
        <v>4</v>
      </c>
      <c r="J167" s="4" t="s">
        <v>1178</v>
      </c>
      <c r="K167" s="10" t="s">
        <v>1250</v>
      </c>
      <c r="L167" s="10">
        <v>105</v>
      </c>
      <c r="M167" s="10">
        <v>120</v>
      </c>
    </row>
    <row r="168" spans="1:13" customFormat="1">
      <c r="A168" s="10">
        <v>16</v>
      </c>
      <c r="B168" s="115">
        <v>450</v>
      </c>
      <c r="C168" s="1">
        <v>20</v>
      </c>
      <c r="D168" s="141" t="s">
        <v>1180</v>
      </c>
      <c r="E168" s="1">
        <v>96.5</v>
      </c>
      <c r="G168" s="36">
        <v>63</v>
      </c>
      <c r="H168" s="115">
        <v>40</v>
      </c>
      <c r="I168" s="36">
        <v>4</v>
      </c>
      <c r="J168" s="4" t="s">
        <v>1178</v>
      </c>
      <c r="K168" s="10" t="s">
        <v>1250</v>
      </c>
      <c r="L168" s="10">
        <v>110</v>
      </c>
      <c r="M168" s="10">
        <v>125</v>
      </c>
    </row>
    <row r="169" spans="1:13" customFormat="1">
      <c r="A169" s="10">
        <v>16</v>
      </c>
      <c r="B169" s="115">
        <v>500</v>
      </c>
      <c r="C169" s="1">
        <v>20</v>
      </c>
      <c r="D169" s="141" t="s">
        <v>1181</v>
      </c>
      <c r="E169" s="1">
        <v>133</v>
      </c>
      <c r="G169" s="36">
        <v>63</v>
      </c>
      <c r="H169" s="115">
        <v>50</v>
      </c>
      <c r="I169" s="36">
        <v>4</v>
      </c>
      <c r="J169" s="4" t="s">
        <v>1178</v>
      </c>
      <c r="K169" s="10" t="s">
        <v>1250</v>
      </c>
      <c r="L169" s="10">
        <v>110</v>
      </c>
      <c r="M169" s="10">
        <v>130</v>
      </c>
    </row>
    <row r="170" spans="1:13" customFormat="1">
      <c r="A170" s="10">
        <v>16</v>
      </c>
      <c r="B170" s="115">
        <v>600</v>
      </c>
      <c r="C170" s="1">
        <v>20</v>
      </c>
      <c r="D170" s="141" t="s">
        <v>1182</v>
      </c>
      <c r="E170" s="1">
        <v>226.5</v>
      </c>
      <c r="G170" s="36">
        <v>63</v>
      </c>
      <c r="H170" s="115">
        <v>65</v>
      </c>
      <c r="I170" s="36">
        <v>8</v>
      </c>
      <c r="J170" s="4" t="s">
        <v>1178</v>
      </c>
      <c r="K170" s="10" t="s">
        <v>1250</v>
      </c>
      <c r="L170" s="10">
        <v>110</v>
      </c>
      <c r="M170" s="10">
        <v>130</v>
      </c>
    </row>
    <row r="171" spans="1:13" customFormat="1">
      <c r="A171" s="10">
        <v>16</v>
      </c>
      <c r="B171" s="115">
        <v>700</v>
      </c>
      <c r="C171" s="1">
        <v>24</v>
      </c>
      <c r="D171" s="141" t="s">
        <v>1182</v>
      </c>
      <c r="E171" s="1">
        <v>236</v>
      </c>
      <c r="G171" s="36">
        <v>63</v>
      </c>
      <c r="H171" s="115">
        <v>80</v>
      </c>
      <c r="I171" s="36">
        <v>8</v>
      </c>
      <c r="J171" s="4" t="s">
        <v>1178</v>
      </c>
      <c r="K171" s="10" t="s">
        <v>1250</v>
      </c>
      <c r="L171" s="10">
        <v>115</v>
      </c>
      <c r="M171" s="10">
        <v>135</v>
      </c>
    </row>
    <row r="172" spans="1:13" customFormat="1">
      <c r="A172" s="10">
        <v>16</v>
      </c>
      <c r="B172" s="115">
        <v>800</v>
      </c>
      <c r="C172" s="1">
        <v>24</v>
      </c>
      <c r="D172" s="10" t="s">
        <v>1251</v>
      </c>
      <c r="E172" s="1">
        <v>325</v>
      </c>
      <c r="G172" s="36">
        <v>63</v>
      </c>
      <c r="H172" s="115">
        <v>100</v>
      </c>
      <c r="I172" s="36">
        <v>8</v>
      </c>
      <c r="J172" s="4" t="s">
        <v>1179</v>
      </c>
      <c r="K172" s="10" t="s">
        <v>1250</v>
      </c>
      <c r="L172" s="10">
        <v>130</v>
      </c>
      <c r="M172" s="10">
        <v>150</v>
      </c>
    </row>
    <row r="173" spans="1:13" customFormat="1">
      <c r="A173" s="10">
        <v>16</v>
      </c>
      <c r="B173" s="115">
        <v>900</v>
      </c>
      <c r="C173" s="1">
        <v>28</v>
      </c>
      <c r="D173" s="10" t="s">
        <v>1251</v>
      </c>
      <c r="E173" s="1">
        <v>437.5</v>
      </c>
      <c r="G173" s="36">
        <v>63</v>
      </c>
      <c r="H173" s="115">
        <v>125</v>
      </c>
      <c r="I173" s="36">
        <v>8</v>
      </c>
      <c r="J173" s="4" t="s">
        <v>1180</v>
      </c>
      <c r="K173" s="10" t="s">
        <v>1250</v>
      </c>
      <c r="L173" s="10">
        <v>145</v>
      </c>
      <c r="M173" s="10">
        <v>160</v>
      </c>
    </row>
    <row r="174" spans="1:13" customFormat="1">
      <c r="A174" s="10">
        <v>16</v>
      </c>
      <c r="B174" s="115">
        <v>1000</v>
      </c>
      <c r="C174" s="1">
        <v>28</v>
      </c>
      <c r="D174" s="10" t="s">
        <v>1183</v>
      </c>
      <c r="E174" s="1">
        <v>602</v>
      </c>
      <c r="G174" s="36">
        <v>63</v>
      </c>
      <c r="H174" s="115">
        <v>150</v>
      </c>
      <c r="I174" s="36">
        <v>8</v>
      </c>
      <c r="J174" s="4" t="s">
        <v>1181</v>
      </c>
      <c r="K174" s="10" t="s">
        <v>1250</v>
      </c>
      <c r="L174" s="10">
        <v>155</v>
      </c>
      <c r="M174" s="10">
        <v>170</v>
      </c>
    </row>
    <row r="175" spans="1:13" customFormat="1">
      <c r="A175" s="140">
        <v>16</v>
      </c>
      <c r="B175" s="139">
        <v>1200</v>
      </c>
      <c r="C175" s="138">
        <v>32</v>
      </c>
      <c r="D175" s="140" t="s">
        <v>1252</v>
      </c>
      <c r="E175" s="1">
        <v>999</v>
      </c>
      <c r="G175" s="36">
        <v>63</v>
      </c>
      <c r="H175" s="115">
        <v>200</v>
      </c>
      <c r="I175" s="36">
        <v>12</v>
      </c>
      <c r="J175" s="4" t="s">
        <v>1182</v>
      </c>
      <c r="K175" s="10" t="s">
        <v>1250</v>
      </c>
      <c r="L175" s="10">
        <v>170</v>
      </c>
      <c r="M175" s="10">
        <v>190</v>
      </c>
    </row>
    <row r="176" spans="1:13" customFormat="1">
      <c r="A176" s="36">
        <v>25</v>
      </c>
      <c r="B176" s="137">
        <v>10</v>
      </c>
      <c r="C176" s="36">
        <v>4</v>
      </c>
      <c r="D176" s="4" t="s">
        <v>1245</v>
      </c>
      <c r="E176" s="1">
        <v>1</v>
      </c>
      <c r="G176" s="36">
        <v>63</v>
      </c>
      <c r="H176" s="115">
        <v>250</v>
      </c>
      <c r="I176" s="36">
        <v>12</v>
      </c>
      <c r="J176" s="4" t="s">
        <v>1182</v>
      </c>
      <c r="K176" s="10" t="s">
        <v>1250</v>
      </c>
      <c r="L176" s="10">
        <v>180</v>
      </c>
      <c r="M176" s="10">
        <v>200</v>
      </c>
    </row>
    <row r="177" spans="1:13" customFormat="1">
      <c r="A177" s="36">
        <v>25</v>
      </c>
      <c r="B177" s="115">
        <v>15</v>
      </c>
      <c r="C177" s="36">
        <v>4</v>
      </c>
      <c r="D177" s="4" t="s">
        <v>1245</v>
      </c>
      <c r="E177" s="1">
        <v>1</v>
      </c>
      <c r="G177" s="36">
        <v>63</v>
      </c>
      <c r="H177" s="115">
        <v>300</v>
      </c>
      <c r="I177" s="36">
        <v>16</v>
      </c>
      <c r="J177" s="4" t="s">
        <v>1182</v>
      </c>
      <c r="K177" s="10" t="s">
        <v>1250</v>
      </c>
      <c r="L177" s="10">
        <v>195</v>
      </c>
      <c r="M177" s="10">
        <v>215</v>
      </c>
    </row>
    <row r="178" spans="1:13" customFormat="1">
      <c r="A178" s="36">
        <v>25</v>
      </c>
      <c r="B178" s="115">
        <v>20</v>
      </c>
      <c r="C178" s="36">
        <v>4</v>
      </c>
      <c r="D178" s="4" t="s">
        <v>1245</v>
      </c>
      <c r="E178" s="1">
        <v>1</v>
      </c>
      <c r="G178" s="36">
        <v>63</v>
      </c>
      <c r="H178" s="115">
        <v>350</v>
      </c>
      <c r="I178" s="36">
        <v>16</v>
      </c>
      <c r="J178" s="4" t="s">
        <v>1251</v>
      </c>
      <c r="K178" s="10" t="s">
        <v>1250</v>
      </c>
      <c r="L178" s="10">
        <v>205</v>
      </c>
      <c r="M178" s="10">
        <v>225</v>
      </c>
    </row>
    <row r="179" spans="1:13" customFormat="1">
      <c r="A179" s="36">
        <v>25</v>
      </c>
      <c r="B179" s="115">
        <v>25</v>
      </c>
      <c r="C179" s="36">
        <v>4</v>
      </c>
      <c r="D179" s="4" t="s">
        <v>1245</v>
      </c>
      <c r="E179" s="1">
        <v>1.5</v>
      </c>
      <c r="G179" s="138">
        <v>63</v>
      </c>
      <c r="H179" s="139">
        <v>400</v>
      </c>
      <c r="I179" s="138">
        <v>16</v>
      </c>
      <c r="J179" s="140" t="s">
        <v>1183</v>
      </c>
      <c r="K179" s="10" t="s">
        <v>1250</v>
      </c>
      <c r="L179" s="10">
        <v>220</v>
      </c>
      <c r="M179" s="10">
        <v>240</v>
      </c>
    </row>
    <row r="180" spans="1:13" customFormat="1">
      <c r="A180" s="36">
        <v>25</v>
      </c>
      <c r="B180" s="115">
        <v>32</v>
      </c>
      <c r="C180" s="36">
        <v>4</v>
      </c>
      <c r="D180" s="4" t="s">
        <v>1246</v>
      </c>
      <c r="E180" s="1">
        <v>2</v>
      </c>
    </row>
    <row r="181" spans="1:13" customFormat="1">
      <c r="A181" s="36">
        <v>25</v>
      </c>
      <c r="B181" s="115">
        <v>40</v>
      </c>
      <c r="C181" s="36">
        <v>4</v>
      </c>
      <c r="D181" s="4" t="s">
        <v>1246</v>
      </c>
      <c r="E181" s="1">
        <v>2.5</v>
      </c>
    </row>
    <row r="182" spans="1:13" customFormat="1">
      <c r="A182" s="36">
        <v>25</v>
      </c>
      <c r="B182" s="115">
        <v>50</v>
      </c>
      <c r="C182" s="36">
        <v>4</v>
      </c>
      <c r="D182" s="4" t="s">
        <v>1246</v>
      </c>
      <c r="E182" s="1">
        <v>3</v>
      </c>
    </row>
    <row r="183" spans="1:13" customFormat="1">
      <c r="A183" s="36">
        <v>25</v>
      </c>
      <c r="B183" s="115">
        <v>65</v>
      </c>
      <c r="C183" s="36">
        <v>8</v>
      </c>
      <c r="D183" s="4" t="s">
        <v>1246</v>
      </c>
      <c r="E183" s="1">
        <v>4.5</v>
      </c>
    </row>
    <row r="184" spans="1:13" customFormat="1">
      <c r="A184" s="36">
        <v>25</v>
      </c>
      <c r="B184" s="115">
        <v>80</v>
      </c>
      <c r="C184" s="36">
        <v>8</v>
      </c>
      <c r="D184" s="4" t="s">
        <v>1246</v>
      </c>
      <c r="E184" s="1">
        <v>5.5</v>
      </c>
    </row>
    <row r="185" spans="1:13" customFormat="1">
      <c r="A185" s="36">
        <v>25</v>
      </c>
      <c r="B185" s="115">
        <v>100</v>
      </c>
      <c r="C185" s="36">
        <v>8</v>
      </c>
      <c r="D185" s="4" t="s">
        <v>1247</v>
      </c>
      <c r="E185" s="1">
        <v>7.5</v>
      </c>
    </row>
    <row r="186" spans="1:13" customFormat="1">
      <c r="A186" s="36">
        <v>25</v>
      </c>
      <c r="B186" s="115">
        <v>125</v>
      </c>
      <c r="C186" s="36">
        <v>8</v>
      </c>
      <c r="D186" s="4" t="s">
        <v>1248</v>
      </c>
      <c r="E186" s="1">
        <v>11</v>
      </c>
    </row>
    <row r="187" spans="1:13" customFormat="1">
      <c r="A187" s="36">
        <v>25</v>
      </c>
      <c r="B187" s="115">
        <v>150</v>
      </c>
      <c r="C187" s="36">
        <v>8</v>
      </c>
      <c r="D187" s="4" t="s">
        <v>1248</v>
      </c>
      <c r="E187" s="1">
        <v>14.5</v>
      </c>
    </row>
    <row r="188" spans="1:13" customFormat="1">
      <c r="A188" s="36">
        <v>25</v>
      </c>
      <c r="B188" s="115">
        <v>200</v>
      </c>
      <c r="C188" s="36">
        <v>12</v>
      </c>
      <c r="D188" s="4" t="s">
        <v>1248</v>
      </c>
      <c r="E188" s="1">
        <v>22.5</v>
      </c>
    </row>
    <row r="189" spans="1:13" customFormat="1">
      <c r="A189" s="36">
        <v>25</v>
      </c>
      <c r="B189" s="115">
        <v>250</v>
      </c>
      <c r="C189" s="36">
        <v>12</v>
      </c>
      <c r="D189" s="4" t="s">
        <v>1249</v>
      </c>
      <c r="E189" s="1">
        <v>33.5</v>
      </c>
    </row>
    <row r="190" spans="1:13" customFormat="1">
      <c r="A190" s="36">
        <v>25</v>
      </c>
      <c r="B190" s="115">
        <v>300</v>
      </c>
      <c r="C190" s="36">
        <v>16</v>
      </c>
      <c r="D190" s="4" t="s">
        <v>1249</v>
      </c>
      <c r="E190" s="1">
        <v>46.5</v>
      </c>
    </row>
    <row r="191" spans="1:13" customFormat="1">
      <c r="A191" s="36">
        <v>25</v>
      </c>
      <c r="B191" s="115">
        <v>350</v>
      </c>
      <c r="C191" s="36">
        <v>16</v>
      </c>
      <c r="D191" s="4" t="s">
        <v>1253</v>
      </c>
      <c r="E191" s="1">
        <v>68</v>
      </c>
    </row>
    <row r="192" spans="1:13" customFormat="1">
      <c r="A192" s="36">
        <v>25</v>
      </c>
      <c r="B192" s="115">
        <v>400</v>
      </c>
      <c r="C192" s="36">
        <v>16</v>
      </c>
      <c r="D192" s="4" t="s">
        <v>1254</v>
      </c>
      <c r="E192" s="1">
        <v>89.5</v>
      </c>
    </row>
    <row r="193" spans="1:5" customFormat="1">
      <c r="A193" s="36">
        <v>25</v>
      </c>
      <c r="B193" s="115">
        <v>450</v>
      </c>
      <c r="C193" s="36">
        <v>20</v>
      </c>
      <c r="D193" s="4" t="s">
        <v>1254</v>
      </c>
      <c r="E193" s="1">
        <v>120</v>
      </c>
    </row>
    <row r="194" spans="1:5" customFormat="1">
      <c r="A194" s="36">
        <v>25</v>
      </c>
      <c r="B194" s="115">
        <v>500</v>
      </c>
      <c r="C194" s="36">
        <v>20</v>
      </c>
      <c r="D194" s="4" t="s">
        <v>1254</v>
      </c>
      <c r="E194" s="1">
        <v>150</v>
      </c>
    </row>
    <row r="195" spans="1:5" customFormat="1">
      <c r="A195" s="138">
        <v>25</v>
      </c>
      <c r="B195" s="139">
        <v>600</v>
      </c>
      <c r="C195" s="138">
        <v>20</v>
      </c>
      <c r="D195" s="140" t="s">
        <v>1255</v>
      </c>
      <c r="E195" s="1">
        <v>244.5</v>
      </c>
    </row>
    <row r="196" spans="1:5" customFormat="1">
      <c r="A196" s="36">
        <v>40</v>
      </c>
      <c r="B196" s="137">
        <v>10</v>
      </c>
      <c r="C196" s="36">
        <v>4</v>
      </c>
      <c r="D196" s="4" t="s">
        <v>1245</v>
      </c>
      <c r="E196" s="1">
        <v>1</v>
      </c>
    </row>
    <row r="197" spans="1:5" customFormat="1">
      <c r="A197" s="36">
        <v>40</v>
      </c>
      <c r="B197" s="115">
        <v>15</v>
      </c>
      <c r="C197" s="36">
        <v>4</v>
      </c>
      <c r="D197" s="4" t="s">
        <v>1245</v>
      </c>
      <c r="E197" s="1">
        <v>1</v>
      </c>
    </row>
    <row r="198" spans="1:5" customFormat="1">
      <c r="A198" s="36">
        <v>40</v>
      </c>
      <c r="B198" s="115">
        <v>20</v>
      </c>
      <c r="C198" s="36">
        <v>4</v>
      </c>
      <c r="D198" s="4" t="s">
        <v>1245</v>
      </c>
      <c r="E198" s="1">
        <v>1</v>
      </c>
    </row>
    <row r="199" spans="1:5" customFormat="1">
      <c r="A199" s="36">
        <v>40</v>
      </c>
      <c r="B199" s="115">
        <v>25</v>
      </c>
      <c r="C199" s="36">
        <v>4</v>
      </c>
      <c r="D199" s="4" t="s">
        <v>1245</v>
      </c>
      <c r="E199" s="1">
        <v>1.5</v>
      </c>
    </row>
    <row r="200" spans="1:5" customFormat="1">
      <c r="A200" s="36">
        <v>40</v>
      </c>
      <c r="B200" s="115">
        <v>32</v>
      </c>
      <c r="C200" s="36">
        <v>4</v>
      </c>
      <c r="D200" s="4" t="s">
        <v>1246</v>
      </c>
      <c r="E200" s="1">
        <v>2</v>
      </c>
    </row>
    <row r="201" spans="1:5" customFormat="1">
      <c r="A201" s="36">
        <v>40</v>
      </c>
      <c r="B201" s="115">
        <v>40</v>
      </c>
      <c r="C201" s="36">
        <v>4</v>
      </c>
      <c r="D201" s="4" t="s">
        <v>1246</v>
      </c>
      <c r="E201" s="1">
        <v>2.5</v>
      </c>
    </row>
    <row r="202" spans="1:5" customFormat="1">
      <c r="A202" s="36">
        <v>40</v>
      </c>
      <c r="B202" s="115">
        <v>50</v>
      </c>
      <c r="C202" s="36">
        <v>4</v>
      </c>
      <c r="D202" s="4" t="s">
        <v>1246</v>
      </c>
      <c r="E202" s="1">
        <v>3</v>
      </c>
    </row>
    <row r="203" spans="1:5" customFormat="1">
      <c r="A203" s="36">
        <v>40</v>
      </c>
      <c r="B203" s="115">
        <v>65</v>
      </c>
      <c r="C203" s="36">
        <v>8</v>
      </c>
      <c r="D203" s="4" t="s">
        <v>1246</v>
      </c>
      <c r="E203" s="1">
        <v>4.5</v>
      </c>
    </row>
    <row r="204" spans="1:5" customFormat="1">
      <c r="A204" s="36">
        <v>40</v>
      </c>
      <c r="B204" s="115">
        <v>80</v>
      </c>
      <c r="C204" s="36">
        <v>8</v>
      </c>
      <c r="D204" s="4" t="s">
        <v>1246</v>
      </c>
      <c r="E204" s="1">
        <v>5.5</v>
      </c>
    </row>
    <row r="205" spans="1:5" customFormat="1">
      <c r="A205" s="36">
        <v>40</v>
      </c>
      <c r="B205" s="115">
        <v>100</v>
      </c>
      <c r="C205" s="36">
        <v>8</v>
      </c>
      <c r="D205" s="4" t="s">
        <v>1247</v>
      </c>
      <c r="E205" s="1">
        <v>7.5</v>
      </c>
    </row>
    <row r="206" spans="1:5" customFormat="1">
      <c r="A206" s="36">
        <v>40</v>
      </c>
      <c r="B206" s="115">
        <v>125</v>
      </c>
      <c r="C206" s="36">
        <v>8</v>
      </c>
      <c r="D206" s="4" t="s">
        <v>1248</v>
      </c>
      <c r="E206" s="1">
        <v>11</v>
      </c>
    </row>
    <row r="207" spans="1:5" customFormat="1">
      <c r="A207" s="36">
        <v>40</v>
      </c>
      <c r="B207" s="115">
        <v>150</v>
      </c>
      <c r="C207" s="36">
        <v>8</v>
      </c>
      <c r="D207" s="4" t="s">
        <v>1248</v>
      </c>
      <c r="E207" s="1">
        <v>14.5</v>
      </c>
    </row>
    <row r="208" spans="1:5" customFormat="1">
      <c r="A208" s="36">
        <v>40</v>
      </c>
      <c r="B208" s="115">
        <v>200</v>
      </c>
      <c r="C208" s="36">
        <v>12</v>
      </c>
      <c r="D208" s="4" t="s">
        <v>1249</v>
      </c>
      <c r="E208" s="1">
        <v>29</v>
      </c>
    </row>
    <row r="209" spans="1:5" customFormat="1">
      <c r="A209" s="36">
        <v>40</v>
      </c>
      <c r="B209" s="115">
        <v>250</v>
      </c>
      <c r="C209" s="36">
        <v>12</v>
      </c>
      <c r="D209" s="4" t="s">
        <v>1253</v>
      </c>
      <c r="E209" s="1">
        <v>44.5</v>
      </c>
    </row>
    <row r="210" spans="1:5" customFormat="1">
      <c r="A210" s="36">
        <v>40</v>
      </c>
      <c r="B210" s="115">
        <v>300</v>
      </c>
      <c r="C210" s="36">
        <v>16</v>
      </c>
      <c r="D210" s="4" t="s">
        <v>1253</v>
      </c>
      <c r="E210" s="1">
        <v>64</v>
      </c>
    </row>
    <row r="211" spans="1:5" customFormat="1">
      <c r="A211" s="36">
        <v>40</v>
      </c>
      <c r="B211" s="115">
        <v>350</v>
      </c>
      <c r="C211" s="36">
        <v>16</v>
      </c>
      <c r="D211" s="4" t="s">
        <v>1254</v>
      </c>
      <c r="E211" s="1">
        <v>89.5</v>
      </c>
    </row>
    <row r="212" spans="1:5" customFormat="1">
      <c r="A212" s="36">
        <v>40</v>
      </c>
      <c r="B212" s="115">
        <v>400</v>
      </c>
      <c r="C212" s="36">
        <v>16</v>
      </c>
      <c r="D212" s="4" t="s">
        <v>1251</v>
      </c>
      <c r="E212" s="1">
        <v>127</v>
      </c>
    </row>
    <row r="213" spans="1:5" customFormat="1">
      <c r="A213" s="36">
        <v>40</v>
      </c>
      <c r="B213" s="115">
        <v>450</v>
      </c>
      <c r="C213" s="36">
        <v>20</v>
      </c>
      <c r="D213" s="4" t="s">
        <v>1251</v>
      </c>
      <c r="E213" s="1">
        <v>154</v>
      </c>
    </row>
    <row r="214" spans="1:5" customFormat="1">
      <c r="A214" s="36">
        <v>40</v>
      </c>
      <c r="B214" s="115">
        <v>500</v>
      </c>
      <c r="C214" s="36">
        <v>20</v>
      </c>
      <c r="D214" s="4" t="s">
        <v>1183</v>
      </c>
      <c r="E214" s="1">
        <v>188</v>
      </c>
    </row>
    <row r="215" spans="1:5" customFormat="1">
      <c r="A215" s="138">
        <v>40</v>
      </c>
      <c r="B215" s="139">
        <v>600</v>
      </c>
      <c r="C215" s="138">
        <v>20</v>
      </c>
      <c r="D215" s="140" t="s">
        <v>1252</v>
      </c>
      <c r="E215" s="1">
        <v>331</v>
      </c>
    </row>
    <row r="216" spans="1:5" customFormat="1">
      <c r="A216" s="36">
        <v>63</v>
      </c>
      <c r="B216" s="137">
        <v>10</v>
      </c>
      <c r="C216" s="36">
        <v>4</v>
      </c>
      <c r="D216" s="4" t="s">
        <v>86</v>
      </c>
      <c r="E216" s="1">
        <v>1</v>
      </c>
    </row>
    <row r="217" spans="1:5" customFormat="1">
      <c r="A217" s="36">
        <v>63</v>
      </c>
      <c r="B217" s="115">
        <v>15</v>
      </c>
      <c r="C217" s="36">
        <v>4</v>
      </c>
      <c r="D217" s="4" t="s">
        <v>86</v>
      </c>
      <c r="E217" s="1">
        <v>1.5</v>
      </c>
    </row>
    <row r="218" spans="1:5" customFormat="1">
      <c r="A218" s="36">
        <v>63</v>
      </c>
      <c r="B218" s="115">
        <v>20</v>
      </c>
      <c r="C218" s="36">
        <v>4</v>
      </c>
      <c r="D218" s="4" t="s">
        <v>1176</v>
      </c>
      <c r="E218" s="1">
        <v>2</v>
      </c>
    </row>
    <row r="219" spans="1:5" customFormat="1">
      <c r="A219" s="36">
        <v>63</v>
      </c>
      <c r="B219" s="115">
        <v>25</v>
      </c>
      <c r="C219" s="36">
        <v>4</v>
      </c>
      <c r="D219" s="4" t="s">
        <v>1176</v>
      </c>
      <c r="E219" s="1">
        <v>2.5</v>
      </c>
    </row>
    <row r="220" spans="1:5" customFormat="1">
      <c r="A220" s="36">
        <v>63</v>
      </c>
      <c r="B220" s="115">
        <v>32</v>
      </c>
      <c r="C220" s="36">
        <v>4</v>
      </c>
      <c r="D220" s="4" t="s">
        <v>1178</v>
      </c>
      <c r="E220" s="1">
        <v>3.5</v>
      </c>
    </row>
    <row r="221" spans="1:5" customFormat="1">
      <c r="A221" s="36">
        <v>63</v>
      </c>
      <c r="B221" s="115">
        <v>40</v>
      </c>
      <c r="C221" s="36">
        <v>4</v>
      </c>
      <c r="D221" s="4" t="s">
        <v>1178</v>
      </c>
      <c r="E221" s="1">
        <v>4.5</v>
      </c>
    </row>
    <row r="222" spans="1:5" customFormat="1">
      <c r="A222" s="36">
        <v>63</v>
      </c>
      <c r="B222" s="115">
        <v>50</v>
      </c>
      <c r="C222" s="36">
        <v>4</v>
      </c>
      <c r="D222" s="4" t="s">
        <v>1178</v>
      </c>
      <c r="E222" s="1">
        <v>5</v>
      </c>
    </row>
    <row r="223" spans="1:5" customFormat="1">
      <c r="A223" s="36">
        <v>63</v>
      </c>
      <c r="B223" s="115">
        <v>65</v>
      </c>
      <c r="C223" s="36">
        <v>8</v>
      </c>
      <c r="D223" s="4" t="s">
        <v>1178</v>
      </c>
      <c r="E223" s="1">
        <v>6</v>
      </c>
    </row>
    <row r="224" spans="1:5" customFormat="1">
      <c r="A224" s="36">
        <v>63</v>
      </c>
      <c r="B224" s="115">
        <v>80</v>
      </c>
      <c r="C224" s="36">
        <v>8</v>
      </c>
      <c r="D224" s="4" t="s">
        <v>1178</v>
      </c>
      <c r="E224" s="1">
        <v>7.5</v>
      </c>
    </row>
    <row r="225" spans="1:8" customFormat="1">
      <c r="A225" s="36">
        <v>63</v>
      </c>
      <c r="B225" s="115">
        <v>100</v>
      </c>
      <c r="C225" s="36">
        <v>8</v>
      </c>
      <c r="D225" s="4" t="s">
        <v>1179</v>
      </c>
      <c r="E225" s="1">
        <v>10.5</v>
      </c>
    </row>
    <row r="226" spans="1:8" customFormat="1">
      <c r="A226" s="36">
        <v>63</v>
      </c>
      <c r="B226" s="115">
        <v>125</v>
      </c>
      <c r="C226" s="36">
        <v>8</v>
      </c>
      <c r="D226" s="4" t="s">
        <v>1180</v>
      </c>
      <c r="E226" s="1">
        <v>16.5</v>
      </c>
    </row>
    <row r="227" spans="1:8" customFormat="1">
      <c r="A227" s="36">
        <v>63</v>
      </c>
      <c r="B227" s="115">
        <v>150</v>
      </c>
      <c r="C227" s="36">
        <v>8</v>
      </c>
      <c r="D227" s="4" t="s">
        <v>1181</v>
      </c>
      <c r="E227" s="1">
        <v>24.5</v>
      </c>
    </row>
    <row r="228" spans="1:8" customFormat="1">
      <c r="A228" s="36">
        <v>63</v>
      </c>
      <c r="B228" s="115">
        <v>200</v>
      </c>
      <c r="C228" s="36">
        <v>12</v>
      </c>
      <c r="D228" s="4" t="s">
        <v>1182</v>
      </c>
      <c r="E228" s="1">
        <v>40.5</v>
      </c>
    </row>
    <row r="229" spans="1:8" customFormat="1">
      <c r="A229" s="36">
        <v>63</v>
      </c>
      <c r="B229" s="115">
        <v>250</v>
      </c>
      <c r="C229" s="36">
        <v>12</v>
      </c>
      <c r="D229" s="4" t="s">
        <v>1182</v>
      </c>
      <c r="E229" s="1">
        <v>58</v>
      </c>
    </row>
    <row r="230" spans="1:8" customFormat="1">
      <c r="A230" s="36">
        <v>63</v>
      </c>
      <c r="B230" s="115">
        <v>300</v>
      </c>
      <c r="C230" s="36">
        <v>16</v>
      </c>
      <c r="D230" s="4" t="s">
        <v>1182</v>
      </c>
      <c r="E230" s="1">
        <v>83.5</v>
      </c>
    </row>
    <row r="231" spans="1:8" customFormat="1">
      <c r="A231" s="36">
        <v>63</v>
      </c>
      <c r="B231" s="115">
        <v>350</v>
      </c>
      <c r="C231" s="36">
        <v>16</v>
      </c>
      <c r="D231" s="4" t="s">
        <v>1251</v>
      </c>
      <c r="E231" s="1">
        <v>116</v>
      </c>
    </row>
    <row r="232" spans="1:8" customFormat="1">
      <c r="A232" s="138">
        <v>63</v>
      </c>
      <c r="B232" s="139">
        <v>400</v>
      </c>
      <c r="C232" s="138">
        <v>16</v>
      </c>
      <c r="D232" s="140" t="s">
        <v>1183</v>
      </c>
      <c r="E232" s="1">
        <v>155.5</v>
      </c>
    </row>
    <row r="234" spans="1:8" customFormat="1">
      <c r="A234" s="53" t="s">
        <v>1256</v>
      </c>
    </row>
    <row r="235" spans="1:8" customFormat="1">
      <c r="A235" s="10" t="s">
        <v>1201</v>
      </c>
      <c r="B235" s="115" t="s">
        <v>1201</v>
      </c>
      <c r="C235" s="1" t="s">
        <v>1235</v>
      </c>
      <c r="D235" s="234" t="s">
        <v>1170</v>
      </c>
      <c r="E235" s="1" t="s">
        <v>1185</v>
      </c>
      <c r="F235" s="203" t="s">
        <v>1257</v>
      </c>
      <c r="G235" s="210" t="s">
        <v>1237</v>
      </c>
      <c r="H235" s="236" t="s">
        <v>1258</v>
      </c>
    </row>
    <row r="236" spans="1:8" customFormat="1">
      <c r="A236" s="10" t="s">
        <v>1239</v>
      </c>
      <c r="B236" s="115" t="s">
        <v>1203</v>
      </c>
      <c r="C236" s="1" t="s">
        <v>116</v>
      </c>
      <c r="D236" s="208"/>
      <c r="E236" s="1" t="s">
        <v>16</v>
      </c>
      <c r="F236" s="203"/>
      <c r="G236" s="235"/>
      <c r="H236" s="237"/>
    </row>
    <row r="237" spans="1:8" customFormat="1">
      <c r="A237" s="10" t="s">
        <v>1240</v>
      </c>
      <c r="B237" s="115" t="s">
        <v>1205</v>
      </c>
      <c r="C237" s="1" t="s">
        <v>1241</v>
      </c>
      <c r="D237" s="1" t="s">
        <v>1242</v>
      </c>
      <c r="E237" s="1" t="s">
        <v>1259</v>
      </c>
      <c r="F237" s="10" t="s">
        <v>102</v>
      </c>
      <c r="G237" s="208"/>
      <c r="H237" s="238"/>
    </row>
    <row r="238" spans="1:8" customFormat="1">
      <c r="A238" s="10">
        <v>150</v>
      </c>
      <c r="B238" s="115">
        <v>15</v>
      </c>
      <c r="C238" s="1">
        <v>4</v>
      </c>
      <c r="D238" s="10" t="s">
        <v>1174</v>
      </c>
      <c r="E238" s="1">
        <v>9.6</v>
      </c>
      <c r="F238" s="1">
        <v>0.91</v>
      </c>
      <c r="G238" s="115">
        <v>50</v>
      </c>
      <c r="H238" s="142">
        <v>65</v>
      </c>
    </row>
    <row r="239" spans="1:8" customFormat="1">
      <c r="A239" s="10">
        <v>150</v>
      </c>
      <c r="B239" s="115">
        <v>20</v>
      </c>
      <c r="C239" s="1">
        <v>4</v>
      </c>
      <c r="D239" s="10" t="s">
        <v>1174</v>
      </c>
      <c r="E239" s="1">
        <v>11.2</v>
      </c>
      <c r="F239" s="1">
        <v>0.91</v>
      </c>
      <c r="G239" s="115">
        <v>50</v>
      </c>
      <c r="H239" s="142">
        <v>70</v>
      </c>
    </row>
    <row r="240" spans="1:8" customFormat="1">
      <c r="A240" s="10">
        <v>150</v>
      </c>
      <c r="B240" s="115">
        <v>25</v>
      </c>
      <c r="C240" s="1">
        <v>4</v>
      </c>
      <c r="D240" s="10" t="s">
        <v>1174</v>
      </c>
      <c r="E240" s="1">
        <v>12.7</v>
      </c>
      <c r="F240" s="1">
        <v>0.91</v>
      </c>
      <c r="G240" s="115">
        <v>55</v>
      </c>
      <c r="H240" s="142">
        <v>70</v>
      </c>
    </row>
    <row r="241" spans="1:8" customFormat="1">
      <c r="A241" s="10">
        <v>150</v>
      </c>
      <c r="B241" s="115">
        <v>32</v>
      </c>
      <c r="C241" s="1">
        <v>4</v>
      </c>
      <c r="D241" s="10" t="s">
        <v>1174</v>
      </c>
      <c r="E241" s="1">
        <v>14.3</v>
      </c>
      <c r="F241" s="1">
        <v>1.36</v>
      </c>
      <c r="G241" s="115">
        <v>55</v>
      </c>
      <c r="H241" s="142">
        <v>75</v>
      </c>
    </row>
    <row r="242" spans="1:8" customFormat="1">
      <c r="A242" s="10">
        <v>150</v>
      </c>
      <c r="B242" s="115">
        <v>40</v>
      </c>
      <c r="C242" s="1">
        <v>4</v>
      </c>
      <c r="D242" s="10" t="s">
        <v>1174</v>
      </c>
      <c r="E242" s="1">
        <v>15.9</v>
      </c>
      <c r="F242" s="1">
        <v>1.36</v>
      </c>
      <c r="G242" s="115">
        <v>60</v>
      </c>
      <c r="H242" s="142">
        <v>80</v>
      </c>
    </row>
    <row r="243" spans="1:8" customFormat="1">
      <c r="A243" s="10">
        <v>150</v>
      </c>
      <c r="B243" s="115">
        <v>50</v>
      </c>
      <c r="C243" s="1">
        <v>4</v>
      </c>
      <c r="D243" s="10" t="s">
        <v>1176</v>
      </c>
      <c r="E243" s="1">
        <v>17.5</v>
      </c>
      <c r="F243" s="1">
        <v>1.82</v>
      </c>
      <c r="G243" s="115">
        <v>65</v>
      </c>
      <c r="H243" s="115">
        <v>85</v>
      </c>
    </row>
    <row r="244" spans="1:8" customFormat="1">
      <c r="A244" s="10">
        <v>150</v>
      </c>
      <c r="B244" s="115">
        <v>65</v>
      </c>
      <c r="C244" s="1">
        <v>4</v>
      </c>
      <c r="D244" s="10" t="s">
        <v>1176</v>
      </c>
      <c r="E244" s="1">
        <v>20.7</v>
      </c>
      <c r="F244" s="1">
        <v>3.18</v>
      </c>
      <c r="G244" s="115">
        <v>70</v>
      </c>
      <c r="H244" s="115">
        <v>95</v>
      </c>
    </row>
    <row r="245" spans="1:8" customFormat="1">
      <c r="A245" s="10">
        <v>150</v>
      </c>
      <c r="B245" s="115">
        <v>80</v>
      </c>
      <c r="C245" s="1">
        <v>4</v>
      </c>
      <c r="D245" s="10" t="s">
        <v>1176</v>
      </c>
      <c r="E245" s="1">
        <v>22.3</v>
      </c>
      <c r="F245" s="1">
        <v>4.09</v>
      </c>
      <c r="G245" s="115">
        <v>75</v>
      </c>
      <c r="H245" s="115">
        <v>95</v>
      </c>
    </row>
    <row r="246" spans="1:8" customFormat="1">
      <c r="A246" s="10">
        <v>150</v>
      </c>
      <c r="B246" s="115">
        <v>100</v>
      </c>
      <c r="C246" s="1">
        <v>8</v>
      </c>
      <c r="D246" s="10" t="s">
        <v>1176</v>
      </c>
      <c r="E246" s="1">
        <v>22.3</v>
      </c>
      <c r="F246" s="1">
        <v>7.72</v>
      </c>
      <c r="G246" s="115">
        <v>75</v>
      </c>
      <c r="H246" s="115">
        <v>95</v>
      </c>
    </row>
    <row r="247" spans="1:8" customFormat="1">
      <c r="A247" s="10">
        <v>150</v>
      </c>
      <c r="B247" s="115">
        <v>125</v>
      </c>
      <c r="C247" s="1">
        <v>8</v>
      </c>
      <c r="D247" s="10" t="s">
        <v>1178</v>
      </c>
      <c r="E247" s="1">
        <v>22.3</v>
      </c>
      <c r="F247" s="1">
        <v>9.08</v>
      </c>
      <c r="G247" s="115">
        <v>80</v>
      </c>
      <c r="H247" s="115">
        <v>110</v>
      </c>
    </row>
    <row r="248" spans="1:8" customFormat="1">
      <c r="A248" s="10">
        <v>150</v>
      </c>
      <c r="B248" s="115">
        <v>150</v>
      </c>
      <c r="C248" s="1">
        <v>8</v>
      </c>
      <c r="D248" s="10" t="s">
        <v>1178</v>
      </c>
      <c r="E248" s="1">
        <v>23.9</v>
      </c>
      <c r="F248" s="1">
        <v>12.26</v>
      </c>
      <c r="G248" s="115">
        <v>85</v>
      </c>
      <c r="H248" s="115">
        <v>110</v>
      </c>
    </row>
    <row r="249" spans="1:8" customFormat="1">
      <c r="A249" s="10">
        <v>150</v>
      </c>
      <c r="B249" s="115">
        <v>200</v>
      </c>
      <c r="C249" s="1">
        <v>8</v>
      </c>
      <c r="D249" s="10" t="s">
        <v>1178</v>
      </c>
      <c r="E249" s="1">
        <v>27</v>
      </c>
      <c r="F249" s="1">
        <v>21.34</v>
      </c>
      <c r="G249" s="115">
        <v>90</v>
      </c>
      <c r="H249" s="115">
        <v>115</v>
      </c>
    </row>
    <row r="250" spans="1:8" customFormat="1">
      <c r="A250" s="10">
        <v>150</v>
      </c>
      <c r="B250" s="115">
        <v>250</v>
      </c>
      <c r="C250" s="116">
        <v>12</v>
      </c>
      <c r="D250" s="10" t="s">
        <v>1179</v>
      </c>
      <c r="E250" s="116">
        <v>28.6</v>
      </c>
      <c r="F250" s="1">
        <v>30.42</v>
      </c>
      <c r="G250" s="115">
        <v>100</v>
      </c>
      <c r="H250" s="115">
        <v>130</v>
      </c>
    </row>
    <row r="251" spans="1:8" customFormat="1">
      <c r="A251" s="10">
        <v>150</v>
      </c>
      <c r="B251" s="115">
        <v>300</v>
      </c>
      <c r="C251" s="1">
        <v>12</v>
      </c>
      <c r="D251" s="10" t="s">
        <v>1179</v>
      </c>
      <c r="E251" s="1">
        <v>30.2</v>
      </c>
      <c r="F251" s="1">
        <v>45</v>
      </c>
      <c r="G251" s="115">
        <v>100</v>
      </c>
      <c r="H251" s="115">
        <v>135</v>
      </c>
    </row>
    <row r="252" spans="1:8" customFormat="1">
      <c r="A252" s="10">
        <v>150</v>
      </c>
      <c r="B252" s="115">
        <v>350</v>
      </c>
      <c r="C252" s="1">
        <v>12</v>
      </c>
      <c r="D252" s="10" t="s">
        <v>1180</v>
      </c>
      <c r="E252" s="1">
        <v>33.4</v>
      </c>
      <c r="F252" s="1">
        <v>63.11</v>
      </c>
      <c r="G252" s="115">
        <v>110</v>
      </c>
      <c r="H252" s="115">
        <v>150</v>
      </c>
    </row>
    <row r="253" spans="1:8" customFormat="1">
      <c r="A253" s="10">
        <v>150</v>
      </c>
      <c r="B253" s="115">
        <v>400</v>
      </c>
      <c r="C253" s="1">
        <v>16</v>
      </c>
      <c r="D253" s="10" t="s">
        <v>1180</v>
      </c>
      <c r="E253" s="1">
        <v>35</v>
      </c>
      <c r="F253" s="1">
        <v>84.9</v>
      </c>
      <c r="G253" s="115">
        <v>115</v>
      </c>
      <c r="H253" s="115">
        <v>150</v>
      </c>
    </row>
    <row r="254" spans="1:8" customFormat="1">
      <c r="A254" s="10">
        <v>150</v>
      </c>
      <c r="B254" s="115">
        <v>450</v>
      </c>
      <c r="C254" s="1">
        <v>16</v>
      </c>
      <c r="D254" s="10" t="s">
        <v>1181</v>
      </c>
      <c r="E254" s="1">
        <v>38.1</v>
      </c>
      <c r="F254" s="1">
        <v>98.52</v>
      </c>
      <c r="G254" s="115">
        <v>125</v>
      </c>
      <c r="H254" s="115">
        <v>165</v>
      </c>
    </row>
    <row r="255" spans="1:8" customFormat="1">
      <c r="A255" s="10">
        <v>150</v>
      </c>
      <c r="B255" s="115">
        <v>500</v>
      </c>
      <c r="C255" s="1">
        <v>20</v>
      </c>
      <c r="D255" s="10" t="s">
        <v>1181</v>
      </c>
      <c r="E255" s="1">
        <v>41.3</v>
      </c>
      <c r="F255" s="1">
        <v>128.47999999999999</v>
      </c>
      <c r="G255" s="115">
        <v>130</v>
      </c>
      <c r="H255" s="115">
        <v>170</v>
      </c>
    </row>
    <row r="256" spans="1:8" customFormat="1">
      <c r="A256" s="140">
        <v>150</v>
      </c>
      <c r="B256" s="139">
        <v>600</v>
      </c>
      <c r="C256" s="138">
        <v>20</v>
      </c>
      <c r="D256" s="140" t="s">
        <v>1182</v>
      </c>
      <c r="E256" s="138">
        <v>46.1</v>
      </c>
      <c r="F256" s="138">
        <v>188.41</v>
      </c>
      <c r="G256" s="115">
        <v>145</v>
      </c>
      <c r="H256" s="115">
        <v>190</v>
      </c>
    </row>
    <row r="257" spans="1:8" customFormat="1">
      <c r="A257" s="36">
        <v>300</v>
      </c>
      <c r="B257" s="137">
        <v>15</v>
      </c>
      <c r="C257" s="36">
        <v>4</v>
      </c>
      <c r="D257" s="4" t="s">
        <v>1174</v>
      </c>
      <c r="E257" s="36">
        <v>12.7</v>
      </c>
      <c r="F257" s="36">
        <v>0.91</v>
      </c>
      <c r="G257" s="142" t="s">
        <v>1250</v>
      </c>
      <c r="H257" s="115">
        <v>70</v>
      </c>
    </row>
    <row r="258" spans="1:8" customFormat="1">
      <c r="A258" s="1">
        <v>300</v>
      </c>
      <c r="B258" s="115">
        <v>20</v>
      </c>
      <c r="C258" s="1">
        <v>4</v>
      </c>
      <c r="D258" s="10" t="s">
        <v>1176</v>
      </c>
      <c r="E258" s="1">
        <v>14.3</v>
      </c>
      <c r="F258" s="1">
        <v>1.36</v>
      </c>
      <c r="G258" s="142" t="s">
        <v>1250</v>
      </c>
      <c r="H258" s="115">
        <v>80</v>
      </c>
    </row>
    <row r="259" spans="1:8" customFormat="1">
      <c r="A259" s="1">
        <v>300</v>
      </c>
      <c r="B259" s="115">
        <v>25</v>
      </c>
      <c r="C259" s="1">
        <v>4</v>
      </c>
      <c r="D259" s="141" t="s">
        <v>1176</v>
      </c>
      <c r="E259" s="1">
        <v>15.9</v>
      </c>
      <c r="F259" s="1">
        <v>1.82</v>
      </c>
      <c r="G259" s="142" t="s">
        <v>1250</v>
      </c>
      <c r="H259" s="115">
        <v>85</v>
      </c>
    </row>
    <row r="260" spans="1:8" customFormat="1">
      <c r="A260" s="1">
        <v>300</v>
      </c>
      <c r="B260" s="115">
        <v>32</v>
      </c>
      <c r="C260" s="1">
        <v>4</v>
      </c>
      <c r="D260" s="141" t="s">
        <v>1176</v>
      </c>
      <c r="E260" s="1">
        <v>17.5</v>
      </c>
      <c r="F260" s="1">
        <v>2.72</v>
      </c>
      <c r="G260" s="142" t="s">
        <v>1250</v>
      </c>
      <c r="H260" s="115">
        <v>85</v>
      </c>
    </row>
    <row r="261" spans="1:8" customFormat="1">
      <c r="A261" s="1">
        <v>300</v>
      </c>
      <c r="B261" s="115">
        <v>40</v>
      </c>
      <c r="C261" s="1">
        <v>4</v>
      </c>
      <c r="D261" s="141" t="s">
        <v>1178</v>
      </c>
      <c r="E261" s="1">
        <v>19.100000000000001</v>
      </c>
      <c r="F261" s="1">
        <v>3.18</v>
      </c>
      <c r="G261" s="142" t="s">
        <v>1250</v>
      </c>
      <c r="H261" s="115">
        <v>100</v>
      </c>
    </row>
    <row r="262" spans="1:8" customFormat="1">
      <c r="A262" s="1">
        <v>300</v>
      </c>
      <c r="B262" s="115">
        <v>50</v>
      </c>
      <c r="C262" s="1">
        <v>8</v>
      </c>
      <c r="D262" s="141" t="s">
        <v>1176</v>
      </c>
      <c r="E262" s="1">
        <v>20.7</v>
      </c>
      <c r="F262" s="1">
        <v>3.63</v>
      </c>
      <c r="G262" s="142" t="s">
        <v>1250</v>
      </c>
      <c r="H262" s="115">
        <v>95</v>
      </c>
    </row>
    <row r="263" spans="1:8" customFormat="1">
      <c r="A263" s="1">
        <v>300</v>
      </c>
      <c r="B263" s="115">
        <v>65</v>
      </c>
      <c r="C263" s="1">
        <v>8</v>
      </c>
      <c r="D263" s="141" t="s">
        <v>1178</v>
      </c>
      <c r="E263" s="1">
        <v>23.9</v>
      </c>
      <c r="F263" s="1">
        <v>5.45</v>
      </c>
      <c r="G263" s="142" t="s">
        <v>1250</v>
      </c>
      <c r="H263" s="115">
        <v>110</v>
      </c>
    </row>
    <row r="264" spans="1:8" customFormat="1">
      <c r="A264" s="1">
        <v>300</v>
      </c>
      <c r="B264" s="115">
        <v>80</v>
      </c>
      <c r="C264" s="1">
        <v>8</v>
      </c>
      <c r="D264" s="141" t="s">
        <v>1178</v>
      </c>
      <c r="E264" s="1">
        <v>27</v>
      </c>
      <c r="F264" s="1">
        <v>7.26</v>
      </c>
      <c r="G264" s="142" t="s">
        <v>1250</v>
      </c>
      <c r="H264" s="115">
        <v>115</v>
      </c>
    </row>
    <row r="265" spans="1:8" customFormat="1">
      <c r="A265" s="1">
        <v>300</v>
      </c>
      <c r="B265" s="115">
        <v>100</v>
      </c>
      <c r="C265" s="1">
        <v>8</v>
      </c>
      <c r="D265" s="141" t="s">
        <v>1178</v>
      </c>
      <c r="E265" s="1">
        <v>30.2</v>
      </c>
      <c r="F265" s="1">
        <v>12.71</v>
      </c>
      <c r="G265" s="142" t="s">
        <v>1250</v>
      </c>
      <c r="H265" s="115">
        <v>125</v>
      </c>
    </row>
    <row r="266" spans="1:8" customFormat="1">
      <c r="A266" s="1">
        <v>300</v>
      </c>
      <c r="B266" s="115">
        <v>125</v>
      </c>
      <c r="C266" s="1">
        <v>8</v>
      </c>
      <c r="D266" s="10" t="s">
        <v>1178</v>
      </c>
      <c r="E266" s="1">
        <v>33.4</v>
      </c>
      <c r="F266" s="1">
        <v>16.8</v>
      </c>
      <c r="G266" s="142" t="s">
        <v>1250</v>
      </c>
      <c r="H266" s="115">
        <v>130</v>
      </c>
    </row>
    <row r="267" spans="1:8" customFormat="1">
      <c r="A267" s="1">
        <v>300</v>
      </c>
      <c r="B267" s="115">
        <v>150</v>
      </c>
      <c r="C267" s="1">
        <v>12</v>
      </c>
      <c r="D267" s="10" t="s">
        <v>1178</v>
      </c>
      <c r="E267" s="1">
        <v>35</v>
      </c>
      <c r="F267" s="1">
        <v>21.79</v>
      </c>
      <c r="G267" s="142" t="s">
        <v>1250</v>
      </c>
      <c r="H267" s="115">
        <v>135</v>
      </c>
    </row>
    <row r="268" spans="1:8" customFormat="1">
      <c r="A268" s="1">
        <v>300</v>
      </c>
      <c r="B268" s="115">
        <v>200</v>
      </c>
      <c r="C268" s="1">
        <v>12</v>
      </c>
      <c r="D268" s="10" t="s">
        <v>1179</v>
      </c>
      <c r="E268" s="1">
        <v>39.700000000000003</v>
      </c>
      <c r="F268" s="1">
        <v>35.869999999999997</v>
      </c>
      <c r="G268" s="142" t="s">
        <v>1250</v>
      </c>
      <c r="H268" s="115">
        <v>155</v>
      </c>
    </row>
    <row r="269" spans="1:8" customFormat="1">
      <c r="A269" s="1">
        <v>300</v>
      </c>
      <c r="B269" s="115">
        <v>250</v>
      </c>
      <c r="C269" s="1">
        <v>16</v>
      </c>
      <c r="D269" s="10" t="s">
        <v>1180</v>
      </c>
      <c r="E269" s="1">
        <v>46.1</v>
      </c>
      <c r="F269" s="1">
        <v>55.39</v>
      </c>
      <c r="G269" s="142" t="s">
        <v>1250</v>
      </c>
      <c r="H269" s="115">
        <v>175</v>
      </c>
    </row>
    <row r="270" spans="1:8" customFormat="1">
      <c r="A270" s="1">
        <v>300</v>
      </c>
      <c r="B270" s="115">
        <v>300</v>
      </c>
      <c r="C270" s="1">
        <v>16</v>
      </c>
      <c r="D270" s="10" t="s">
        <v>1181</v>
      </c>
      <c r="E270" s="1">
        <v>49.3</v>
      </c>
      <c r="F270" s="1">
        <v>83.08</v>
      </c>
      <c r="G270" s="142" t="s">
        <v>1250</v>
      </c>
      <c r="H270" s="115">
        <v>190</v>
      </c>
    </row>
    <row r="271" spans="1:8" customFormat="1">
      <c r="A271" s="1">
        <v>300</v>
      </c>
      <c r="B271" s="115">
        <v>350</v>
      </c>
      <c r="C271" s="1">
        <v>20</v>
      </c>
      <c r="D271" s="10" t="s">
        <v>1181</v>
      </c>
      <c r="E271" s="1">
        <v>52.4</v>
      </c>
      <c r="F271" s="1">
        <v>109.41</v>
      </c>
      <c r="G271" s="142" t="s">
        <v>1250</v>
      </c>
      <c r="H271" s="115">
        <v>195</v>
      </c>
    </row>
    <row r="272" spans="1:8" customFormat="1">
      <c r="A272" s="1">
        <v>300</v>
      </c>
      <c r="B272" s="115">
        <v>400</v>
      </c>
      <c r="C272" s="1">
        <v>20</v>
      </c>
      <c r="D272" s="10" t="s">
        <v>1182</v>
      </c>
      <c r="E272" s="1">
        <v>55.6</v>
      </c>
      <c r="F272" s="1">
        <v>143.01</v>
      </c>
      <c r="G272" s="142" t="s">
        <v>1250</v>
      </c>
      <c r="H272" s="115">
        <v>210</v>
      </c>
    </row>
    <row r="273" spans="1:8" customFormat="1">
      <c r="A273" s="1">
        <v>300</v>
      </c>
      <c r="B273" s="115">
        <v>450</v>
      </c>
      <c r="C273" s="1">
        <v>24</v>
      </c>
      <c r="D273" s="10" t="s">
        <v>1182</v>
      </c>
      <c r="E273" s="1">
        <v>58.8</v>
      </c>
      <c r="F273" s="1">
        <v>187.96</v>
      </c>
      <c r="G273" s="142" t="s">
        <v>1250</v>
      </c>
      <c r="H273" s="115">
        <v>215</v>
      </c>
    </row>
    <row r="274" spans="1:8" customFormat="1">
      <c r="A274" s="1">
        <v>300</v>
      </c>
      <c r="B274" s="115">
        <v>500</v>
      </c>
      <c r="C274" s="1">
        <v>24</v>
      </c>
      <c r="D274" s="10" t="s">
        <v>1182</v>
      </c>
      <c r="E274" s="1">
        <v>62</v>
      </c>
      <c r="F274" s="1">
        <v>233.81</v>
      </c>
      <c r="G274" s="142" t="s">
        <v>1250</v>
      </c>
      <c r="H274" s="115">
        <v>220</v>
      </c>
    </row>
    <row r="275" spans="1:8" customFormat="1">
      <c r="A275" s="140">
        <v>300</v>
      </c>
      <c r="B275" s="139">
        <v>600</v>
      </c>
      <c r="C275" s="138">
        <v>24</v>
      </c>
      <c r="D275" s="140" t="s">
        <v>1183</v>
      </c>
      <c r="E275" s="138">
        <v>68.3</v>
      </c>
      <c r="F275" s="138">
        <v>363.2</v>
      </c>
      <c r="G275" s="142" t="s">
        <v>1250</v>
      </c>
      <c r="H275" s="115">
        <v>250</v>
      </c>
    </row>
    <row r="276" spans="1:8" customFormat="1">
      <c r="A276" s="36">
        <v>600</v>
      </c>
      <c r="B276" s="137">
        <v>15</v>
      </c>
      <c r="C276" s="36">
        <v>4</v>
      </c>
      <c r="D276" s="4" t="s">
        <v>1174</v>
      </c>
      <c r="E276" s="36">
        <v>14.3</v>
      </c>
      <c r="F276" s="36">
        <v>0.91</v>
      </c>
      <c r="G276" s="142" t="s">
        <v>1250</v>
      </c>
      <c r="H276" s="115">
        <v>85</v>
      </c>
    </row>
    <row r="277" spans="1:8" customFormat="1">
      <c r="A277" s="1">
        <v>600</v>
      </c>
      <c r="B277" s="115">
        <v>20</v>
      </c>
      <c r="C277" s="1">
        <v>4</v>
      </c>
      <c r="D277" s="10" t="s">
        <v>1176</v>
      </c>
      <c r="E277" s="1">
        <v>15.9</v>
      </c>
      <c r="F277" s="1">
        <v>1.36</v>
      </c>
      <c r="G277" s="142" t="s">
        <v>1250</v>
      </c>
      <c r="H277" s="115">
        <v>95</v>
      </c>
    </row>
    <row r="278" spans="1:8" customFormat="1">
      <c r="A278" s="1">
        <v>600</v>
      </c>
      <c r="B278" s="115">
        <v>25</v>
      </c>
      <c r="C278" s="1">
        <v>4</v>
      </c>
      <c r="D278" s="10" t="s">
        <v>1176</v>
      </c>
      <c r="E278" s="1">
        <v>17.5</v>
      </c>
      <c r="F278" s="1">
        <v>1.82</v>
      </c>
      <c r="G278" s="142" t="s">
        <v>1250</v>
      </c>
      <c r="H278" s="115">
        <v>95</v>
      </c>
    </row>
    <row r="279" spans="1:8" customFormat="1">
      <c r="A279" s="1">
        <v>600</v>
      </c>
      <c r="B279" s="115">
        <v>32</v>
      </c>
      <c r="C279" s="1">
        <v>4</v>
      </c>
      <c r="D279" s="10" t="s">
        <v>1176</v>
      </c>
      <c r="E279" s="1">
        <v>20.7</v>
      </c>
      <c r="F279" s="1">
        <v>2.72</v>
      </c>
      <c r="G279" s="142" t="s">
        <v>1250</v>
      </c>
      <c r="H279" s="115">
        <v>105</v>
      </c>
    </row>
    <row r="280" spans="1:8" customFormat="1">
      <c r="A280" s="1">
        <v>600</v>
      </c>
      <c r="B280" s="115">
        <v>40</v>
      </c>
      <c r="C280" s="1">
        <v>4</v>
      </c>
      <c r="D280" s="10" t="s">
        <v>1178</v>
      </c>
      <c r="E280" s="1">
        <v>22.3</v>
      </c>
      <c r="F280" s="1">
        <v>3.63</v>
      </c>
      <c r="G280" s="142" t="s">
        <v>1250</v>
      </c>
      <c r="H280" s="115">
        <v>120</v>
      </c>
    </row>
    <row r="281" spans="1:8" customFormat="1">
      <c r="A281" s="1">
        <v>600</v>
      </c>
      <c r="B281" s="115">
        <v>50</v>
      </c>
      <c r="C281" s="1">
        <v>8</v>
      </c>
      <c r="D281" s="10" t="s">
        <v>1246</v>
      </c>
      <c r="E281" s="1">
        <v>25.4</v>
      </c>
      <c r="F281" s="1">
        <v>4.54</v>
      </c>
      <c r="G281" s="142" t="s">
        <v>1250</v>
      </c>
      <c r="H281" s="115">
        <v>115</v>
      </c>
    </row>
    <row r="282" spans="1:8" customFormat="1">
      <c r="A282" s="1">
        <v>600</v>
      </c>
      <c r="B282" s="115">
        <v>65</v>
      </c>
      <c r="C282" s="1">
        <v>8</v>
      </c>
      <c r="D282" s="10" t="s">
        <v>1178</v>
      </c>
      <c r="E282" s="1">
        <v>28.6</v>
      </c>
      <c r="F282" s="1">
        <v>6.81</v>
      </c>
      <c r="G282" s="142" t="s">
        <v>1250</v>
      </c>
      <c r="H282" s="115">
        <v>130</v>
      </c>
    </row>
    <row r="283" spans="1:8" customFormat="1">
      <c r="A283" s="1">
        <v>600</v>
      </c>
      <c r="B283" s="115">
        <v>80</v>
      </c>
      <c r="C283" s="1">
        <v>8</v>
      </c>
      <c r="D283" s="10" t="s">
        <v>1178</v>
      </c>
      <c r="E283" s="1">
        <v>31.8</v>
      </c>
      <c r="F283" s="1">
        <v>9.08</v>
      </c>
      <c r="G283" s="142" t="s">
        <v>1250</v>
      </c>
      <c r="H283" s="115">
        <v>135</v>
      </c>
    </row>
    <row r="284" spans="1:8" customFormat="1">
      <c r="A284" s="1">
        <v>600</v>
      </c>
      <c r="B284" s="115">
        <v>100</v>
      </c>
      <c r="C284" s="1">
        <v>8</v>
      </c>
      <c r="D284" s="10" t="s">
        <v>1179</v>
      </c>
      <c r="E284" s="1">
        <v>38.1</v>
      </c>
      <c r="F284" s="1">
        <v>18.61</v>
      </c>
      <c r="G284" s="142" t="s">
        <v>1250</v>
      </c>
      <c r="H284" s="115">
        <v>160</v>
      </c>
    </row>
    <row r="285" spans="1:8" customFormat="1">
      <c r="A285" s="1">
        <v>600</v>
      </c>
      <c r="B285" s="115">
        <v>125</v>
      </c>
      <c r="C285" s="1">
        <v>8</v>
      </c>
      <c r="D285" s="10" t="s">
        <v>1180</v>
      </c>
      <c r="E285" s="1">
        <v>44.5</v>
      </c>
      <c r="F285" s="1">
        <v>30.87</v>
      </c>
      <c r="G285" s="142" t="s">
        <v>1250</v>
      </c>
      <c r="H285" s="115">
        <v>180</v>
      </c>
    </row>
    <row r="286" spans="1:8" customFormat="1">
      <c r="A286" s="1">
        <v>600</v>
      </c>
      <c r="B286" s="115">
        <v>150</v>
      </c>
      <c r="C286" s="1">
        <v>12</v>
      </c>
      <c r="D286" s="10" t="s">
        <v>1180</v>
      </c>
      <c r="E286" s="1">
        <v>47.7</v>
      </c>
      <c r="F286" s="1">
        <v>39.04</v>
      </c>
      <c r="G286" s="142" t="s">
        <v>1250</v>
      </c>
      <c r="H286" s="115">
        <v>185</v>
      </c>
    </row>
    <row r="287" spans="1:8" customFormat="1">
      <c r="A287" s="1">
        <v>600</v>
      </c>
      <c r="B287" s="115">
        <v>200</v>
      </c>
      <c r="C287" s="1">
        <v>12</v>
      </c>
      <c r="D287" s="10" t="s">
        <v>1181</v>
      </c>
      <c r="E287" s="1">
        <v>55.6</v>
      </c>
      <c r="F287" s="1">
        <v>63.11</v>
      </c>
      <c r="G287" s="142" t="s">
        <v>1250</v>
      </c>
      <c r="H287" s="115">
        <v>210</v>
      </c>
    </row>
    <row r="288" spans="1:8" customFormat="1">
      <c r="A288" s="1">
        <v>600</v>
      </c>
      <c r="B288" s="115">
        <v>250</v>
      </c>
      <c r="C288" s="1">
        <v>16</v>
      </c>
      <c r="D288" s="10" t="s">
        <v>1182</v>
      </c>
      <c r="E288" s="1">
        <v>63.5</v>
      </c>
      <c r="F288" s="1">
        <v>104.87</v>
      </c>
      <c r="G288" s="142" t="s">
        <v>1250</v>
      </c>
      <c r="H288" s="115">
        <v>235</v>
      </c>
    </row>
    <row r="289" spans="1:8" customFormat="1">
      <c r="A289" s="1">
        <v>600</v>
      </c>
      <c r="B289" s="115">
        <v>300</v>
      </c>
      <c r="C289" s="1">
        <v>20</v>
      </c>
      <c r="D289" s="10" t="s">
        <v>1182</v>
      </c>
      <c r="E289" s="1">
        <v>66.7</v>
      </c>
      <c r="F289" s="1">
        <v>133.93</v>
      </c>
      <c r="G289" s="142" t="s">
        <v>1250</v>
      </c>
      <c r="H289" s="115">
        <v>240</v>
      </c>
    </row>
    <row r="290" spans="1:8" customFormat="1">
      <c r="A290" s="1">
        <v>600</v>
      </c>
      <c r="B290" s="115">
        <v>350</v>
      </c>
      <c r="C290" s="1">
        <v>20</v>
      </c>
      <c r="D290" s="10" t="s">
        <v>1251</v>
      </c>
      <c r="E290" s="1">
        <v>69.900000000000006</v>
      </c>
      <c r="F290" s="1">
        <v>148.91</v>
      </c>
      <c r="G290" s="142" t="s">
        <v>1250</v>
      </c>
      <c r="H290" s="115">
        <v>250</v>
      </c>
    </row>
    <row r="291" spans="1:8" customFormat="1">
      <c r="A291" s="1">
        <v>600</v>
      </c>
      <c r="B291" s="115">
        <v>400</v>
      </c>
      <c r="C291" s="1">
        <v>20</v>
      </c>
      <c r="D291" s="10" t="s">
        <v>1183</v>
      </c>
      <c r="E291" s="1">
        <v>76.2</v>
      </c>
      <c r="F291" s="1">
        <v>239.26</v>
      </c>
      <c r="G291" s="142" t="s">
        <v>1250</v>
      </c>
      <c r="H291" s="115">
        <v>270</v>
      </c>
    </row>
    <row r="292" spans="1:8" customFormat="1">
      <c r="A292" s="1">
        <v>600</v>
      </c>
      <c r="B292" s="115">
        <v>450</v>
      </c>
      <c r="C292" s="1">
        <v>20</v>
      </c>
      <c r="D292" s="10" t="s">
        <v>1260</v>
      </c>
      <c r="E292" s="1">
        <v>82.6</v>
      </c>
      <c r="F292" s="1">
        <v>301.91000000000003</v>
      </c>
      <c r="G292" s="142" t="s">
        <v>1250</v>
      </c>
      <c r="H292" s="115">
        <v>290</v>
      </c>
    </row>
    <row r="293" spans="1:8" customFormat="1">
      <c r="A293" s="1">
        <v>600</v>
      </c>
      <c r="B293" s="115">
        <v>500</v>
      </c>
      <c r="C293" s="1">
        <v>24</v>
      </c>
      <c r="D293" s="10" t="s">
        <v>1260</v>
      </c>
      <c r="E293" s="1">
        <v>88.9</v>
      </c>
      <c r="F293" s="1">
        <v>388.17</v>
      </c>
      <c r="G293" s="142" t="s">
        <v>1250</v>
      </c>
      <c r="H293" s="115">
        <v>305</v>
      </c>
    </row>
    <row r="294" spans="1:8" customFormat="1">
      <c r="A294" s="140">
        <v>600</v>
      </c>
      <c r="B294" s="139">
        <v>600</v>
      </c>
      <c r="C294" s="138">
        <v>24</v>
      </c>
      <c r="D294" s="140" t="s">
        <v>1261</v>
      </c>
      <c r="E294" s="138">
        <v>101.6</v>
      </c>
      <c r="F294" s="138">
        <v>533.45000000000005</v>
      </c>
      <c r="G294" s="142" t="s">
        <v>1250</v>
      </c>
      <c r="H294" s="115">
        <v>345</v>
      </c>
    </row>
    <row r="295" spans="1:8" customFormat="1">
      <c r="A295" s="4">
        <v>900</v>
      </c>
      <c r="B295" s="137">
        <v>15</v>
      </c>
      <c r="C295" s="36">
        <v>4</v>
      </c>
      <c r="D295" s="4" t="s">
        <v>1178</v>
      </c>
      <c r="E295" s="36">
        <v>22.3</v>
      </c>
      <c r="F295" s="36">
        <v>1.82</v>
      </c>
      <c r="G295" s="115" t="s">
        <v>1250</v>
      </c>
      <c r="H295" s="115">
        <v>115</v>
      </c>
    </row>
    <row r="296" spans="1:8" customFormat="1">
      <c r="A296" s="10">
        <v>900</v>
      </c>
      <c r="B296" s="115">
        <v>20</v>
      </c>
      <c r="C296" s="1">
        <v>4</v>
      </c>
      <c r="D296" s="10" t="s">
        <v>1178</v>
      </c>
      <c r="E296" s="36">
        <v>25.4</v>
      </c>
      <c r="F296" s="1">
        <v>2.72</v>
      </c>
      <c r="G296" s="115" t="s">
        <v>1250</v>
      </c>
      <c r="H296" s="115">
        <v>125</v>
      </c>
    </row>
    <row r="297" spans="1:8" customFormat="1">
      <c r="A297" s="10">
        <v>900</v>
      </c>
      <c r="B297" s="115">
        <v>25</v>
      </c>
      <c r="C297" s="1">
        <v>4</v>
      </c>
      <c r="D297" s="141" t="s">
        <v>1179</v>
      </c>
      <c r="E297" s="36">
        <v>28.6</v>
      </c>
      <c r="F297" s="1">
        <v>4.09</v>
      </c>
      <c r="G297" s="115" t="s">
        <v>1250</v>
      </c>
      <c r="H297" s="115">
        <v>140</v>
      </c>
    </row>
    <row r="298" spans="1:8" customFormat="1">
      <c r="A298" s="10">
        <v>900</v>
      </c>
      <c r="B298" s="115">
        <v>32</v>
      </c>
      <c r="C298" s="1">
        <v>4</v>
      </c>
      <c r="D298" s="141" t="s">
        <v>1179</v>
      </c>
      <c r="E298" s="36">
        <v>28.6</v>
      </c>
      <c r="F298" s="1">
        <v>4.54</v>
      </c>
      <c r="G298" s="115" t="s">
        <v>1250</v>
      </c>
      <c r="H298" s="115">
        <v>140</v>
      </c>
    </row>
    <row r="299" spans="1:8" customFormat="1">
      <c r="A299" s="10">
        <v>900</v>
      </c>
      <c r="B299" s="115">
        <v>40</v>
      </c>
      <c r="C299" s="1">
        <v>4</v>
      </c>
      <c r="D299" s="141" t="s">
        <v>1180</v>
      </c>
      <c r="E299" s="36">
        <v>31.8</v>
      </c>
      <c r="F299" s="1">
        <v>6.36</v>
      </c>
      <c r="G299" s="115" t="s">
        <v>1250</v>
      </c>
      <c r="H299" s="115">
        <v>155</v>
      </c>
    </row>
    <row r="300" spans="1:8" customFormat="1">
      <c r="A300" s="10">
        <v>900</v>
      </c>
      <c r="B300" s="115">
        <v>50</v>
      </c>
      <c r="C300" s="1">
        <v>8</v>
      </c>
      <c r="D300" s="141" t="s">
        <v>1179</v>
      </c>
      <c r="E300" s="36">
        <v>38.1</v>
      </c>
      <c r="F300" s="1">
        <v>11.35</v>
      </c>
      <c r="G300" s="115" t="s">
        <v>1250</v>
      </c>
      <c r="H300" s="115">
        <v>160</v>
      </c>
    </row>
    <row r="301" spans="1:8" customFormat="1">
      <c r="A301" s="10">
        <v>900</v>
      </c>
      <c r="B301" s="115">
        <v>65</v>
      </c>
      <c r="C301" s="1">
        <v>8</v>
      </c>
      <c r="D301" s="141" t="s">
        <v>1180</v>
      </c>
      <c r="E301" s="36">
        <v>41.3</v>
      </c>
      <c r="F301" s="1">
        <v>15.89</v>
      </c>
      <c r="G301" s="115" t="s">
        <v>1250</v>
      </c>
      <c r="H301" s="115">
        <v>175</v>
      </c>
    </row>
    <row r="302" spans="1:8" customFormat="1">
      <c r="A302" s="10">
        <v>900</v>
      </c>
      <c r="B302" s="142">
        <v>80</v>
      </c>
      <c r="C302" s="1">
        <v>8</v>
      </c>
      <c r="D302" s="141" t="s">
        <v>1179</v>
      </c>
      <c r="E302" s="36">
        <v>38.1</v>
      </c>
      <c r="F302" s="1">
        <v>14.53</v>
      </c>
      <c r="G302" s="115" t="s">
        <v>1250</v>
      </c>
      <c r="H302" s="115">
        <v>160</v>
      </c>
    </row>
    <row r="303" spans="1:8" customFormat="1">
      <c r="A303" s="10">
        <v>900</v>
      </c>
      <c r="B303" s="115">
        <v>100</v>
      </c>
      <c r="C303" s="1">
        <v>8</v>
      </c>
      <c r="D303" s="141" t="s">
        <v>1181</v>
      </c>
      <c r="E303" s="36">
        <v>44.5</v>
      </c>
      <c r="F303" s="1">
        <v>24.52</v>
      </c>
      <c r="G303" s="115" t="s">
        <v>1250</v>
      </c>
      <c r="H303" s="115">
        <v>190</v>
      </c>
    </row>
    <row r="304" spans="1:8" customFormat="1">
      <c r="A304" s="10">
        <v>900</v>
      </c>
      <c r="B304" s="115">
        <v>125</v>
      </c>
      <c r="C304" s="1">
        <v>8</v>
      </c>
      <c r="D304" s="141" t="s">
        <v>1182</v>
      </c>
      <c r="E304" s="36">
        <v>50.8</v>
      </c>
      <c r="F304" s="1">
        <v>39.5</v>
      </c>
      <c r="G304" s="115" t="s">
        <v>1250</v>
      </c>
      <c r="H304" s="115">
        <v>210</v>
      </c>
    </row>
    <row r="305" spans="1:8" customFormat="1">
      <c r="A305" s="10">
        <v>900</v>
      </c>
      <c r="B305" s="115">
        <v>150</v>
      </c>
      <c r="C305" s="1">
        <v>12</v>
      </c>
      <c r="D305" s="141" t="s">
        <v>1181</v>
      </c>
      <c r="E305" s="36">
        <v>55.6</v>
      </c>
      <c r="F305" s="1">
        <v>51.3</v>
      </c>
      <c r="G305" s="115" t="s">
        <v>1250</v>
      </c>
      <c r="H305" s="115">
        <v>210</v>
      </c>
    </row>
    <row r="306" spans="1:8" customFormat="1">
      <c r="A306" s="10">
        <v>900</v>
      </c>
      <c r="B306" s="115">
        <v>200</v>
      </c>
      <c r="C306" s="1">
        <v>12</v>
      </c>
      <c r="D306" s="141" t="s">
        <v>1251</v>
      </c>
      <c r="E306" s="36">
        <v>63.5</v>
      </c>
      <c r="F306" s="1">
        <v>89.44</v>
      </c>
      <c r="G306" s="115" t="s">
        <v>1250</v>
      </c>
      <c r="H306" s="115">
        <v>240</v>
      </c>
    </row>
    <row r="307" spans="1:8" customFormat="1">
      <c r="A307" s="10">
        <v>900</v>
      </c>
      <c r="B307" s="115">
        <v>250</v>
      </c>
      <c r="C307" s="1">
        <v>16</v>
      </c>
      <c r="D307" s="141" t="s">
        <v>1251</v>
      </c>
      <c r="E307" s="36">
        <v>69.900000000000006</v>
      </c>
      <c r="F307" s="1">
        <v>131.66</v>
      </c>
      <c r="G307" s="115" t="s">
        <v>1250</v>
      </c>
      <c r="H307" s="115">
        <v>250</v>
      </c>
    </row>
    <row r="308" spans="1:8" customFormat="1">
      <c r="A308" s="10">
        <v>900</v>
      </c>
      <c r="B308" s="115">
        <v>300</v>
      </c>
      <c r="C308" s="1">
        <v>20</v>
      </c>
      <c r="D308" s="141" t="s">
        <v>1251</v>
      </c>
      <c r="E308" s="36">
        <v>79.400000000000006</v>
      </c>
      <c r="F308" s="1">
        <v>187.5</v>
      </c>
      <c r="G308" s="115" t="s">
        <v>1250</v>
      </c>
      <c r="H308" s="115">
        <v>270</v>
      </c>
    </row>
    <row r="309" spans="1:8" customFormat="1">
      <c r="A309" s="10">
        <v>900</v>
      </c>
      <c r="B309" s="115">
        <v>350</v>
      </c>
      <c r="C309" s="1">
        <v>20</v>
      </c>
      <c r="D309" s="141" t="s">
        <v>1183</v>
      </c>
      <c r="E309" s="36">
        <v>85.8</v>
      </c>
      <c r="F309" s="1">
        <v>224.28</v>
      </c>
      <c r="G309" s="115" t="s">
        <v>1250</v>
      </c>
      <c r="H309" s="115">
        <v>290</v>
      </c>
    </row>
    <row r="310" spans="1:8" customFormat="1">
      <c r="A310" s="10">
        <v>900</v>
      </c>
      <c r="B310" s="115">
        <v>400</v>
      </c>
      <c r="C310" s="1">
        <v>20</v>
      </c>
      <c r="D310" s="141" t="s">
        <v>1260</v>
      </c>
      <c r="E310" s="36">
        <v>88.9</v>
      </c>
      <c r="F310" s="1">
        <v>281.02999999999997</v>
      </c>
      <c r="G310" s="115" t="s">
        <v>1250</v>
      </c>
      <c r="H310" s="115">
        <v>300</v>
      </c>
    </row>
    <row r="311" spans="1:8" customFormat="1">
      <c r="A311" s="10">
        <v>900</v>
      </c>
      <c r="B311" s="115">
        <v>450</v>
      </c>
      <c r="C311" s="1">
        <v>20</v>
      </c>
      <c r="D311" s="141" t="s">
        <v>1261</v>
      </c>
      <c r="E311" s="36">
        <v>101.6</v>
      </c>
      <c r="F311" s="1">
        <v>399.52</v>
      </c>
      <c r="G311" s="115" t="s">
        <v>1250</v>
      </c>
      <c r="H311" s="115">
        <v>340</v>
      </c>
    </row>
    <row r="312" spans="1:8" customFormat="1">
      <c r="A312" s="10">
        <v>900</v>
      </c>
      <c r="B312" s="115">
        <v>500</v>
      </c>
      <c r="C312" s="1">
        <v>20</v>
      </c>
      <c r="D312" s="141" t="s">
        <v>1262</v>
      </c>
      <c r="E312" s="36">
        <v>108</v>
      </c>
      <c r="F312" s="1">
        <v>502.58</v>
      </c>
      <c r="G312" s="115" t="s">
        <v>1250</v>
      </c>
      <c r="H312" s="115">
        <v>365</v>
      </c>
    </row>
    <row r="313" spans="1:8" customFormat="1">
      <c r="A313" s="140">
        <v>900</v>
      </c>
      <c r="B313" s="139">
        <v>600</v>
      </c>
      <c r="C313" s="138">
        <v>20</v>
      </c>
      <c r="D313" s="141" t="s">
        <v>1263</v>
      </c>
      <c r="E313" s="138">
        <v>139.69999999999999</v>
      </c>
      <c r="F313" s="1">
        <v>952.95</v>
      </c>
      <c r="G313" s="115" t="s">
        <v>1250</v>
      </c>
      <c r="H313" s="115">
        <v>450</v>
      </c>
    </row>
    <row r="314" spans="1:8" customFormat="1"/>
    <row r="315" spans="1:8" customFormat="1"/>
    <row r="316" spans="1:8" customFormat="1"/>
    <row r="317" spans="1:8" customFormat="1"/>
    <row r="318" spans="1:8" customFormat="1"/>
    <row r="319" spans="1:8" customFormat="1"/>
    <row r="320" spans="1:8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</sheetData>
  <mergeCells count="23">
    <mergeCell ref="D235:D236"/>
    <mergeCell ref="F235:F236"/>
    <mergeCell ref="G235:G237"/>
    <mergeCell ref="H235:H237"/>
    <mergeCell ref="A38:B41"/>
    <mergeCell ref="C38:M39"/>
    <mergeCell ref="D65:D66"/>
    <mergeCell ref="E65:E66"/>
    <mergeCell ref="J65:J66"/>
    <mergeCell ref="K65:K67"/>
    <mergeCell ref="L65:L67"/>
    <mergeCell ref="N38:O41"/>
    <mergeCell ref="C40:G40"/>
    <mergeCell ref="H40:M40"/>
    <mergeCell ref="A64:E64"/>
    <mergeCell ref="G64:L64"/>
    <mergeCell ref="A1:T1"/>
    <mergeCell ref="A2:A5"/>
    <mergeCell ref="B2:S3"/>
    <mergeCell ref="T2:T5"/>
    <mergeCell ref="B4:G4"/>
    <mergeCell ref="H4:L4"/>
    <mergeCell ref="M4:S4"/>
  </mergeCells>
  <phoneticPr fontId="5" type="noConversion"/>
  <hyperlinks>
    <hyperlink ref="A1" location="'Sheet3'!A1" display="返回目录" xr:uid="{00000000-0004-0000-0300-000000000000}"/>
    <hyperlink ref="A1:T1" location="汇总!A1" display="返回目录" xr:uid="{00000000-0004-0000-0300-000001000000}"/>
  </hyperlink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O92"/>
  <sheetViews>
    <sheetView topLeftCell="A27" workbookViewId="0">
      <selection activeCell="B3" sqref="B3"/>
    </sheetView>
  </sheetViews>
  <sheetFormatPr defaultRowHeight="15.75"/>
  <cols>
    <col min="1" max="1" width="5" customWidth="1"/>
    <col min="2" max="16" width="10.625" customWidth="1"/>
  </cols>
  <sheetData>
    <row r="1" spans="1:13" ht="20.100000000000001" customHeight="1">
      <c r="A1" s="246" t="s">
        <v>0</v>
      </c>
      <c r="B1" s="246"/>
      <c r="C1" s="246"/>
    </row>
    <row r="2" spans="1:13" ht="20.100000000000001" customHeight="1">
      <c r="A2" s="1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3" t="s">
        <v>10</v>
      </c>
      <c r="K2" s="1" t="s">
        <v>11</v>
      </c>
      <c r="L2" s="2" t="s">
        <v>12</v>
      </c>
    </row>
    <row r="3" spans="1:13" ht="20.100000000000001" customHeight="1">
      <c r="A3" s="4">
        <v>1</v>
      </c>
      <c r="B3" s="5">
        <v>3200</v>
      </c>
      <c r="C3" s="5">
        <v>123</v>
      </c>
      <c r="D3" s="5">
        <v>4</v>
      </c>
      <c r="E3" s="6">
        <v>4</v>
      </c>
      <c r="F3" s="5">
        <v>0</v>
      </c>
      <c r="G3" s="5">
        <v>350</v>
      </c>
      <c r="H3" s="5">
        <v>3186</v>
      </c>
      <c r="I3" s="5">
        <v>0</v>
      </c>
      <c r="J3" s="7">
        <v>1</v>
      </c>
      <c r="K3" s="8">
        <f>((B3*C3*D3)-(PI()*F3^2/4*D3*G3)-(H3*I3*D3*J3))*0.00000785</f>
        <v>12.359039999999998</v>
      </c>
      <c r="L3" s="8">
        <f>K3*E3</f>
        <v>49.436159999999994</v>
      </c>
    </row>
    <row r="4" spans="1:13" ht="20.100000000000001" customHeight="1">
      <c r="A4" s="4">
        <v>2</v>
      </c>
      <c r="B4" s="5">
        <v>230</v>
      </c>
      <c r="C4" s="5">
        <v>2485</v>
      </c>
      <c r="D4" s="5">
        <v>6</v>
      </c>
      <c r="E4" s="5">
        <v>0</v>
      </c>
      <c r="F4" s="5">
        <v>0</v>
      </c>
      <c r="G4" s="5">
        <v>0</v>
      </c>
      <c r="H4" s="5">
        <v>0</v>
      </c>
      <c r="I4" s="5">
        <v>560</v>
      </c>
      <c r="J4" s="7">
        <v>1</v>
      </c>
      <c r="K4" s="9">
        <f>((B4*C4*D4)-(PI()*F4^2/4*D4*G4)-(H4*I4*D4*J4))*0.00000785</f>
        <v>26.920004999999996</v>
      </c>
      <c r="L4" s="8">
        <f>K4*E4</f>
        <v>0</v>
      </c>
    </row>
    <row r="5" spans="1:13" ht="20.100000000000001" customHeight="1"/>
    <row r="6" spans="1:13" ht="20.100000000000001" customHeight="1">
      <c r="A6" s="246" t="s">
        <v>13</v>
      </c>
      <c r="B6" s="246"/>
      <c r="C6" s="246"/>
      <c r="D6" s="246"/>
    </row>
    <row r="7" spans="1:13" ht="20.100000000000001" customHeight="1">
      <c r="A7" s="10" t="s">
        <v>14</v>
      </c>
      <c r="B7" s="11" t="s">
        <v>15</v>
      </c>
      <c r="C7" s="1" t="s">
        <v>16</v>
      </c>
      <c r="D7" s="1" t="s">
        <v>5</v>
      </c>
      <c r="E7" s="1" t="s">
        <v>17</v>
      </c>
      <c r="F7" s="1" t="s">
        <v>7</v>
      </c>
      <c r="G7" s="1" t="s">
        <v>8</v>
      </c>
      <c r="H7" s="1" t="s">
        <v>9</v>
      </c>
      <c r="I7" s="1" t="s">
        <v>10</v>
      </c>
      <c r="J7" s="1" t="s">
        <v>11</v>
      </c>
      <c r="K7" s="1" t="s">
        <v>12</v>
      </c>
    </row>
    <row r="8" spans="1:13" ht="20.100000000000001" customHeight="1">
      <c r="A8" s="10">
        <v>1</v>
      </c>
      <c r="B8" s="12">
        <v>1090</v>
      </c>
      <c r="C8" s="12">
        <v>80</v>
      </c>
      <c r="D8" s="12">
        <v>1</v>
      </c>
      <c r="E8" s="12">
        <v>25.25</v>
      </c>
      <c r="F8" s="12">
        <v>736</v>
      </c>
      <c r="G8" s="12">
        <v>0</v>
      </c>
      <c r="H8" s="12">
        <v>0</v>
      </c>
      <c r="I8" s="12">
        <v>0</v>
      </c>
      <c r="J8" s="13">
        <f>(B8^2*PI()/4*C8-E8^2*PI()/4*C8*F8-G8*H8*C8*I8)*7.85/1000000</f>
        <v>354.56039192837113</v>
      </c>
      <c r="K8" s="14">
        <f>J8*D8</f>
        <v>354.56039192837113</v>
      </c>
    </row>
    <row r="9" spans="1:13" ht="20.100000000000001" customHeight="1">
      <c r="A9" s="10">
        <v>2</v>
      </c>
      <c r="B9" s="12">
        <v>12</v>
      </c>
      <c r="C9" s="12">
        <v>100</v>
      </c>
      <c r="D9" s="12">
        <v>1</v>
      </c>
      <c r="E9" s="12">
        <v>0</v>
      </c>
      <c r="F9" s="12">
        <v>1</v>
      </c>
      <c r="G9" s="12">
        <v>0</v>
      </c>
      <c r="H9" s="12">
        <v>0</v>
      </c>
      <c r="I9" s="12">
        <v>0</v>
      </c>
      <c r="J9" s="13">
        <f>(B9^2*PI()/4*C9-E9^2*PI()/4*C9*F9-G9*H9*C9*I9)*7.85/1000000</f>
        <v>8.8781408390447542E-2</v>
      </c>
      <c r="K9" s="14">
        <f>J9*D9</f>
        <v>8.8781408390447542E-2</v>
      </c>
    </row>
    <row r="10" spans="1:13" ht="20.100000000000001" customHeight="1"/>
    <row r="11" spans="1:13" ht="20.100000000000001" customHeight="1">
      <c r="A11" s="247" t="s">
        <v>18</v>
      </c>
      <c r="B11" s="247"/>
      <c r="C11" s="247"/>
    </row>
    <row r="12" spans="1:13" ht="20.100000000000001" customHeight="1">
      <c r="A12" s="10" t="s">
        <v>14</v>
      </c>
      <c r="B12" s="11" t="s">
        <v>15</v>
      </c>
      <c r="C12" s="1" t="s">
        <v>4</v>
      </c>
      <c r="D12" s="1" t="s">
        <v>19</v>
      </c>
      <c r="E12" s="1" t="s">
        <v>5</v>
      </c>
      <c r="F12" s="1" t="s">
        <v>6</v>
      </c>
      <c r="G12" s="1" t="s">
        <v>7</v>
      </c>
      <c r="H12" s="1" t="s">
        <v>20</v>
      </c>
      <c r="I12" s="1" t="s">
        <v>9</v>
      </c>
      <c r="J12" s="1" t="s">
        <v>10</v>
      </c>
      <c r="K12" s="1" t="s">
        <v>11</v>
      </c>
      <c r="L12" s="1" t="s">
        <v>12</v>
      </c>
      <c r="M12" s="1" t="s">
        <v>21</v>
      </c>
    </row>
    <row r="13" spans="1:13" ht="20.100000000000001" customHeight="1">
      <c r="A13" s="10">
        <v>1</v>
      </c>
      <c r="B13" s="12">
        <v>1332</v>
      </c>
      <c r="C13" s="12">
        <v>16</v>
      </c>
      <c r="D13" s="15">
        <v>3930</v>
      </c>
      <c r="E13" s="12">
        <v>4</v>
      </c>
      <c r="F13" s="12">
        <v>0</v>
      </c>
      <c r="G13" s="12">
        <v>26</v>
      </c>
      <c r="H13" s="12">
        <v>0</v>
      </c>
      <c r="I13" s="12">
        <v>0</v>
      </c>
      <c r="J13" s="12">
        <v>0</v>
      </c>
      <c r="K13" s="14">
        <f>((B13-C13)*D13*PI()*C13-F13^2*PI()/4*C13*G13)*7.85/1000000</f>
        <v>2040.7412907839459</v>
      </c>
      <c r="L13" s="16">
        <f>K13*E13</f>
        <v>8162.9651631357838</v>
      </c>
      <c r="M13" s="17">
        <f>PI()*(B13-2*C13)^2/4*D13/1000000000</f>
        <v>5.216378981836832</v>
      </c>
    </row>
    <row r="14" spans="1:13" ht="20.100000000000001" customHeight="1">
      <c r="A14" s="10">
        <v>2</v>
      </c>
      <c r="B14" s="12">
        <v>530</v>
      </c>
      <c r="C14" s="12">
        <v>30</v>
      </c>
      <c r="D14" s="15">
        <v>4600</v>
      </c>
      <c r="E14" s="12">
        <v>1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4">
        <f>((B14-C14)*D14*PI()*C14-F14^2*PI()/4*C14*G14)*7.85/1000000</f>
        <v>1701.6436608169115</v>
      </c>
      <c r="L14" s="14">
        <f>K14*E14</f>
        <v>1701.6436608169115</v>
      </c>
      <c r="M14" s="17">
        <f>PI()*(B14-2*C14)^2/4*D14/1000000</f>
        <v>798.0744897546831</v>
      </c>
    </row>
    <row r="15" spans="1:13" ht="20.100000000000001" customHeight="1"/>
    <row r="16" spans="1:13" ht="20.100000000000001" customHeight="1">
      <c r="A16" s="246" t="s">
        <v>22</v>
      </c>
      <c r="B16" s="246"/>
      <c r="C16" s="246"/>
      <c r="K16" s="18"/>
      <c r="L16" s="19"/>
    </row>
    <row r="17" spans="1:12" ht="20.100000000000001" customHeight="1">
      <c r="A17" s="1" t="s">
        <v>14</v>
      </c>
      <c r="B17" s="1" t="s">
        <v>23</v>
      </c>
      <c r="C17" s="1" t="s">
        <v>24</v>
      </c>
      <c r="D17" s="1" t="s">
        <v>25</v>
      </c>
      <c r="E17" s="1" t="s">
        <v>26</v>
      </c>
      <c r="F17" s="1" t="s">
        <v>5</v>
      </c>
      <c r="G17" s="1" t="s">
        <v>27</v>
      </c>
      <c r="H17" s="1" t="s">
        <v>12</v>
      </c>
      <c r="K17" s="18"/>
      <c r="L17" s="19"/>
    </row>
    <row r="18" spans="1:12" ht="20.100000000000001" customHeight="1">
      <c r="A18" s="20">
        <v>1</v>
      </c>
      <c r="B18" s="1" t="s">
        <v>28</v>
      </c>
      <c r="C18" s="21" t="s">
        <v>171</v>
      </c>
      <c r="D18" s="12">
        <v>3</v>
      </c>
      <c r="E18" s="12">
        <v>1000</v>
      </c>
      <c r="F18" s="12">
        <v>1</v>
      </c>
      <c r="G18" s="14">
        <f>角钢重量(C18,D18)*E18/1000</f>
        <v>0.89</v>
      </c>
      <c r="H18" s="16">
        <f>F18*G18</f>
        <v>0.89</v>
      </c>
      <c r="K18" s="22"/>
      <c r="L18" s="19"/>
    </row>
    <row r="19" spans="1:12" ht="20.100000000000001" customHeight="1">
      <c r="A19" s="20">
        <v>2</v>
      </c>
      <c r="B19" s="1" t="s">
        <v>30</v>
      </c>
      <c r="C19" s="21" t="s">
        <v>1488</v>
      </c>
      <c r="D19" s="12">
        <v>10</v>
      </c>
      <c r="E19" s="12">
        <v>1000</v>
      </c>
      <c r="F19" s="12">
        <v>1</v>
      </c>
      <c r="G19" s="14">
        <f>角钢重量(C19,D19)*E19/1000</f>
        <v>17.475000000000001</v>
      </c>
      <c r="H19" s="16">
        <f>F19*G19</f>
        <v>17.475000000000001</v>
      </c>
      <c r="K19" s="22"/>
      <c r="L19" s="19"/>
    </row>
    <row r="20" spans="1:12" ht="20.100000000000001" customHeight="1">
      <c r="A20" s="20">
        <v>3</v>
      </c>
      <c r="B20" s="1" t="s">
        <v>31</v>
      </c>
      <c r="C20" s="23" t="s">
        <v>1162</v>
      </c>
      <c r="D20" s="24"/>
      <c r="E20" s="12">
        <v>78000</v>
      </c>
      <c r="F20" s="12">
        <v>1</v>
      </c>
      <c r="G20" s="14">
        <f>槽钢工字钢重量(C20)*E20/1000</f>
        <v>424.32000000000005</v>
      </c>
      <c r="H20" s="16">
        <f>G20*F20</f>
        <v>424.32000000000005</v>
      </c>
      <c r="K20" s="22"/>
      <c r="L20" s="25"/>
    </row>
    <row r="21" spans="1:12" ht="20.100000000000001" customHeight="1">
      <c r="A21" s="20">
        <v>4</v>
      </c>
      <c r="B21" s="1" t="s">
        <v>32</v>
      </c>
      <c r="C21" s="23" t="s">
        <v>33</v>
      </c>
      <c r="D21" s="24"/>
      <c r="E21" s="12">
        <v>1000</v>
      </c>
      <c r="F21" s="12">
        <v>1</v>
      </c>
      <c r="G21" s="14">
        <f>槽钢工字钢重量(C21)*E21/1000</f>
        <v>52.69</v>
      </c>
      <c r="H21" s="16">
        <f>G21*F21</f>
        <v>52.69</v>
      </c>
      <c r="K21" s="18"/>
      <c r="L21" s="19"/>
    </row>
    <row r="22" spans="1:12" ht="20.100000000000001" customHeight="1">
      <c r="K22" s="18"/>
      <c r="L22" s="19"/>
    </row>
    <row r="23" spans="1:12" ht="20.100000000000001" customHeight="1">
      <c r="A23" s="246" t="s">
        <v>34</v>
      </c>
      <c r="B23" s="246"/>
      <c r="C23" s="246"/>
      <c r="D23" s="246"/>
      <c r="E23" s="246"/>
      <c r="F23" s="246"/>
      <c r="K23" s="18"/>
      <c r="L23" s="19"/>
    </row>
    <row r="24" spans="1:12" ht="20.100000000000001" customHeight="1">
      <c r="A24" s="1" t="s">
        <v>14</v>
      </c>
      <c r="B24" s="10" t="s">
        <v>35</v>
      </c>
      <c r="C24" s="10" t="s">
        <v>36</v>
      </c>
      <c r="D24" s="20" t="s">
        <v>37</v>
      </c>
      <c r="E24" s="10" t="s">
        <v>38</v>
      </c>
      <c r="F24" s="26" t="s">
        <v>39</v>
      </c>
      <c r="K24" s="18"/>
      <c r="L24" s="19"/>
    </row>
    <row r="25" spans="1:12" ht="20.100000000000001" customHeight="1">
      <c r="A25" s="1">
        <v>1</v>
      </c>
      <c r="B25" s="27" t="s">
        <v>1265</v>
      </c>
      <c r="C25" s="23">
        <v>600</v>
      </c>
      <c r="D25" s="12">
        <v>1</v>
      </c>
      <c r="E25" s="27" t="s">
        <v>1528</v>
      </c>
      <c r="F25" s="14">
        <f>flangwt(B25,C25,D25,E25)</f>
        <v>42.2</v>
      </c>
      <c r="G25" t="str">
        <f>"NB/T 4702"&amp;RIGHT(B25,1)</f>
        <v>NB/T 47021</v>
      </c>
      <c r="I25" s="28"/>
      <c r="K25" s="18"/>
      <c r="L25" s="19"/>
    </row>
    <row r="26" spans="1:12" ht="20.100000000000001" customHeight="1">
      <c r="A26" s="1">
        <v>2</v>
      </c>
      <c r="B26" s="27" t="s">
        <v>40</v>
      </c>
      <c r="C26" s="23">
        <v>800</v>
      </c>
      <c r="D26" s="12">
        <v>1.6</v>
      </c>
      <c r="E26" s="27" t="s">
        <v>1528</v>
      </c>
      <c r="F26" s="14">
        <f>flangwt(B26,C26,D26,E26)</f>
        <v>98.7</v>
      </c>
      <c r="G26" t="str">
        <f>"NB/T 4702"&amp;RIGHT(B26,1)</f>
        <v>NB/T 47023</v>
      </c>
      <c r="I26" s="28"/>
      <c r="K26" s="18"/>
      <c r="L26" s="19"/>
    </row>
    <row r="27" spans="1:12" ht="20.100000000000001" customHeight="1">
      <c r="I27" s="28"/>
      <c r="K27" s="18"/>
      <c r="L27" s="19"/>
    </row>
    <row r="28" spans="1:12" ht="20.100000000000001" customHeight="1">
      <c r="A28" s="246" t="s">
        <v>41</v>
      </c>
      <c r="B28" s="246"/>
      <c r="C28" s="246"/>
      <c r="D28" s="246"/>
      <c r="E28" s="246"/>
      <c r="F28" s="246"/>
      <c r="I28" s="28"/>
      <c r="K28" s="18"/>
      <c r="L28" s="19"/>
    </row>
    <row r="29" spans="1:12" ht="20.100000000000001" customHeight="1">
      <c r="A29" s="1" t="s">
        <v>14</v>
      </c>
      <c r="B29" s="10" t="s">
        <v>35</v>
      </c>
      <c r="C29" s="10" t="s">
        <v>36</v>
      </c>
      <c r="D29" s="20" t="s">
        <v>37</v>
      </c>
      <c r="E29" s="10" t="s">
        <v>38</v>
      </c>
      <c r="F29" s="26" t="s">
        <v>39</v>
      </c>
      <c r="I29" s="28"/>
      <c r="K29" s="18"/>
      <c r="L29" s="19"/>
    </row>
    <row r="30" spans="1:12" ht="20.100000000000001" customHeight="1">
      <c r="A30" s="1">
        <v>1</v>
      </c>
      <c r="B30" s="29" t="s">
        <v>42</v>
      </c>
      <c r="C30" s="23">
        <v>800</v>
      </c>
      <c r="D30" s="12">
        <v>1.6</v>
      </c>
      <c r="E30" s="27" t="s">
        <v>43</v>
      </c>
      <c r="F30" s="14">
        <f>flangwtJBT4721(C30,D30,E30)</f>
        <v>194.4</v>
      </c>
      <c r="I30" s="28"/>
      <c r="K30" s="18"/>
      <c r="L30" s="19"/>
    </row>
    <row r="31" spans="1:12" ht="20.100000000000001" customHeight="1">
      <c r="A31" s="1">
        <v>2</v>
      </c>
      <c r="B31" s="29" t="s">
        <v>42</v>
      </c>
      <c r="C31" s="23">
        <v>700</v>
      </c>
      <c r="D31" s="12">
        <v>6.4</v>
      </c>
      <c r="E31" s="27" t="s">
        <v>43</v>
      </c>
      <c r="F31" s="14">
        <f>flangwtJBT4721(C31,D31,E31)</f>
        <v>429.2</v>
      </c>
      <c r="I31" s="28"/>
      <c r="K31" s="18"/>
      <c r="L31" s="19"/>
    </row>
    <row r="32" spans="1:12" ht="20.100000000000001" customHeight="1">
      <c r="I32" s="28"/>
      <c r="K32" s="18"/>
      <c r="L32" s="19"/>
    </row>
    <row r="33" spans="1:15" ht="20.100000000000001" customHeight="1">
      <c r="A33" s="247" t="s">
        <v>44</v>
      </c>
      <c r="B33" s="247"/>
      <c r="C33" s="247"/>
      <c r="D33" s="247"/>
      <c r="E33" s="247"/>
      <c r="F33" s="247"/>
      <c r="G33" s="247"/>
      <c r="H33" s="247"/>
      <c r="K33" s="18"/>
      <c r="L33" s="19"/>
    </row>
    <row r="34" spans="1:15" ht="20.100000000000001" customHeight="1">
      <c r="A34" s="1" t="s">
        <v>45</v>
      </c>
      <c r="B34" s="10" t="s">
        <v>35</v>
      </c>
      <c r="C34" s="10" t="s">
        <v>36</v>
      </c>
      <c r="D34" s="20" t="s">
        <v>37</v>
      </c>
      <c r="E34" s="10" t="s">
        <v>46</v>
      </c>
      <c r="F34" s="30" t="s">
        <v>1150</v>
      </c>
      <c r="I34" s="28"/>
      <c r="K34" s="18"/>
      <c r="L34" s="19"/>
    </row>
    <row r="35" spans="1:15" ht="20.100000000000001" customHeight="1">
      <c r="A35" s="10">
        <v>1</v>
      </c>
      <c r="B35" s="27" t="s">
        <v>47</v>
      </c>
      <c r="C35" s="23">
        <v>15</v>
      </c>
      <c r="D35" s="31">
        <v>1.6</v>
      </c>
      <c r="E35" s="27" t="s">
        <v>1526</v>
      </c>
      <c r="F35" s="14">
        <f>flangwt1(B35,C35,D35,E35)</f>
        <v>0.71</v>
      </c>
    </row>
    <row r="36" spans="1:15" ht="20.100000000000001" customHeight="1">
      <c r="A36" s="10">
        <v>2</v>
      </c>
      <c r="B36" s="27" t="s">
        <v>1264</v>
      </c>
      <c r="C36" s="23">
        <v>125</v>
      </c>
      <c r="D36" s="32">
        <v>2</v>
      </c>
      <c r="E36" s="27" t="s">
        <v>1527</v>
      </c>
      <c r="F36" s="14">
        <f>flangwt1(B36,C36,D36,E36)</f>
        <v>6.26</v>
      </c>
    </row>
    <row r="37" spans="1:15" ht="20.100000000000001" customHeight="1">
      <c r="A37" s="33"/>
      <c r="C37" s="34"/>
      <c r="E37" s="35"/>
      <c r="F37" s="35"/>
    </row>
    <row r="38" spans="1:15" ht="20.100000000000001" customHeight="1">
      <c r="A38" s="247" t="s">
        <v>48</v>
      </c>
      <c r="B38" s="247"/>
      <c r="C38" s="247"/>
      <c r="K38" s="18"/>
    </row>
    <row r="39" spans="1:15" ht="20.100000000000001" customHeight="1">
      <c r="A39" s="36" t="s">
        <v>14</v>
      </c>
      <c r="B39" s="36" t="s">
        <v>49</v>
      </c>
      <c r="C39" s="1" t="s">
        <v>50</v>
      </c>
      <c r="D39" s="1" t="s">
        <v>51</v>
      </c>
      <c r="E39" s="1" t="s">
        <v>4</v>
      </c>
      <c r="F39" s="1" t="s">
        <v>5</v>
      </c>
      <c r="G39" s="1" t="s">
        <v>6</v>
      </c>
      <c r="H39" s="1" t="s">
        <v>7</v>
      </c>
      <c r="I39" s="1" t="s">
        <v>8</v>
      </c>
      <c r="J39" s="1" t="s">
        <v>9</v>
      </c>
      <c r="K39" s="1" t="s">
        <v>10</v>
      </c>
      <c r="L39" s="1" t="s">
        <v>12</v>
      </c>
    </row>
    <row r="40" spans="1:15" ht="20.100000000000001" customHeight="1">
      <c r="A40" s="20">
        <v>1</v>
      </c>
      <c r="B40" s="37">
        <v>1554</v>
      </c>
      <c r="C40" s="37">
        <v>970</v>
      </c>
      <c r="D40" s="37">
        <v>1045</v>
      </c>
      <c r="E40" s="37">
        <v>6</v>
      </c>
      <c r="F40" s="37">
        <v>1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16">
        <f>((B40+C40)*D40/2*E40-PI()/4*G40^2*E40*H40-I40*J40*E40*K40)*0.00000785*F40</f>
        <v>62.115008999999993</v>
      </c>
      <c r="O40" s="38"/>
    </row>
    <row r="41" spans="1:15" ht="20.100000000000001" customHeight="1">
      <c r="A41" s="20">
        <v>2</v>
      </c>
      <c r="B41" s="37">
        <v>2274</v>
      </c>
      <c r="C41" s="37">
        <v>2640</v>
      </c>
      <c r="D41" s="37">
        <v>1363</v>
      </c>
      <c r="E41" s="37">
        <v>8</v>
      </c>
      <c r="F41" s="37">
        <v>2</v>
      </c>
      <c r="G41" s="31">
        <v>0</v>
      </c>
      <c r="H41" s="31">
        <v>0</v>
      </c>
      <c r="I41" s="31">
        <v>0</v>
      </c>
      <c r="J41" s="31">
        <v>0</v>
      </c>
      <c r="K41" s="31">
        <v>0</v>
      </c>
      <c r="L41" s="16">
        <f>((B41+C41)*D41/2*E41-PI()/4*G41^2*E41*H41-I41*J41*E41*K41)*0.00000785*F41</f>
        <v>420.62070959999994</v>
      </c>
    </row>
    <row r="42" spans="1:15" ht="20.100000000000001" customHeight="1"/>
    <row r="43" spans="1:15" ht="20.100000000000001" customHeight="1">
      <c r="A43" s="246" t="s">
        <v>52</v>
      </c>
      <c r="B43" s="246"/>
      <c r="C43" s="246"/>
      <c r="F43" s="39"/>
      <c r="L43" s="40"/>
    </row>
    <row r="44" spans="1:15" ht="20.100000000000001" customHeight="1">
      <c r="A44" s="10" t="s">
        <v>14</v>
      </c>
      <c r="B44" s="1" t="s">
        <v>53</v>
      </c>
      <c r="C44" s="1" t="s">
        <v>54</v>
      </c>
      <c r="D44" s="1" t="s">
        <v>4</v>
      </c>
      <c r="E44" s="1" t="s">
        <v>5</v>
      </c>
      <c r="F44" s="1" t="s">
        <v>55</v>
      </c>
    </row>
    <row r="45" spans="1:15" ht="20.100000000000001" customHeight="1">
      <c r="A45" s="20">
        <v>1</v>
      </c>
      <c r="B45" s="37">
        <v>550</v>
      </c>
      <c r="C45" s="37">
        <v>845</v>
      </c>
      <c r="D45" s="37">
        <v>8</v>
      </c>
      <c r="E45" s="37">
        <v>1</v>
      </c>
      <c r="F45" s="14">
        <f>(ACOS((B45-C45)/B45)*B45^2-(B45^2-(B45-C45)^2)^0.5*(B45-C45))*D45*7.85*E45/1000000</f>
        <v>49.194686064041868</v>
      </c>
    </row>
    <row r="46" spans="1:15" ht="20.100000000000001" customHeight="1">
      <c r="A46" s="20">
        <v>2</v>
      </c>
      <c r="B46" s="37">
        <v>550</v>
      </c>
      <c r="C46" s="37">
        <v>845</v>
      </c>
      <c r="D46" s="37">
        <v>8</v>
      </c>
      <c r="E46" s="37">
        <v>1</v>
      </c>
      <c r="F46" s="14">
        <f>(ACOS((B46-C46)/B46)*B46^2-(B46^2-(B46-C46)^2)^0.5*(B46-C46))*D46*7.85*E46/1000000</f>
        <v>49.194686064041868</v>
      </c>
    </row>
    <row r="47" spans="1:15" ht="20.100000000000001" customHeight="1"/>
    <row r="48" spans="1:15" ht="20.100000000000001" customHeight="1">
      <c r="A48" s="245" t="s">
        <v>56</v>
      </c>
      <c r="B48" s="245"/>
      <c r="C48" s="245"/>
      <c r="D48" s="245"/>
      <c r="E48" s="245"/>
      <c r="F48" s="245"/>
    </row>
    <row r="49" spans="1:13" ht="39.950000000000003" customHeight="1">
      <c r="A49" s="10" t="s">
        <v>14</v>
      </c>
      <c r="B49" s="1" t="s">
        <v>57</v>
      </c>
      <c r="C49" s="1" t="s">
        <v>58</v>
      </c>
      <c r="D49" s="1" t="s">
        <v>59</v>
      </c>
      <c r="E49" s="41" t="s">
        <v>60</v>
      </c>
      <c r="F49" s="41" t="s">
        <v>61</v>
      </c>
      <c r="G49" s="1" t="s">
        <v>51</v>
      </c>
      <c r="H49" s="1" t="s">
        <v>4</v>
      </c>
      <c r="I49" s="1" t="s">
        <v>62</v>
      </c>
    </row>
    <row r="50" spans="1:13" ht="20.100000000000001" customHeight="1">
      <c r="A50" s="20">
        <v>1</v>
      </c>
      <c r="B50" s="37">
        <v>3680</v>
      </c>
      <c r="C50" s="37">
        <v>3348</v>
      </c>
      <c r="D50" s="37">
        <v>1860</v>
      </c>
      <c r="E50" s="37">
        <v>0</v>
      </c>
      <c r="F50" s="37">
        <v>0</v>
      </c>
      <c r="G50" s="37">
        <v>866</v>
      </c>
      <c r="H50" s="37">
        <v>12</v>
      </c>
      <c r="I50" s="42">
        <f>天圆地方重量计算(D50,B50,C50,E50,F50,G50,H50)</f>
        <v>1234.2263131929051</v>
      </c>
      <c r="J50">
        <f>I50/H50/7.85</f>
        <v>13.102190161283493</v>
      </c>
    </row>
    <row r="51" spans="1:13" ht="20.100000000000001" customHeight="1">
      <c r="A51" s="20">
        <v>2</v>
      </c>
      <c r="B51" s="37">
        <v>3300</v>
      </c>
      <c r="C51" s="37">
        <v>7000</v>
      </c>
      <c r="D51" s="37">
        <v>2200</v>
      </c>
      <c r="E51" s="37">
        <v>0</v>
      </c>
      <c r="F51" s="37">
        <v>0</v>
      </c>
      <c r="G51" s="37">
        <v>2000</v>
      </c>
      <c r="H51" s="37">
        <v>8</v>
      </c>
      <c r="I51" s="42">
        <f>天圆地方重量计算(D51,B51,C51,E51,F51,G51,H51)</f>
        <v>2245.8117602679818</v>
      </c>
    </row>
    <row r="52" spans="1:13" ht="20.100000000000001" customHeight="1">
      <c r="A52" s="34"/>
      <c r="B52" s="39"/>
      <c r="C52" s="39"/>
      <c r="D52" s="39"/>
      <c r="E52" s="39"/>
      <c r="F52" s="39"/>
      <c r="G52" s="39"/>
      <c r="H52" s="39"/>
      <c r="K52" s="43"/>
    </row>
    <row r="53" spans="1:13" ht="20.100000000000001" customHeight="1">
      <c r="A53" s="245" t="s">
        <v>63</v>
      </c>
      <c r="B53" s="245"/>
      <c r="C53" s="245"/>
      <c r="D53" s="245"/>
      <c r="E53" s="245"/>
      <c r="F53" s="245"/>
      <c r="H53" s="39"/>
      <c r="K53" s="43"/>
    </row>
    <row r="54" spans="1:13" ht="30" customHeight="1">
      <c r="A54" s="10" t="s">
        <v>14</v>
      </c>
      <c r="B54" s="1" t="s">
        <v>64</v>
      </c>
      <c r="C54" s="1" t="s">
        <v>65</v>
      </c>
      <c r="D54" s="1" t="s">
        <v>66</v>
      </c>
      <c r="E54" s="1" t="s">
        <v>67</v>
      </c>
      <c r="F54" s="41" t="s">
        <v>68</v>
      </c>
      <c r="G54" s="41" t="s">
        <v>69</v>
      </c>
      <c r="H54" s="1" t="s">
        <v>51</v>
      </c>
      <c r="I54" s="1" t="s">
        <v>4</v>
      </c>
      <c r="J54" s="44" t="s">
        <v>62</v>
      </c>
    </row>
    <row r="55" spans="1:13" ht="20.100000000000001" customHeight="1">
      <c r="A55" s="20">
        <v>1</v>
      </c>
      <c r="B55" s="37">
        <v>300</v>
      </c>
      <c r="C55" s="37">
        <v>7000</v>
      </c>
      <c r="D55" s="37">
        <v>300</v>
      </c>
      <c r="E55" s="45">
        <v>3300</v>
      </c>
      <c r="F55" s="37">
        <v>0</v>
      </c>
      <c r="G55" s="37">
        <v>0</v>
      </c>
      <c r="H55" s="37">
        <v>2750</v>
      </c>
      <c r="I55" s="37">
        <v>8</v>
      </c>
      <c r="J55" s="46">
        <f>天方地方重量计算(B55,D55,C55,E55,F55,G55,H55,I55)</f>
        <v>2414.3515624043985</v>
      </c>
    </row>
    <row r="56" spans="1:13" ht="20.100000000000001" customHeight="1">
      <c r="A56" s="20">
        <v>2</v>
      </c>
      <c r="B56" s="37">
        <v>300</v>
      </c>
      <c r="C56" s="37">
        <v>7000</v>
      </c>
      <c r="D56" s="37">
        <v>300</v>
      </c>
      <c r="E56" s="45">
        <v>3300</v>
      </c>
      <c r="F56" s="37">
        <v>0</v>
      </c>
      <c r="G56" s="37">
        <v>0</v>
      </c>
      <c r="H56" s="37">
        <v>2750</v>
      </c>
      <c r="I56" s="37">
        <v>8</v>
      </c>
      <c r="J56" s="46">
        <f>天方地方重量计算(B56,D56,C56,E56,F56,G56,H56,I56)</f>
        <v>2414.3515624043985</v>
      </c>
    </row>
    <row r="57" spans="1:13" ht="20.100000000000001" customHeight="1">
      <c r="A57" s="34"/>
      <c r="B57" s="39"/>
      <c r="C57" s="39"/>
      <c r="D57" s="39"/>
      <c r="E57" s="39"/>
      <c r="F57" s="39"/>
      <c r="G57" s="39"/>
      <c r="H57" s="39"/>
      <c r="K57" s="47"/>
    </row>
    <row r="58" spans="1:13" ht="20.100000000000001" customHeight="1">
      <c r="A58" s="246" t="s">
        <v>70</v>
      </c>
      <c r="B58" s="246"/>
      <c r="C58" s="246"/>
    </row>
    <row r="59" spans="1:13" ht="20.100000000000001" customHeight="1">
      <c r="A59" s="10" t="s">
        <v>14</v>
      </c>
      <c r="B59" s="1" t="str">
        <f>IF(A59=1,"底边","边长2")</f>
        <v>边长2</v>
      </c>
      <c r="C59" s="1" t="str">
        <f>IF(A59=1,"高","边长3")</f>
        <v>边长3</v>
      </c>
      <c r="D59" s="1" t="s">
        <v>4</v>
      </c>
      <c r="E59" s="1" t="s">
        <v>5</v>
      </c>
      <c r="F59" s="1" t="s">
        <v>6</v>
      </c>
      <c r="G59" s="1" t="s">
        <v>7</v>
      </c>
      <c r="H59" s="1" t="s">
        <v>8</v>
      </c>
      <c r="I59" s="1" t="s">
        <v>9</v>
      </c>
      <c r="J59" s="1" t="s">
        <v>10</v>
      </c>
      <c r="K59" s="1" t="s">
        <v>11</v>
      </c>
      <c r="M59" s="48"/>
    </row>
    <row r="60" spans="1:13" ht="20.100000000000001" customHeight="1">
      <c r="A60" s="20">
        <v>1</v>
      </c>
      <c r="B60" s="37">
        <v>84</v>
      </c>
      <c r="C60" s="37">
        <v>85</v>
      </c>
      <c r="D60" s="37">
        <v>8</v>
      </c>
      <c r="E60" s="37">
        <v>1</v>
      </c>
      <c r="F60" s="37">
        <v>0</v>
      </c>
      <c r="G60" s="37">
        <v>10</v>
      </c>
      <c r="H60" s="37">
        <v>0</v>
      </c>
      <c r="I60" s="37">
        <v>10</v>
      </c>
      <c r="J60" s="37">
        <v>10</v>
      </c>
      <c r="K60" s="46">
        <f>((B60*C60/2*D60)-(PI()*F60^2/4*D60*G60)-(H60*I60*D60*J60))*0.00000785</f>
        <v>0.22419599999999998</v>
      </c>
    </row>
    <row r="61" spans="1:13" ht="20.100000000000001" customHeight="1">
      <c r="A61" s="20">
        <v>2</v>
      </c>
      <c r="B61" s="37">
        <v>400</v>
      </c>
      <c r="C61" s="37">
        <v>4</v>
      </c>
      <c r="D61" s="37">
        <v>10</v>
      </c>
      <c r="E61" s="37">
        <v>1</v>
      </c>
      <c r="F61" s="37">
        <v>0</v>
      </c>
      <c r="G61" s="37">
        <v>10</v>
      </c>
      <c r="H61" s="37">
        <v>0</v>
      </c>
      <c r="I61" s="37">
        <v>10</v>
      </c>
      <c r="J61" s="37">
        <v>0</v>
      </c>
      <c r="K61" s="49">
        <f>((B61*C61/2*D61)-(PI()*F61^2/4*D61*G61)-(H61*I61*D61*J61))*0.00000785</f>
        <v>6.2799999999999995E-2</v>
      </c>
    </row>
    <row r="62" spans="1:13" ht="20.100000000000001" customHeight="1">
      <c r="A62" s="50"/>
    </row>
    <row r="63" spans="1:13" ht="20.100000000000001" customHeight="1">
      <c r="A63" s="248" t="s">
        <v>71</v>
      </c>
      <c r="B63" s="246"/>
      <c r="C63" s="246"/>
      <c r="D63" s="246"/>
      <c r="E63" s="246"/>
      <c r="F63" s="246"/>
      <c r="G63" s="246"/>
    </row>
    <row r="64" spans="1:13" ht="20.100000000000001" customHeight="1">
      <c r="A64" s="1" t="s">
        <v>14</v>
      </c>
      <c r="B64" s="1" t="s">
        <v>72</v>
      </c>
      <c r="C64" s="1" t="s">
        <v>36</v>
      </c>
      <c r="D64" s="1" t="s">
        <v>73</v>
      </c>
      <c r="E64" s="44" t="s">
        <v>74</v>
      </c>
      <c r="F64" s="44" t="s">
        <v>75</v>
      </c>
      <c r="G64" s="44" t="s">
        <v>76</v>
      </c>
    </row>
    <row r="65" spans="1:8" ht="20.100000000000001" customHeight="1">
      <c r="A65" s="20">
        <v>1</v>
      </c>
      <c r="B65" s="29" t="s">
        <v>77</v>
      </c>
      <c r="C65" s="12">
        <v>1300</v>
      </c>
      <c r="D65" s="12">
        <v>16</v>
      </c>
      <c r="E65" s="51">
        <f>EHAW(C65,D65)</f>
        <v>242.17095069181283</v>
      </c>
      <c r="F65" s="51">
        <f>EHAS(C65)</f>
        <v>1.9340369517871154</v>
      </c>
      <c r="G65" s="51">
        <f>EHAV(C65)</f>
        <v>0.3207696944291667</v>
      </c>
    </row>
    <row r="66" spans="1:8" ht="20.100000000000001" customHeight="1">
      <c r="A66" s="20">
        <v>2</v>
      </c>
      <c r="B66" s="29" t="s">
        <v>78</v>
      </c>
      <c r="C66" s="12">
        <v>219</v>
      </c>
      <c r="D66" s="12">
        <v>6</v>
      </c>
      <c r="E66" s="51">
        <f>EHBW(C66,D66)</f>
        <v>2.995040760961861</v>
      </c>
      <c r="F66" s="51">
        <f>EHBS(C66,D66)</f>
        <v>6.2705428719384976E-2</v>
      </c>
      <c r="G66" s="51">
        <f>EHBV(C66,D66)</f>
        <v>1.9350777064376251E-3</v>
      </c>
    </row>
    <row r="67" spans="1:8" ht="20.100000000000001" customHeight="1">
      <c r="A67" s="52"/>
      <c r="B67" s="52"/>
      <c r="C67" s="35"/>
      <c r="D67" s="35"/>
      <c r="E67" s="53"/>
    </row>
    <row r="68" spans="1:8" ht="20.100000000000001" customHeight="1">
      <c r="A68" s="249" t="s">
        <v>79</v>
      </c>
      <c r="B68" s="247"/>
      <c r="C68" s="247"/>
      <c r="D68" s="247"/>
      <c r="E68" s="247"/>
      <c r="F68" s="247"/>
    </row>
    <row r="69" spans="1:8" ht="20.100000000000001" customHeight="1">
      <c r="A69" s="1" t="s">
        <v>14</v>
      </c>
      <c r="B69" s="54" t="s">
        <v>80</v>
      </c>
      <c r="C69" s="1" t="s">
        <v>81</v>
      </c>
      <c r="D69" s="44" t="s">
        <v>82</v>
      </c>
      <c r="E69" s="44" t="s">
        <v>83</v>
      </c>
    </row>
    <row r="70" spans="1:8" ht="20.100000000000001" customHeight="1">
      <c r="A70" s="20">
        <v>1</v>
      </c>
      <c r="B70" s="12">
        <v>300</v>
      </c>
      <c r="C70" s="12">
        <v>10</v>
      </c>
      <c r="D70" s="51">
        <f>bqq(B70,"W",C70)</f>
        <v>12</v>
      </c>
      <c r="E70" s="55">
        <f>bqq(B70,"D",C70)</f>
        <v>550</v>
      </c>
    </row>
    <row r="71" spans="1:8" ht="20.100000000000001" customHeight="1">
      <c r="A71" s="20">
        <v>2</v>
      </c>
      <c r="B71" s="12">
        <v>200</v>
      </c>
      <c r="C71" s="12">
        <v>18</v>
      </c>
      <c r="D71" s="51">
        <f>bqq(B71,"W",C71)</f>
        <v>12.2</v>
      </c>
      <c r="E71" s="55">
        <f>bqq(B71,"D",C71)</f>
        <v>400</v>
      </c>
    </row>
    <row r="72" spans="1:8" ht="20.100000000000001" customHeight="1"/>
    <row r="73" spans="1:8" ht="20.100000000000001" customHeight="1">
      <c r="A73" s="94"/>
      <c r="B73" s="95"/>
      <c r="C73" s="96"/>
      <c r="D73" s="95"/>
      <c r="E73" s="97"/>
      <c r="F73" s="97"/>
    </row>
    <row r="74" spans="1:8" ht="20.100000000000001" customHeight="1">
      <c r="A74" s="247" t="s">
        <v>1151</v>
      </c>
      <c r="B74" s="247"/>
      <c r="C74" s="247"/>
      <c r="D74" s="247"/>
      <c r="E74" s="247"/>
      <c r="F74" s="247"/>
    </row>
    <row r="75" spans="1:8" ht="24.95" customHeight="1">
      <c r="A75" s="93" t="s">
        <v>14</v>
      </c>
      <c r="B75" s="93" t="s">
        <v>1153</v>
      </c>
      <c r="C75" s="93" t="s">
        <v>36</v>
      </c>
      <c r="D75" s="98" t="s">
        <v>1158</v>
      </c>
      <c r="E75" s="93" t="s">
        <v>1152</v>
      </c>
      <c r="F75" s="99" t="s">
        <v>1159</v>
      </c>
      <c r="G75" s="100" t="s">
        <v>1161</v>
      </c>
      <c r="H75" s="1" t="s">
        <v>1160</v>
      </c>
    </row>
    <row r="76" spans="1:8" ht="20.100000000000001" customHeight="1">
      <c r="A76" s="20">
        <v>1</v>
      </c>
      <c r="B76" s="37" t="s">
        <v>1154</v>
      </c>
      <c r="C76" s="12">
        <v>800</v>
      </c>
      <c r="D76" s="37">
        <v>10</v>
      </c>
      <c r="E76" s="15">
        <f>IF(C76&lt;=1400,200,250)</f>
        <v>200</v>
      </c>
      <c r="F76" s="101">
        <v>0</v>
      </c>
      <c r="G76" s="12">
        <v>100</v>
      </c>
      <c r="H76" s="102">
        <f>SQRT((C76/2+D76)^2-F76^2)-SQRT((C76/2)^2-(F76+E76/2)^2)+G76</f>
        <v>122.70166537925832</v>
      </c>
    </row>
    <row r="77" spans="1:8" ht="20.100000000000001" customHeight="1">
      <c r="A77" s="20"/>
      <c r="B77" s="37" t="s">
        <v>1155</v>
      </c>
      <c r="C77" s="12">
        <v>159</v>
      </c>
      <c r="D77" s="37">
        <v>5</v>
      </c>
      <c r="E77" s="15">
        <v>133</v>
      </c>
      <c r="F77" s="101">
        <v>0</v>
      </c>
      <c r="G77" s="12">
        <v>0</v>
      </c>
      <c r="H77" s="102">
        <f>SQRT((C77/2)^2-F77^2)-SQRT(((C77-2*D77)/2)^2-(F77+E77/2)^2)+G77</f>
        <v>45.914288752506671</v>
      </c>
    </row>
    <row r="78" spans="1:8" ht="20.100000000000001" customHeight="1">
      <c r="A78" s="20">
        <v>2</v>
      </c>
      <c r="B78" s="37" t="s">
        <v>1156</v>
      </c>
      <c r="C78" s="12">
        <v>1000</v>
      </c>
      <c r="D78" s="37">
        <v>10</v>
      </c>
      <c r="E78" s="15">
        <f>IF(C78&lt;=1400,200,250)</f>
        <v>200</v>
      </c>
      <c r="F78" s="15">
        <v>250</v>
      </c>
      <c r="G78" s="12">
        <v>100</v>
      </c>
      <c r="H78" s="46">
        <f>SQRT((1-F78^2/(C78/2+D78)^2)*(C78/4+D78)^2)-SQRT((1-(F78+E78/2)^2/(C78/2)^2)*(C78/4)^2)+G78</f>
        <v>148.08345793082663</v>
      </c>
    </row>
    <row r="79" spans="1:8" ht="20.100000000000001" customHeight="1">
      <c r="A79" s="20"/>
      <c r="B79" s="37" t="s">
        <v>1157</v>
      </c>
      <c r="C79" s="12">
        <v>1000</v>
      </c>
      <c r="D79" s="37">
        <v>10</v>
      </c>
      <c r="E79" s="15">
        <v>200</v>
      </c>
      <c r="F79" s="15">
        <v>250</v>
      </c>
      <c r="G79" s="12">
        <v>100</v>
      </c>
      <c r="H79" s="46">
        <f>SQRT((1-F79^2/(C79/2)^2)*(C79/4)^2)-SQRT((1-(F79+E79/2)^2/(C79/2-D79)^2)*(C79/4-D79)^2)+G79</f>
        <v>148.54134001240601</v>
      </c>
    </row>
    <row r="80" spans="1:8" ht="20.100000000000001" customHeight="1"/>
    <row r="81" spans="1:13" ht="20.100000000000001" customHeight="1">
      <c r="A81" s="250" t="s">
        <v>84</v>
      </c>
      <c r="B81" s="250"/>
      <c r="C81" s="35"/>
      <c r="D81" s="35"/>
      <c r="E81" s="35"/>
    </row>
    <row r="82" spans="1:13" ht="20.100000000000001" customHeight="1">
      <c r="A82" s="10" t="s">
        <v>14</v>
      </c>
      <c r="B82" s="10" t="s">
        <v>23</v>
      </c>
      <c r="C82" s="10" t="s">
        <v>85</v>
      </c>
      <c r="D82" s="10" t="s">
        <v>86</v>
      </c>
      <c r="E82" s="10" t="s">
        <v>87</v>
      </c>
      <c r="F82" s="10" t="s">
        <v>88</v>
      </c>
      <c r="G82" s="10" t="s">
        <v>89</v>
      </c>
      <c r="H82" s="10" t="s">
        <v>90</v>
      </c>
      <c r="I82" s="10" t="s">
        <v>91</v>
      </c>
      <c r="J82" s="10" t="s">
        <v>92</v>
      </c>
      <c r="K82" s="10" t="s">
        <v>93</v>
      </c>
      <c r="L82" s="10" t="s">
        <v>94</v>
      </c>
      <c r="M82" s="10" t="s">
        <v>95</v>
      </c>
    </row>
    <row r="83" spans="1:13" ht="20.100000000000001" customHeight="1">
      <c r="A83" s="10">
        <v>1</v>
      </c>
      <c r="B83" s="10" t="s">
        <v>96</v>
      </c>
      <c r="C83" s="56" t="s">
        <v>97</v>
      </c>
      <c r="D83" s="56">
        <v>10.8</v>
      </c>
      <c r="E83" s="56">
        <v>14.8</v>
      </c>
      <c r="F83" s="56">
        <v>18</v>
      </c>
      <c r="G83" s="56">
        <v>21.5</v>
      </c>
      <c r="H83" s="56">
        <v>23.8</v>
      </c>
      <c r="I83" s="56">
        <v>25.6</v>
      </c>
      <c r="J83" s="56">
        <v>31</v>
      </c>
      <c r="K83" s="56">
        <v>34</v>
      </c>
      <c r="L83" s="56">
        <v>38</v>
      </c>
      <c r="M83" s="56">
        <v>45</v>
      </c>
    </row>
    <row r="84" spans="1:13" ht="20.100000000000001" customHeight="1">
      <c r="A84" s="10">
        <v>2</v>
      </c>
      <c r="B84" s="10" t="s">
        <v>98</v>
      </c>
      <c r="C84" s="56" t="s">
        <v>97</v>
      </c>
      <c r="D84" s="56">
        <v>1.2E-2</v>
      </c>
      <c r="E84" s="56">
        <v>0.03</v>
      </c>
      <c r="F84" s="56">
        <v>0.05</v>
      </c>
      <c r="G84" s="56">
        <v>0.09</v>
      </c>
      <c r="H84" s="56">
        <v>0.13200000000000001</v>
      </c>
      <c r="I84" s="56">
        <v>0.184</v>
      </c>
      <c r="J84" s="56">
        <v>0.32</v>
      </c>
      <c r="K84" s="56">
        <v>0.5</v>
      </c>
      <c r="L84" s="56">
        <v>0.74</v>
      </c>
      <c r="M84" s="56">
        <v>1</v>
      </c>
    </row>
    <row r="85" spans="1:13" ht="20.100000000000001" customHeight="1">
      <c r="A85" s="10">
        <v>3</v>
      </c>
      <c r="B85" s="10" t="s">
        <v>96</v>
      </c>
      <c r="C85" s="56" t="s">
        <v>99</v>
      </c>
      <c r="D85" s="56">
        <v>12.2</v>
      </c>
      <c r="E85" s="56">
        <v>14.9</v>
      </c>
      <c r="F85" s="56">
        <v>18.7</v>
      </c>
      <c r="G85" s="56">
        <v>22.3</v>
      </c>
      <c r="H85" s="56">
        <v>24.7</v>
      </c>
      <c r="I85" s="56">
        <v>26.4</v>
      </c>
      <c r="J85" s="56">
        <v>31.5</v>
      </c>
      <c r="K85" s="56">
        <v>34.9</v>
      </c>
      <c r="L85" s="56">
        <v>38.9</v>
      </c>
      <c r="M85" s="56">
        <v>45.9</v>
      </c>
    </row>
    <row r="86" spans="1:13" ht="20.100000000000001" customHeight="1">
      <c r="A86" s="10">
        <v>4</v>
      </c>
      <c r="B86" s="10" t="s">
        <v>98</v>
      </c>
      <c r="C86" s="56" t="s">
        <v>99</v>
      </c>
      <c r="D86" s="56">
        <v>1.2E-2</v>
      </c>
      <c r="E86" s="56">
        <v>0.03</v>
      </c>
      <c r="F86" s="56">
        <v>0.05</v>
      </c>
      <c r="G86" s="56">
        <v>0.09</v>
      </c>
      <c r="H86" s="56">
        <v>0.13200000000000001</v>
      </c>
      <c r="I86" s="56">
        <v>0.184</v>
      </c>
      <c r="J86" s="56">
        <v>0.32</v>
      </c>
      <c r="K86" s="56">
        <v>0.5</v>
      </c>
      <c r="L86" s="56">
        <v>0.74</v>
      </c>
      <c r="M86" s="56">
        <v>1</v>
      </c>
    </row>
    <row r="87" spans="1:13" ht="20.100000000000001" customHeight="1">
      <c r="A87" s="10">
        <v>5</v>
      </c>
      <c r="B87" s="10" t="s">
        <v>100</v>
      </c>
      <c r="C87" s="56" t="s">
        <v>101</v>
      </c>
      <c r="D87" s="56">
        <v>8.8999999999999996E-2</v>
      </c>
      <c r="E87" s="56">
        <v>0.16</v>
      </c>
      <c r="F87" s="56">
        <v>0.25</v>
      </c>
      <c r="G87" s="56">
        <v>0.36</v>
      </c>
      <c r="H87" s="56">
        <v>0.45</v>
      </c>
      <c r="I87" s="56">
        <v>0.55000000000000004</v>
      </c>
      <c r="J87" s="56">
        <v>0.79</v>
      </c>
      <c r="K87" s="56">
        <v>1.0900000000000001</v>
      </c>
      <c r="L87" s="56">
        <v>1.42</v>
      </c>
      <c r="M87" s="56">
        <v>1.93</v>
      </c>
    </row>
    <row r="88" spans="1:13" ht="20.100000000000001" customHeight="1">
      <c r="A88" s="57"/>
    </row>
    <row r="89" spans="1:13" ht="20.100000000000001" customHeight="1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</row>
    <row r="90" spans="1:13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</row>
    <row r="91" spans="1:13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</row>
    <row r="92" spans="1:13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</row>
  </sheetData>
  <mergeCells count="16">
    <mergeCell ref="A63:G63"/>
    <mergeCell ref="A68:F68"/>
    <mergeCell ref="A81:B81"/>
    <mergeCell ref="A74:F74"/>
    <mergeCell ref="A58:C58"/>
    <mergeCell ref="A1:C1"/>
    <mergeCell ref="A6:D6"/>
    <mergeCell ref="A11:C11"/>
    <mergeCell ref="A16:C16"/>
    <mergeCell ref="A23:F23"/>
    <mergeCell ref="A53:F53"/>
    <mergeCell ref="A28:F28"/>
    <mergeCell ref="A33:H33"/>
    <mergeCell ref="A38:C38"/>
    <mergeCell ref="A43:C43"/>
    <mergeCell ref="A48:F48"/>
  </mergeCells>
  <phoneticPr fontId="5" type="noConversion"/>
  <dataValidations count="21">
    <dataValidation type="list" allowBlank="1" showInputMessage="1" showErrorMessage="1" sqref="C20" xr:uid="{00000000-0002-0000-0400-000000000000}">
      <formula1>"C5,C6.3,C8,C10,C12.6,C14a,C14,C16a,C16,C18a,C18,C20a,C20,C22a,C22,C25a,C25b,C25c,C28a,C28b,C28c,C32a,C32b,C32c,C36a,C36b,C36c"</formula1>
    </dataValidation>
    <dataValidation type="list" allowBlank="1" showInputMessage="1" showErrorMessage="1" sqref="C21" xr:uid="{00000000-0002-0000-0400-000001000000}">
      <formula1>"G10,G12.6,G14,G18,G20a,G20b,G22a,G22b,G25a,G25b,G28a,G28b,G32a,G32b,G32c,G36a,G36b,G36c,G40a,G40b,G40c,G45a,G45b,G45c,G50a,G50b,G50c"</formula1>
    </dataValidation>
    <dataValidation type="list" allowBlank="1" showInputMessage="1" showErrorMessage="1" sqref="C19" xr:uid="{00000000-0002-0000-0400-000002000000}">
      <formula1>"25/16,32/20,40/25,45/28,50/32,56/36,63/40,70/45,75/50,80/50,90/56,100/63,100/80,110/70,125/80,140/90,160/100,180/110,200/125"</formula1>
    </dataValidation>
    <dataValidation type="list" allowBlank="1" showInputMessage="1" showErrorMessage="1" sqref="B25:B26" xr:uid="{00000000-0002-0000-0400-000003000000}">
      <formula1>"JB/T4701,JB/T4702,JB/T4703"</formula1>
    </dataValidation>
    <dataValidation type="list" allowBlank="1" showInputMessage="1" showErrorMessage="1" sqref="C33 C25:C26" xr:uid="{00000000-0002-0000-0400-000004000000}">
      <formula1>"300,350,400,450,500,550,600,650,700,800,900,1000,1100,1200,1300,1400,1500,1600,1700,1800,1900,2000,2200,2400,2600,2800,3000"</formula1>
    </dataValidation>
    <dataValidation type="list" allowBlank="1" showInputMessage="1" showErrorMessage="1" sqref="D33 D25:D26" xr:uid="{00000000-0002-0000-0400-000005000000}">
      <formula1>"0.25,0.6,1.0,1.6,2.5,4.0,6.4"</formula1>
    </dataValidation>
    <dataValidation type="list" allowBlank="1" showInputMessage="1" showErrorMessage="1" sqref="E33 E25:E26" xr:uid="{00000000-0002-0000-0400-000006000000}">
      <formula1>"FF,M,FM"</formula1>
    </dataValidation>
    <dataValidation type="list" allowBlank="1" showInputMessage="1" showErrorMessage="1" sqref="B35:B36" xr:uid="{00000000-0002-0000-0400-000007000000}">
      <formula1>"HG20592,HG20615"</formula1>
    </dataValidation>
    <dataValidation type="list" allowBlank="1" showInputMessage="1" showErrorMessage="1" sqref="C35:C36" xr:uid="{00000000-0002-0000-0400-000008000000}">
      <formula1>"10,15,20,25,32,40,50,65,80,100,125,150,200,250,300,350,400,450,500,550,600,700,800,900,1000,1200,1400,1600,1800,2000"</formula1>
    </dataValidation>
    <dataValidation type="list" allowBlank="1" showInputMessage="1" showErrorMessage="1" sqref="D35:D36" xr:uid="{00000000-0002-0000-0400-000009000000}">
      <formula1>"0.25,0.6,1.0,1.6,2,2.5,4.0,6.3,10.0,11.0,15.0,16.0,25.0,26.0,42.0"</formula1>
    </dataValidation>
    <dataValidation type="list" allowBlank="1" showInputMessage="1" showErrorMessage="1" sqref="E35:E36" xr:uid="{00000000-0002-0000-0400-00000A000000}">
      <formula1>"PL,SO,WN,BL"</formula1>
    </dataValidation>
    <dataValidation type="list" allowBlank="1" showInputMessage="1" showErrorMessage="1" sqref="C65" xr:uid="{00000000-0002-0000-0400-00000B000000}">
      <formula1>"300,350,400,450,500,550,600,650,700,750,800,850,900,950,1000,1100,1200,1300,1400,1500,1600,1700,1800,1900,2000,2200,2400,2600,2800,3000"</formula1>
    </dataValidation>
    <dataValidation type="list" allowBlank="1" showInputMessage="1" showErrorMessage="1" sqref="C66:C67 C72" xr:uid="{00000000-0002-0000-0400-00000C000000}">
      <formula1>"159,219,273,325,377,426"</formula1>
    </dataValidation>
    <dataValidation type="list" allowBlank="1" showInputMessage="1" showErrorMessage="1" sqref="C30:C31" xr:uid="{00000000-0002-0000-0400-00000D000000}">
      <formula1>"300,400,500,600,700,800,900,1000,1100,1200,1300,1400,1500,1600,1700,1800,1900"</formula1>
    </dataValidation>
    <dataValidation type="list" allowBlank="1" showInputMessage="1" showErrorMessage="1" sqref="D30:D31" xr:uid="{00000000-0002-0000-0400-00000E000000}">
      <formula1>"0.6,1.0,1.6,2.5,4.0,6.4"</formula1>
    </dataValidation>
    <dataValidation type="list" allowBlank="1" showInputMessage="1" showErrorMessage="1" sqref="E30:E31" xr:uid="{00000000-0002-0000-0400-00000F000000}">
      <formula1>"FF,T,S"</formula1>
    </dataValidation>
    <dataValidation type="list" allowBlank="1" showInputMessage="1" showErrorMessage="1" sqref="B70:B71" xr:uid="{00000000-0002-0000-0400-000010000000}">
      <formula1>"50,65,80,100,125,150,175,200,225,250,300,350,400,450,500,600"</formula1>
    </dataValidation>
    <dataValidation type="list" allowBlank="1" showInputMessage="1" showErrorMessage="1" sqref="C70:C71" xr:uid="{00000000-0002-0000-0400-000011000000}">
      <formula1>"4,6,8,10,12,14,16,18,20,22,24,26,28,30"</formula1>
    </dataValidation>
    <dataValidation type="list" allowBlank="1" showInputMessage="1" showErrorMessage="1" sqref="C18" xr:uid="{00000000-0002-0000-0400-000012000000}">
      <formula1>"20,25,30,36,40,45,50,56,63,70,75,80,90,100,125,140,160,180,200"</formula1>
    </dataValidation>
    <dataValidation type="list" allowBlank="1" showInputMessage="1" showErrorMessage="1" sqref="B73" xr:uid="{00000000-0002-0000-0400-000013000000}">
      <formula1>"轻型A,重型BI,重型BII,重型BIII"</formula1>
    </dataValidation>
    <dataValidation type="list" allowBlank="1" showInputMessage="1" showErrorMessage="1" sqref="C73" xr:uid="{00000000-0002-0000-0400-000014000000}">
      <formula1>"159,219,273,325,377,426,300,350,400,450,500,550,600,650,700,800,900,1000,1100,1200,1300,1400,1500,1600,1700,1800,1900,2000,2100,2200,2300,2400,2600,2800,3000,3200,3400,3600,3800,4000"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  <ignoredErrors>
    <ignoredError sqref="C1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F7DA4-694B-49C2-B32A-246E7FB63202}">
  <dimension ref="B3:AV32"/>
  <sheetViews>
    <sheetView topLeftCell="G1" workbookViewId="0">
      <selection activeCell="B3" sqref="B3"/>
    </sheetView>
  </sheetViews>
  <sheetFormatPr defaultRowHeight="15.75"/>
  <cols>
    <col min="2" max="2" width="20.25" customWidth="1"/>
    <col min="3" max="3" width="20.625" customWidth="1"/>
    <col min="6" max="6" width="29.625" customWidth="1"/>
    <col min="7" max="7" width="9.5" customWidth="1"/>
    <col min="10" max="10" width="33.625" customWidth="1"/>
    <col min="11" max="11" width="11.125" customWidth="1"/>
    <col min="14" max="14" width="27.25" customWidth="1"/>
    <col min="18" max="18" width="24" customWidth="1"/>
    <col min="22" max="22" width="29.125" customWidth="1"/>
    <col min="23" max="23" width="21.25" customWidth="1"/>
    <col min="26" max="26" width="25.875" customWidth="1"/>
    <col min="30" max="30" width="24.375" customWidth="1"/>
    <col min="34" max="34" width="26.75" customWidth="1"/>
    <col min="35" max="35" width="11.125" customWidth="1"/>
    <col min="38" max="38" width="26.625" customWidth="1"/>
    <col min="42" max="42" width="25.5" customWidth="1"/>
    <col min="46" max="46" width="19" customWidth="1"/>
    <col min="258" max="258" width="20.25" customWidth="1"/>
    <col min="259" max="259" width="20.625" customWidth="1"/>
    <col min="262" max="262" width="29.625" customWidth="1"/>
    <col min="263" max="263" width="9.5" customWidth="1"/>
    <col min="266" max="266" width="33.625" customWidth="1"/>
    <col min="267" max="267" width="11.125" customWidth="1"/>
    <col min="270" max="270" width="27.25" customWidth="1"/>
    <col min="274" max="274" width="24" customWidth="1"/>
    <col min="278" max="278" width="29.125" customWidth="1"/>
    <col min="279" max="279" width="21.25" customWidth="1"/>
    <col min="282" max="282" width="25.875" customWidth="1"/>
    <col min="286" max="286" width="24.375" customWidth="1"/>
    <col min="290" max="290" width="26.75" customWidth="1"/>
    <col min="291" max="291" width="11.125" customWidth="1"/>
    <col min="294" max="294" width="26.625" customWidth="1"/>
    <col min="298" max="298" width="25.5" customWidth="1"/>
    <col min="302" max="302" width="19" customWidth="1"/>
    <col min="514" max="514" width="20.25" customWidth="1"/>
    <col min="515" max="515" width="20.625" customWidth="1"/>
    <col min="518" max="518" width="29.625" customWidth="1"/>
    <col min="519" max="519" width="9.5" customWidth="1"/>
    <col min="522" max="522" width="33.625" customWidth="1"/>
    <col min="523" max="523" width="11.125" customWidth="1"/>
    <col min="526" max="526" width="27.25" customWidth="1"/>
    <col min="530" max="530" width="24" customWidth="1"/>
    <col min="534" max="534" width="29.125" customWidth="1"/>
    <col min="535" max="535" width="21.25" customWidth="1"/>
    <col min="538" max="538" width="25.875" customWidth="1"/>
    <col min="542" max="542" width="24.375" customWidth="1"/>
    <col min="546" max="546" width="26.75" customWidth="1"/>
    <col min="547" max="547" width="11.125" customWidth="1"/>
    <col min="550" max="550" width="26.625" customWidth="1"/>
    <col min="554" max="554" width="25.5" customWidth="1"/>
    <col min="558" max="558" width="19" customWidth="1"/>
    <col min="770" max="770" width="20.25" customWidth="1"/>
    <col min="771" max="771" width="20.625" customWidth="1"/>
    <col min="774" max="774" width="29.625" customWidth="1"/>
    <col min="775" max="775" width="9.5" customWidth="1"/>
    <col min="778" max="778" width="33.625" customWidth="1"/>
    <col min="779" max="779" width="11.125" customWidth="1"/>
    <col min="782" max="782" width="27.25" customWidth="1"/>
    <col min="786" max="786" width="24" customWidth="1"/>
    <col min="790" max="790" width="29.125" customWidth="1"/>
    <col min="791" max="791" width="21.25" customWidth="1"/>
    <col min="794" max="794" width="25.875" customWidth="1"/>
    <col min="798" max="798" width="24.375" customWidth="1"/>
    <col min="802" max="802" width="26.75" customWidth="1"/>
    <col min="803" max="803" width="11.125" customWidth="1"/>
    <col min="806" max="806" width="26.625" customWidth="1"/>
    <col min="810" max="810" width="25.5" customWidth="1"/>
    <col min="814" max="814" width="19" customWidth="1"/>
    <col min="1026" max="1026" width="20.25" customWidth="1"/>
    <col min="1027" max="1027" width="20.625" customWidth="1"/>
    <col min="1030" max="1030" width="29.625" customWidth="1"/>
    <col min="1031" max="1031" width="9.5" customWidth="1"/>
    <col min="1034" max="1034" width="33.625" customWidth="1"/>
    <col min="1035" max="1035" width="11.125" customWidth="1"/>
    <col min="1038" max="1038" width="27.25" customWidth="1"/>
    <col min="1042" max="1042" width="24" customWidth="1"/>
    <col min="1046" max="1046" width="29.125" customWidth="1"/>
    <col min="1047" max="1047" width="21.25" customWidth="1"/>
    <col min="1050" max="1050" width="25.875" customWidth="1"/>
    <col min="1054" max="1054" width="24.375" customWidth="1"/>
    <col min="1058" max="1058" width="26.75" customWidth="1"/>
    <col min="1059" max="1059" width="11.125" customWidth="1"/>
    <col min="1062" max="1062" width="26.625" customWidth="1"/>
    <col min="1066" max="1066" width="25.5" customWidth="1"/>
    <col min="1070" max="1070" width="19" customWidth="1"/>
    <col min="1282" max="1282" width="20.25" customWidth="1"/>
    <col min="1283" max="1283" width="20.625" customWidth="1"/>
    <col min="1286" max="1286" width="29.625" customWidth="1"/>
    <col min="1287" max="1287" width="9.5" customWidth="1"/>
    <col min="1290" max="1290" width="33.625" customWidth="1"/>
    <col min="1291" max="1291" width="11.125" customWidth="1"/>
    <col min="1294" max="1294" width="27.25" customWidth="1"/>
    <col min="1298" max="1298" width="24" customWidth="1"/>
    <col min="1302" max="1302" width="29.125" customWidth="1"/>
    <col min="1303" max="1303" width="21.25" customWidth="1"/>
    <col min="1306" max="1306" width="25.875" customWidth="1"/>
    <col min="1310" max="1310" width="24.375" customWidth="1"/>
    <col min="1314" max="1314" width="26.75" customWidth="1"/>
    <col min="1315" max="1315" width="11.125" customWidth="1"/>
    <col min="1318" max="1318" width="26.625" customWidth="1"/>
    <col min="1322" max="1322" width="25.5" customWidth="1"/>
    <col min="1326" max="1326" width="19" customWidth="1"/>
    <col min="1538" max="1538" width="20.25" customWidth="1"/>
    <col min="1539" max="1539" width="20.625" customWidth="1"/>
    <col min="1542" max="1542" width="29.625" customWidth="1"/>
    <col min="1543" max="1543" width="9.5" customWidth="1"/>
    <col min="1546" max="1546" width="33.625" customWidth="1"/>
    <col min="1547" max="1547" width="11.125" customWidth="1"/>
    <col min="1550" max="1550" width="27.25" customWidth="1"/>
    <col min="1554" max="1554" width="24" customWidth="1"/>
    <col min="1558" max="1558" width="29.125" customWidth="1"/>
    <col min="1559" max="1559" width="21.25" customWidth="1"/>
    <col min="1562" max="1562" width="25.875" customWidth="1"/>
    <col min="1566" max="1566" width="24.375" customWidth="1"/>
    <col min="1570" max="1570" width="26.75" customWidth="1"/>
    <col min="1571" max="1571" width="11.125" customWidth="1"/>
    <col min="1574" max="1574" width="26.625" customWidth="1"/>
    <col min="1578" max="1578" width="25.5" customWidth="1"/>
    <col min="1582" max="1582" width="19" customWidth="1"/>
    <col min="1794" max="1794" width="20.25" customWidth="1"/>
    <col min="1795" max="1795" width="20.625" customWidth="1"/>
    <col min="1798" max="1798" width="29.625" customWidth="1"/>
    <col min="1799" max="1799" width="9.5" customWidth="1"/>
    <col min="1802" max="1802" width="33.625" customWidth="1"/>
    <col min="1803" max="1803" width="11.125" customWidth="1"/>
    <col min="1806" max="1806" width="27.25" customWidth="1"/>
    <col min="1810" max="1810" width="24" customWidth="1"/>
    <col min="1814" max="1814" width="29.125" customWidth="1"/>
    <col min="1815" max="1815" width="21.25" customWidth="1"/>
    <col min="1818" max="1818" width="25.875" customWidth="1"/>
    <col min="1822" max="1822" width="24.375" customWidth="1"/>
    <col min="1826" max="1826" width="26.75" customWidth="1"/>
    <col min="1827" max="1827" width="11.125" customWidth="1"/>
    <col min="1830" max="1830" width="26.625" customWidth="1"/>
    <col min="1834" max="1834" width="25.5" customWidth="1"/>
    <col min="1838" max="1838" width="19" customWidth="1"/>
    <col min="2050" max="2050" width="20.25" customWidth="1"/>
    <col min="2051" max="2051" width="20.625" customWidth="1"/>
    <col min="2054" max="2054" width="29.625" customWidth="1"/>
    <col min="2055" max="2055" width="9.5" customWidth="1"/>
    <col min="2058" max="2058" width="33.625" customWidth="1"/>
    <col min="2059" max="2059" width="11.125" customWidth="1"/>
    <col min="2062" max="2062" width="27.25" customWidth="1"/>
    <col min="2066" max="2066" width="24" customWidth="1"/>
    <col min="2070" max="2070" width="29.125" customWidth="1"/>
    <col min="2071" max="2071" width="21.25" customWidth="1"/>
    <col min="2074" max="2074" width="25.875" customWidth="1"/>
    <col min="2078" max="2078" width="24.375" customWidth="1"/>
    <col min="2082" max="2082" width="26.75" customWidth="1"/>
    <col min="2083" max="2083" width="11.125" customWidth="1"/>
    <col min="2086" max="2086" width="26.625" customWidth="1"/>
    <col min="2090" max="2090" width="25.5" customWidth="1"/>
    <col min="2094" max="2094" width="19" customWidth="1"/>
    <col min="2306" max="2306" width="20.25" customWidth="1"/>
    <col min="2307" max="2307" width="20.625" customWidth="1"/>
    <col min="2310" max="2310" width="29.625" customWidth="1"/>
    <col min="2311" max="2311" width="9.5" customWidth="1"/>
    <col min="2314" max="2314" width="33.625" customWidth="1"/>
    <col min="2315" max="2315" width="11.125" customWidth="1"/>
    <col min="2318" max="2318" width="27.25" customWidth="1"/>
    <col min="2322" max="2322" width="24" customWidth="1"/>
    <col min="2326" max="2326" width="29.125" customWidth="1"/>
    <col min="2327" max="2327" width="21.25" customWidth="1"/>
    <col min="2330" max="2330" width="25.875" customWidth="1"/>
    <col min="2334" max="2334" width="24.375" customWidth="1"/>
    <col min="2338" max="2338" width="26.75" customWidth="1"/>
    <col min="2339" max="2339" width="11.125" customWidth="1"/>
    <col min="2342" max="2342" width="26.625" customWidth="1"/>
    <col min="2346" max="2346" width="25.5" customWidth="1"/>
    <col min="2350" max="2350" width="19" customWidth="1"/>
    <col min="2562" max="2562" width="20.25" customWidth="1"/>
    <col min="2563" max="2563" width="20.625" customWidth="1"/>
    <col min="2566" max="2566" width="29.625" customWidth="1"/>
    <col min="2567" max="2567" width="9.5" customWidth="1"/>
    <col min="2570" max="2570" width="33.625" customWidth="1"/>
    <col min="2571" max="2571" width="11.125" customWidth="1"/>
    <col min="2574" max="2574" width="27.25" customWidth="1"/>
    <col min="2578" max="2578" width="24" customWidth="1"/>
    <col min="2582" max="2582" width="29.125" customWidth="1"/>
    <col min="2583" max="2583" width="21.25" customWidth="1"/>
    <col min="2586" max="2586" width="25.875" customWidth="1"/>
    <col min="2590" max="2590" width="24.375" customWidth="1"/>
    <col min="2594" max="2594" width="26.75" customWidth="1"/>
    <col min="2595" max="2595" width="11.125" customWidth="1"/>
    <col min="2598" max="2598" width="26.625" customWidth="1"/>
    <col min="2602" max="2602" width="25.5" customWidth="1"/>
    <col min="2606" max="2606" width="19" customWidth="1"/>
    <col min="2818" max="2818" width="20.25" customWidth="1"/>
    <col min="2819" max="2819" width="20.625" customWidth="1"/>
    <col min="2822" max="2822" width="29.625" customWidth="1"/>
    <col min="2823" max="2823" width="9.5" customWidth="1"/>
    <col min="2826" max="2826" width="33.625" customWidth="1"/>
    <col min="2827" max="2827" width="11.125" customWidth="1"/>
    <col min="2830" max="2830" width="27.25" customWidth="1"/>
    <col min="2834" max="2834" width="24" customWidth="1"/>
    <col min="2838" max="2838" width="29.125" customWidth="1"/>
    <col min="2839" max="2839" width="21.25" customWidth="1"/>
    <col min="2842" max="2842" width="25.875" customWidth="1"/>
    <col min="2846" max="2846" width="24.375" customWidth="1"/>
    <col min="2850" max="2850" width="26.75" customWidth="1"/>
    <col min="2851" max="2851" width="11.125" customWidth="1"/>
    <col min="2854" max="2854" width="26.625" customWidth="1"/>
    <col min="2858" max="2858" width="25.5" customWidth="1"/>
    <col min="2862" max="2862" width="19" customWidth="1"/>
    <col min="3074" max="3074" width="20.25" customWidth="1"/>
    <col min="3075" max="3075" width="20.625" customWidth="1"/>
    <col min="3078" max="3078" width="29.625" customWidth="1"/>
    <col min="3079" max="3079" width="9.5" customWidth="1"/>
    <col min="3082" max="3082" width="33.625" customWidth="1"/>
    <col min="3083" max="3083" width="11.125" customWidth="1"/>
    <col min="3086" max="3086" width="27.25" customWidth="1"/>
    <col min="3090" max="3090" width="24" customWidth="1"/>
    <col min="3094" max="3094" width="29.125" customWidth="1"/>
    <col min="3095" max="3095" width="21.25" customWidth="1"/>
    <col min="3098" max="3098" width="25.875" customWidth="1"/>
    <col min="3102" max="3102" width="24.375" customWidth="1"/>
    <col min="3106" max="3106" width="26.75" customWidth="1"/>
    <col min="3107" max="3107" width="11.125" customWidth="1"/>
    <col min="3110" max="3110" width="26.625" customWidth="1"/>
    <col min="3114" max="3114" width="25.5" customWidth="1"/>
    <col min="3118" max="3118" width="19" customWidth="1"/>
    <col min="3330" max="3330" width="20.25" customWidth="1"/>
    <col min="3331" max="3331" width="20.625" customWidth="1"/>
    <col min="3334" max="3334" width="29.625" customWidth="1"/>
    <col min="3335" max="3335" width="9.5" customWidth="1"/>
    <col min="3338" max="3338" width="33.625" customWidth="1"/>
    <col min="3339" max="3339" width="11.125" customWidth="1"/>
    <col min="3342" max="3342" width="27.25" customWidth="1"/>
    <col min="3346" max="3346" width="24" customWidth="1"/>
    <col min="3350" max="3350" width="29.125" customWidth="1"/>
    <col min="3351" max="3351" width="21.25" customWidth="1"/>
    <col min="3354" max="3354" width="25.875" customWidth="1"/>
    <col min="3358" max="3358" width="24.375" customWidth="1"/>
    <col min="3362" max="3362" width="26.75" customWidth="1"/>
    <col min="3363" max="3363" width="11.125" customWidth="1"/>
    <col min="3366" max="3366" width="26.625" customWidth="1"/>
    <col min="3370" max="3370" width="25.5" customWidth="1"/>
    <col min="3374" max="3374" width="19" customWidth="1"/>
    <col min="3586" max="3586" width="20.25" customWidth="1"/>
    <col min="3587" max="3587" width="20.625" customWidth="1"/>
    <col min="3590" max="3590" width="29.625" customWidth="1"/>
    <col min="3591" max="3591" width="9.5" customWidth="1"/>
    <col min="3594" max="3594" width="33.625" customWidth="1"/>
    <col min="3595" max="3595" width="11.125" customWidth="1"/>
    <col min="3598" max="3598" width="27.25" customWidth="1"/>
    <col min="3602" max="3602" width="24" customWidth="1"/>
    <col min="3606" max="3606" width="29.125" customWidth="1"/>
    <col min="3607" max="3607" width="21.25" customWidth="1"/>
    <col min="3610" max="3610" width="25.875" customWidth="1"/>
    <col min="3614" max="3614" width="24.375" customWidth="1"/>
    <col min="3618" max="3618" width="26.75" customWidth="1"/>
    <col min="3619" max="3619" width="11.125" customWidth="1"/>
    <col min="3622" max="3622" width="26.625" customWidth="1"/>
    <col min="3626" max="3626" width="25.5" customWidth="1"/>
    <col min="3630" max="3630" width="19" customWidth="1"/>
    <col min="3842" max="3842" width="20.25" customWidth="1"/>
    <col min="3843" max="3843" width="20.625" customWidth="1"/>
    <col min="3846" max="3846" width="29.625" customWidth="1"/>
    <col min="3847" max="3847" width="9.5" customWidth="1"/>
    <col min="3850" max="3850" width="33.625" customWidth="1"/>
    <col min="3851" max="3851" width="11.125" customWidth="1"/>
    <col min="3854" max="3854" width="27.25" customWidth="1"/>
    <col min="3858" max="3858" width="24" customWidth="1"/>
    <col min="3862" max="3862" width="29.125" customWidth="1"/>
    <col min="3863" max="3863" width="21.25" customWidth="1"/>
    <col min="3866" max="3866" width="25.875" customWidth="1"/>
    <col min="3870" max="3870" width="24.375" customWidth="1"/>
    <col min="3874" max="3874" width="26.75" customWidth="1"/>
    <col min="3875" max="3875" width="11.125" customWidth="1"/>
    <col min="3878" max="3878" width="26.625" customWidth="1"/>
    <col min="3882" max="3882" width="25.5" customWidth="1"/>
    <col min="3886" max="3886" width="19" customWidth="1"/>
    <col min="4098" max="4098" width="20.25" customWidth="1"/>
    <col min="4099" max="4099" width="20.625" customWidth="1"/>
    <col min="4102" max="4102" width="29.625" customWidth="1"/>
    <col min="4103" max="4103" width="9.5" customWidth="1"/>
    <col min="4106" max="4106" width="33.625" customWidth="1"/>
    <col min="4107" max="4107" width="11.125" customWidth="1"/>
    <col min="4110" max="4110" width="27.25" customWidth="1"/>
    <col min="4114" max="4114" width="24" customWidth="1"/>
    <col min="4118" max="4118" width="29.125" customWidth="1"/>
    <col min="4119" max="4119" width="21.25" customWidth="1"/>
    <col min="4122" max="4122" width="25.875" customWidth="1"/>
    <col min="4126" max="4126" width="24.375" customWidth="1"/>
    <col min="4130" max="4130" width="26.75" customWidth="1"/>
    <col min="4131" max="4131" width="11.125" customWidth="1"/>
    <col min="4134" max="4134" width="26.625" customWidth="1"/>
    <col min="4138" max="4138" width="25.5" customWidth="1"/>
    <col min="4142" max="4142" width="19" customWidth="1"/>
    <col min="4354" max="4354" width="20.25" customWidth="1"/>
    <col min="4355" max="4355" width="20.625" customWidth="1"/>
    <col min="4358" max="4358" width="29.625" customWidth="1"/>
    <col min="4359" max="4359" width="9.5" customWidth="1"/>
    <col min="4362" max="4362" width="33.625" customWidth="1"/>
    <col min="4363" max="4363" width="11.125" customWidth="1"/>
    <col min="4366" max="4366" width="27.25" customWidth="1"/>
    <col min="4370" max="4370" width="24" customWidth="1"/>
    <col min="4374" max="4374" width="29.125" customWidth="1"/>
    <col min="4375" max="4375" width="21.25" customWidth="1"/>
    <col min="4378" max="4378" width="25.875" customWidth="1"/>
    <col min="4382" max="4382" width="24.375" customWidth="1"/>
    <col min="4386" max="4386" width="26.75" customWidth="1"/>
    <col min="4387" max="4387" width="11.125" customWidth="1"/>
    <col min="4390" max="4390" width="26.625" customWidth="1"/>
    <col min="4394" max="4394" width="25.5" customWidth="1"/>
    <col min="4398" max="4398" width="19" customWidth="1"/>
    <col min="4610" max="4610" width="20.25" customWidth="1"/>
    <col min="4611" max="4611" width="20.625" customWidth="1"/>
    <col min="4614" max="4614" width="29.625" customWidth="1"/>
    <col min="4615" max="4615" width="9.5" customWidth="1"/>
    <col min="4618" max="4618" width="33.625" customWidth="1"/>
    <col min="4619" max="4619" width="11.125" customWidth="1"/>
    <col min="4622" max="4622" width="27.25" customWidth="1"/>
    <col min="4626" max="4626" width="24" customWidth="1"/>
    <col min="4630" max="4630" width="29.125" customWidth="1"/>
    <col min="4631" max="4631" width="21.25" customWidth="1"/>
    <col min="4634" max="4634" width="25.875" customWidth="1"/>
    <col min="4638" max="4638" width="24.375" customWidth="1"/>
    <col min="4642" max="4642" width="26.75" customWidth="1"/>
    <col min="4643" max="4643" width="11.125" customWidth="1"/>
    <col min="4646" max="4646" width="26.625" customWidth="1"/>
    <col min="4650" max="4650" width="25.5" customWidth="1"/>
    <col min="4654" max="4654" width="19" customWidth="1"/>
    <col min="4866" max="4866" width="20.25" customWidth="1"/>
    <col min="4867" max="4867" width="20.625" customWidth="1"/>
    <col min="4870" max="4870" width="29.625" customWidth="1"/>
    <col min="4871" max="4871" width="9.5" customWidth="1"/>
    <col min="4874" max="4874" width="33.625" customWidth="1"/>
    <col min="4875" max="4875" width="11.125" customWidth="1"/>
    <col min="4878" max="4878" width="27.25" customWidth="1"/>
    <col min="4882" max="4882" width="24" customWidth="1"/>
    <col min="4886" max="4886" width="29.125" customWidth="1"/>
    <col min="4887" max="4887" width="21.25" customWidth="1"/>
    <col min="4890" max="4890" width="25.875" customWidth="1"/>
    <col min="4894" max="4894" width="24.375" customWidth="1"/>
    <col min="4898" max="4898" width="26.75" customWidth="1"/>
    <col min="4899" max="4899" width="11.125" customWidth="1"/>
    <col min="4902" max="4902" width="26.625" customWidth="1"/>
    <col min="4906" max="4906" width="25.5" customWidth="1"/>
    <col min="4910" max="4910" width="19" customWidth="1"/>
    <col min="5122" max="5122" width="20.25" customWidth="1"/>
    <col min="5123" max="5123" width="20.625" customWidth="1"/>
    <col min="5126" max="5126" width="29.625" customWidth="1"/>
    <col min="5127" max="5127" width="9.5" customWidth="1"/>
    <col min="5130" max="5130" width="33.625" customWidth="1"/>
    <col min="5131" max="5131" width="11.125" customWidth="1"/>
    <col min="5134" max="5134" width="27.25" customWidth="1"/>
    <col min="5138" max="5138" width="24" customWidth="1"/>
    <col min="5142" max="5142" width="29.125" customWidth="1"/>
    <col min="5143" max="5143" width="21.25" customWidth="1"/>
    <col min="5146" max="5146" width="25.875" customWidth="1"/>
    <col min="5150" max="5150" width="24.375" customWidth="1"/>
    <col min="5154" max="5154" width="26.75" customWidth="1"/>
    <col min="5155" max="5155" width="11.125" customWidth="1"/>
    <col min="5158" max="5158" width="26.625" customWidth="1"/>
    <col min="5162" max="5162" width="25.5" customWidth="1"/>
    <col min="5166" max="5166" width="19" customWidth="1"/>
    <col min="5378" max="5378" width="20.25" customWidth="1"/>
    <col min="5379" max="5379" width="20.625" customWidth="1"/>
    <col min="5382" max="5382" width="29.625" customWidth="1"/>
    <col min="5383" max="5383" width="9.5" customWidth="1"/>
    <col min="5386" max="5386" width="33.625" customWidth="1"/>
    <col min="5387" max="5387" width="11.125" customWidth="1"/>
    <col min="5390" max="5390" width="27.25" customWidth="1"/>
    <col min="5394" max="5394" width="24" customWidth="1"/>
    <col min="5398" max="5398" width="29.125" customWidth="1"/>
    <col min="5399" max="5399" width="21.25" customWidth="1"/>
    <col min="5402" max="5402" width="25.875" customWidth="1"/>
    <col min="5406" max="5406" width="24.375" customWidth="1"/>
    <col min="5410" max="5410" width="26.75" customWidth="1"/>
    <col min="5411" max="5411" width="11.125" customWidth="1"/>
    <col min="5414" max="5414" width="26.625" customWidth="1"/>
    <col min="5418" max="5418" width="25.5" customWidth="1"/>
    <col min="5422" max="5422" width="19" customWidth="1"/>
    <col min="5634" max="5634" width="20.25" customWidth="1"/>
    <col min="5635" max="5635" width="20.625" customWidth="1"/>
    <col min="5638" max="5638" width="29.625" customWidth="1"/>
    <col min="5639" max="5639" width="9.5" customWidth="1"/>
    <col min="5642" max="5642" width="33.625" customWidth="1"/>
    <col min="5643" max="5643" width="11.125" customWidth="1"/>
    <col min="5646" max="5646" width="27.25" customWidth="1"/>
    <col min="5650" max="5650" width="24" customWidth="1"/>
    <col min="5654" max="5654" width="29.125" customWidth="1"/>
    <col min="5655" max="5655" width="21.25" customWidth="1"/>
    <col min="5658" max="5658" width="25.875" customWidth="1"/>
    <col min="5662" max="5662" width="24.375" customWidth="1"/>
    <col min="5666" max="5666" width="26.75" customWidth="1"/>
    <col min="5667" max="5667" width="11.125" customWidth="1"/>
    <col min="5670" max="5670" width="26.625" customWidth="1"/>
    <col min="5674" max="5674" width="25.5" customWidth="1"/>
    <col min="5678" max="5678" width="19" customWidth="1"/>
    <col min="5890" max="5890" width="20.25" customWidth="1"/>
    <col min="5891" max="5891" width="20.625" customWidth="1"/>
    <col min="5894" max="5894" width="29.625" customWidth="1"/>
    <col min="5895" max="5895" width="9.5" customWidth="1"/>
    <col min="5898" max="5898" width="33.625" customWidth="1"/>
    <col min="5899" max="5899" width="11.125" customWidth="1"/>
    <col min="5902" max="5902" width="27.25" customWidth="1"/>
    <col min="5906" max="5906" width="24" customWidth="1"/>
    <col min="5910" max="5910" width="29.125" customWidth="1"/>
    <col min="5911" max="5911" width="21.25" customWidth="1"/>
    <col min="5914" max="5914" width="25.875" customWidth="1"/>
    <col min="5918" max="5918" width="24.375" customWidth="1"/>
    <col min="5922" max="5922" width="26.75" customWidth="1"/>
    <col min="5923" max="5923" width="11.125" customWidth="1"/>
    <col min="5926" max="5926" width="26.625" customWidth="1"/>
    <col min="5930" max="5930" width="25.5" customWidth="1"/>
    <col min="5934" max="5934" width="19" customWidth="1"/>
    <col min="6146" max="6146" width="20.25" customWidth="1"/>
    <col min="6147" max="6147" width="20.625" customWidth="1"/>
    <col min="6150" max="6150" width="29.625" customWidth="1"/>
    <col min="6151" max="6151" width="9.5" customWidth="1"/>
    <col min="6154" max="6154" width="33.625" customWidth="1"/>
    <col min="6155" max="6155" width="11.125" customWidth="1"/>
    <col min="6158" max="6158" width="27.25" customWidth="1"/>
    <col min="6162" max="6162" width="24" customWidth="1"/>
    <col min="6166" max="6166" width="29.125" customWidth="1"/>
    <col min="6167" max="6167" width="21.25" customWidth="1"/>
    <col min="6170" max="6170" width="25.875" customWidth="1"/>
    <col min="6174" max="6174" width="24.375" customWidth="1"/>
    <col min="6178" max="6178" width="26.75" customWidth="1"/>
    <col min="6179" max="6179" width="11.125" customWidth="1"/>
    <col min="6182" max="6182" width="26.625" customWidth="1"/>
    <col min="6186" max="6186" width="25.5" customWidth="1"/>
    <col min="6190" max="6190" width="19" customWidth="1"/>
    <col min="6402" max="6402" width="20.25" customWidth="1"/>
    <col min="6403" max="6403" width="20.625" customWidth="1"/>
    <col min="6406" max="6406" width="29.625" customWidth="1"/>
    <col min="6407" max="6407" width="9.5" customWidth="1"/>
    <col min="6410" max="6410" width="33.625" customWidth="1"/>
    <col min="6411" max="6411" width="11.125" customWidth="1"/>
    <col min="6414" max="6414" width="27.25" customWidth="1"/>
    <col min="6418" max="6418" width="24" customWidth="1"/>
    <col min="6422" max="6422" width="29.125" customWidth="1"/>
    <col min="6423" max="6423" width="21.25" customWidth="1"/>
    <col min="6426" max="6426" width="25.875" customWidth="1"/>
    <col min="6430" max="6430" width="24.375" customWidth="1"/>
    <col min="6434" max="6434" width="26.75" customWidth="1"/>
    <col min="6435" max="6435" width="11.125" customWidth="1"/>
    <col min="6438" max="6438" width="26.625" customWidth="1"/>
    <col min="6442" max="6442" width="25.5" customWidth="1"/>
    <col min="6446" max="6446" width="19" customWidth="1"/>
    <col min="6658" max="6658" width="20.25" customWidth="1"/>
    <col min="6659" max="6659" width="20.625" customWidth="1"/>
    <col min="6662" max="6662" width="29.625" customWidth="1"/>
    <col min="6663" max="6663" width="9.5" customWidth="1"/>
    <col min="6666" max="6666" width="33.625" customWidth="1"/>
    <col min="6667" max="6667" width="11.125" customWidth="1"/>
    <col min="6670" max="6670" width="27.25" customWidth="1"/>
    <col min="6674" max="6674" width="24" customWidth="1"/>
    <col min="6678" max="6678" width="29.125" customWidth="1"/>
    <col min="6679" max="6679" width="21.25" customWidth="1"/>
    <col min="6682" max="6682" width="25.875" customWidth="1"/>
    <col min="6686" max="6686" width="24.375" customWidth="1"/>
    <col min="6690" max="6690" width="26.75" customWidth="1"/>
    <col min="6691" max="6691" width="11.125" customWidth="1"/>
    <col min="6694" max="6694" width="26.625" customWidth="1"/>
    <col min="6698" max="6698" width="25.5" customWidth="1"/>
    <col min="6702" max="6702" width="19" customWidth="1"/>
    <col min="6914" max="6914" width="20.25" customWidth="1"/>
    <col min="6915" max="6915" width="20.625" customWidth="1"/>
    <col min="6918" max="6918" width="29.625" customWidth="1"/>
    <col min="6919" max="6919" width="9.5" customWidth="1"/>
    <col min="6922" max="6922" width="33.625" customWidth="1"/>
    <col min="6923" max="6923" width="11.125" customWidth="1"/>
    <col min="6926" max="6926" width="27.25" customWidth="1"/>
    <col min="6930" max="6930" width="24" customWidth="1"/>
    <col min="6934" max="6934" width="29.125" customWidth="1"/>
    <col min="6935" max="6935" width="21.25" customWidth="1"/>
    <col min="6938" max="6938" width="25.875" customWidth="1"/>
    <col min="6942" max="6942" width="24.375" customWidth="1"/>
    <col min="6946" max="6946" width="26.75" customWidth="1"/>
    <col min="6947" max="6947" width="11.125" customWidth="1"/>
    <col min="6950" max="6950" width="26.625" customWidth="1"/>
    <col min="6954" max="6954" width="25.5" customWidth="1"/>
    <col min="6958" max="6958" width="19" customWidth="1"/>
    <col min="7170" max="7170" width="20.25" customWidth="1"/>
    <col min="7171" max="7171" width="20.625" customWidth="1"/>
    <col min="7174" max="7174" width="29.625" customWidth="1"/>
    <col min="7175" max="7175" width="9.5" customWidth="1"/>
    <col min="7178" max="7178" width="33.625" customWidth="1"/>
    <col min="7179" max="7179" width="11.125" customWidth="1"/>
    <col min="7182" max="7182" width="27.25" customWidth="1"/>
    <col min="7186" max="7186" width="24" customWidth="1"/>
    <col min="7190" max="7190" width="29.125" customWidth="1"/>
    <col min="7191" max="7191" width="21.25" customWidth="1"/>
    <col min="7194" max="7194" width="25.875" customWidth="1"/>
    <col min="7198" max="7198" width="24.375" customWidth="1"/>
    <col min="7202" max="7202" width="26.75" customWidth="1"/>
    <col min="7203" max="7203" width="11.125" customWidth="1"/>
    <col min="7206" max="7206" width="26.625" customWidth="1"/>
    <col min="7210" max="7210" width="25.5" customWidth="1"/>
    <col min="7214" max="7214" width="19" customWidth="1"/>
    <col min="7426" max="7426" width="20.25" customWidth="1"/>
    <col min="7427" max="7427" width="20.625" customWidth="1"/>
    <col min="7430" max="7430" width="29.625" customWidth="1"/>
    <col min="7431" max="7431" width="9.5" customWidth="1"/>
    <col min="7434" max="7434" width="33.625" customWidth="1"/>
    <col min="7435" max="7435" width="11.125" customWidth="1"/>
    <col min="7438" max="7438" width="27.25" customWidth="1"/>
    <col min="7442" max="7442" width="24" customWidth="1"/>
    <col min="7446" max="7446" width="29.125" customWidth="1"/>
    <col min="7447" max="7447" width="21.25" customWidth="1"/>
    <col min="7450" max="7450" width="25.875" customWidth="1"/>
    <col min="7454" max="7454" width="24.375" customWidth="1"/>
    <col min="7458" max="7458" width="26.75" customWidth="1"/>
    <col min="7459" max="7459" width="11.125" customWidth="1"/>
    <col min="7462" max="7462" width="26.625" customWidth="1"/>
    <col min="7466" max="7466" width="25.5" customWidth="1"/>
    <col min="7470" max="7470" width="19" customWidth="1"/>
    <col min="7682" max="7682" width="20.25" customWidth="1"/>
    <col min="7683" max="7683" width="20.625" customWidth="1"/>
    <col min="7686" max="7686" width="29.625" customWidth="1"/>
    <col min="7687" max="7687" width="9.5" customWidth="1"/>
    <col min="7690" max="7690" width="33.625" customWidth="1"/>
    <col min="7691" max="7691" width="11.125" customWidth="1"/>
    <col min="7694" max="7694" width="27.25" customWidth="1"/>
    <col min="7698" max="7698" width="24" customWidth="1"/>
    <col min="7702" max="7702" width="29.125" customWidth="1"/>
    <col min="7703" max="7703" width="21.25" customWidth="1"/>
    <col min="7706" max="7706" width="25.875" customWidth="1"/>
    <col min="7710" max="7710" width="24.375" customWidth="1"/>
    <col min="7714" max="7714" width="26.75" customWidth="1"/>
    <col min="7715" max="7715" width="11.125" customWidth="1"/>
    <col min="7718" max="7718" width="26.625" customWidth="1"/>
    <col min="7722" max="7722" width="25.5" customWidth="1"/>
    <col min="7726" max="7726" width="19" customWidth="1"/>
    <col min="7938" max="7938" width="20.25" customWidth="1"/>
    <col min="7939" max="7939" width="20.625" customWidth="1"/>
    <col min="7942" max="7942" width="29.625" customWidth="1"/>
    <col min="7943" max="7943" width="9.5" customWidth="1"/>
    <col min="7946" max="7946" width="33.625" customWidth="1"/>
    <col min="7947" max="7947" width="11.125" customWidth="1"/>
    <col min="7950" max="7950" width="27.25" customWidth="1"/>
    <col min="7954" max="7954" width="24" customWidth="1"/>
    <col min="7958" max="7958" width="29.125" customWidth="1"/>
    <col min="7959" max="7959" width="21.25" customWidth="1"/>
    <col min="7962" max="7962" width="25.875" customWidth="1"/>
    <col min="7966" max="7966" width="24.375" customWidth="1"/>
    <col min="7970" max="7970" width="26.75" customWidth="1"/>
    <col min="7971" max="7971" width="11.125" customWidth="1"/>
    <col min="7974" max="7974" width="26.625" customWidth="1"/>
    <col min="7978" max="7978" width="25.5" customWidth="1"/>
    <col min="7982" max="7982" width="19" customWidth="1"/>
    <col min="8194" max="8194" width="20.25" customWidth="1"/>
    <col min="8195" max="8195" width="20.625" customWidth="1"/>
    <col min="8198" max="8198" width="29.625" customWidth="1"/>
    <col min="8199" max="8199" width="9.5" customWidth="1"/>
    <col min="8202" max="8202" width="33.625" customWidth="1"/>
    <col min="8203" max="8203" width="11.125" customWidth="1"/>
    <col min="8206" max="8206" width="27.25" customWidth="1"/>
    <col min="8210" max="8210" width="24" customWidth="1"/>
    <col min="8214" max="8214" width="29.125" customWidth="1"/>
    <col min="8215" max="8215" width="21.25" customWidth="1"/>
    <col min="8218" max="8218" width="25.875" customWidth="1"/>
    <col min="8222" max="8222" width="24.375" customWidth="1"/>
    <col min="8226" max="8226" width="26.75" customWidth="1"/>
    <col min="8227" max="8227" width="11.125" customWidth="1"/>
    <col min="8230" max="8230" width="26.625" customWidth="1"/>
    <col min="8234" max="8234" width="25.5" customWidth="1"/>
    <col min="8238" max="8238" width="19" customWidth="1"/>
    <col min="8450" max="8450" width="20.25" customWidth="1"/>
    <col min="8451" max="8451" width="20.625" customWidth="1"/>
    <col min="8454" max="8454" width="29.625" customWidth="1"/>
    <col min="8455" max="8455" width="9.5" customWidth="1"/>
    <col min="8458" max="8458" width="33.625" customWidth="1"/>
    <col min="8459" max="8459" width="11.125" customWidth="1"/>
    <col min="8462" max="8462" width="27.25" customWidth="1"/>
    <col min="8466" max="8466" width="24" customWidth="1"/>
    <col min="8470" max="8470" width="29.125" customWidth="1"/>
    <col min="8471" max="8471" width="21.25" customWidth="1"/>
    <col min="8474" max="8474" width="25.875" customWidth="1"/>
    <col min="8478" max="8478" width="24.375" customWidth="1"/>
    <col min="8482" max="8482" width="26.75" customWidth="1"/>
    <col min="8483" max="8483" width="11.125" customWidth="1"/>
    <col min="8486" max="8486" width="26.625" customWidth="1"/>
    <col min="8490" max="8490" width="25.5" customWidth="1"/>
    <col min="8494" max="8494" width="19" customWidth="1"/>
    <col min="8706" max="8706" width="20.25" customWidth="1"/>
    <col min="8707" max="8707" width="20.625" customWidth="1"/>
    <col min="8710" max="8710" width="29.625" customWidth="1"/>
    <col min="8711" max="8711" width="9.5" customWidth="1"/>
    <col min="8714" max="8714" width="33.625" customWidth="1"/>
    <col min="8715" max="8715" width="11.125" customWidth="1"/>
    <col min="8718" max="8718" width="27.25" customWidth="1"/>
    <col min="8722" max="8722" width="24" customWidth="1"/>
    <col min="8726" max="8726" width="29.125" customWidth="1"/>
    <col min="8727" max="8727" width="21.25" customWidth="1"/>
    <col min="8730" max="8730" width="25.875" customWidth="1"/>
    <col min="8734" max="8734" width="24.375" customWidth="1"/>
    <col min="8738" max="8738" width="26.75" customWidth="1"/>
    <col min="8739" max="8739" width="11.125" customWidth="1"/>
    <col min="8742" max="8742" width="26.625" customWidth="1"/>
    <col min="8746" max="8746" width="25.5" customWidth="1"/>
    <col min="8750" max="8750" width="19" customWidth="1"/>
    <col min="8962" max="8962" width="20.25" customWidth="1"/>
    <col min="8963" max="8963" width="20.625" customWidth="1"/>
    <col min="8966" max="8966" width="29.625" customWidth="1"/>
    <col min="8967" max="8967" width="9.5" customWidth="1"/>
    <col min="8970" max="8970" width="33.625" customWidth="1"/>
    <col min="8971" max="8971" width="11.125" customWidth="1"/>
    <col min="8974" max="8974" width="27.25" customWidth="1"/>
    <col min="8978" max="8978" width="24" customWidth="1"/>
    <col min="8982" max="8982" width="29.125" customWidth="1"/>
    <col min="8983" max="8983" width="21.25" customWidth="1"/>
    <col min="8986" max="8986" width="25.875" customWidth="1"/>
    <col min="8990" max="8990" width="24.375" customWidth="1"/>
    <col min="8994" max="8994" width="26.75" customWidth="1"/>
    <col min="8995" max="8995" width="11.125" customWidth="1"/>
    <col min="8998" max="8998" width="26.625" customWidth="1"/>
    <col min="9002" max="9002" width="25.5" customWidth="1"/>
    <col min="9006" max="9006" width="19" customWidth="1"/>
    <col min="9218" max="9218" width="20.25" customWidth="1"/>
    <col min="9219" max="9219" width="20.625" customWidth="1"/>
    <col min="9222" max="9222" width="29.625" customWidth="1"/>
    <col min="9223" max="9223" width="9.5" customWidth="1"/>
    <col min="9226" max="9226" width="33.625" customWidth="1"/>
    <col min="9227" max="9227" width="11.125" customWidth="1"/>
    <col min="9230" max="9230" width="27.25" customWidth="1"/>
    <col min="9234" max="9234" width="24" customWidth="1"/>
    <col min="9238" max="9238" width="29.125" customWidth="1"/>
    <col min="9239" max="9239" width="21.25" customWidth="1"/>
    <col min="9242" max="9242" width="25.875" customWidth="1"/>
    <col min="9246" max="9246" width="24.375" customWidth="1"/>
    <col min="9250" max="9250" width="26.75" customWidth="1"/>
    <col min="9251" max="9251" width="11.125" customWidth="1"/>
    <col min="9254" max="9254" width="26.625" customWidth="1"/>
    <col min="9258" max="9258" width="25.5" customWidth="1"/>
    <col min="9262" max="9262" width="19" customWidth="1"/>
    <col min="9474" max="9474" width="20.25" customWidth="1"/>
    <col min="9475" max="9475" width="20.625" customWidth="1"/>
    <col min="9478" max="9478" width="29.625" customWidth="1"/>
    <col min="9479" max="9479" width="9.5" customWidth="1"/>
    <col min="9482" max="9482" width="33.625" customWidth="1"/>
    <col min="9483" max="9483" width="11.125" customWidth="1"/>
    <col min="9486" max="9486" width="27.25" customWidth="1"/>
    <col min="9490" max="9490" width="24" customWidth="1"/>
    <col min="9494" max="9494" width="29.125" customWidth="1"/>
    <col min="9495" max="9495" width="21.25" customWidth="1"/>
    <col min="9498" max="9498" width="25.875" customWidth="1"/>
    <col min="9502" max="9502" width="24.375" customWidth="1"/>
    <col min="9506" max="9506" width="26.75" customWidth="1"/>
    <col min="9507" max="9507" width="11.125" customWidth="1"/>
    <col min="9510" max="9510" width="26.625" customWidth="1"/>
    <col min="9514" max="9514" width="25.5" customWidth="1"/>
    <col min="9518" max="9518" width="19" customWidth="1"/>
    <col min="9730" max="9730" width="20.25" customWidth="1"/>
    <col min="9731" max="9731" width="20.625" customWidth="1"/>
    <col min="9734" max="9734" width="29.625" customWidth="1"/>
    <col min="9735" max="9735" width="9.5" customWidth="1"/>
    <col min="9738" max="9738" width="33.625" customWidth="1"/>
    <col min="9739" max="9739" width="11.125" customWidth="1"/>
    <col min="9742" max="9742" width="27.25" customWidth="1"/>
    <col min="9746" max="9746" width="24" customWidth="1"/>
    <col min="9750" max="9750" width="29.125" customWidth="1"/>
    <col min="9751" max="9751" width="21.25" customWidth="1"/>
    <col min="9754" max="9754" width="25.875" customWidth="1"/>
    <col min="9758" max="9758" width="24.375" customWidth="1"/>
    <col min="9762" max="9762" width="26.75" customWidth="1"/>
    <col min="9763" max="9763" width="11.125" customWidth="1"/>
    <col min="9766" max="9766" width="26.625" customWidth="1"/>
    <col min="9770" max="9770" width="25.5" customWidth="1"/>
    <col min="9774" max="9774" width="19" customWidth="1"/>
    <col min="9986" max="9986" width="20.25" customWidth="1"/>
    <col min="9987" max="9987" width="20.625" customWidth="1"/>
    <col min="9990" max="9990" width="29.625" customWidth="1"/>
    <col min="9991" max="9991" width="9.5" customWidth="1"/>
    <col min="9994" max="9994" width="33.625" customWidth="1"/>
    <col min="9995" max="9995" width="11.125" customWidth="1"/>
    <col min="9998" max="9998" width="27.25" customWidth="1"/>
    <col min="10002" max="10002" width="24" customWidth="1"/>
    <col min="10006" max="10006" width="29.125" customWidth="1"/>
    <col min="10007" max="10007" width="21.25" customWidth="1"/>
    <col min="10010" max="10010" width="25.875" customWidth="1"/>
    <col min="10014" max="10014" width="24.375" customWidth="1"/>
    <col min="10018" max="10018" width="26.75" customWidth="1"/>
    <col min="10019" max="10019" width="11.125" customWidth="1"/>
    <col min="10022" max="10022" width="26.625" customWidth="1"/>
    <col min="10026" max="10026" width="25.5" customWidth="1"/>
    <col min="10030" max="10030" width="19" customWidth="1"/>
    <col min="10242" max="10242" width="20.25" customWidth="1"/>
    <col min="10243" max="10243" width="20.625" customWidth="1"/>
    <col min="10246" max="10246" width="29.625" customWidth="1"/>
    <col min="10247" max="10247" width="9.5" customWidth="1"/>
    <col min="10250" max="10250" width="33.625" customWidth="1"/>
    <col min="10251" max="10251" width="11.125" customWidth="1"/>
    <col min="10254" max="10254" width="27.25" customWidth="1"/>
    <col min="10258" max="10258" width="24" customWidth="1"/>
    <col min="10262" max="10262" width="29.125" customWidth="1"/>
    <col min="10263" max="10263" width="21.25" customWidth="1"/>
    <col min="10266" max="10266" width="25.875" customWidth="1"/>
    <col min="10270" max="10270" width="24.375" customWidth="1"/>
    <col min="10274" max="10274" width="26.75" customWidth="1"/>
    <col min="10275" max="10275" width="11.125" customWidth="1"/>
    <col min="10278" max="10278" width="26.625" customWidth="1"/>
    <col min="10282" max="10282" width="25.5" customWidth="1"/>
    <col min="10286" max="10286" width="19" customWidth="1"/>
    <col min="10498" max="10498" width="20.25" customWidth="1"/>
    <col min="10499" max="10499" width="20.625" customWidth="1"/>
    <col min="10502" max="10502" width="29.625" customWidth="1"/>
    <col min="10503" max="10503" width="9.5" customWidth="1"/>
    <col min="10506" max="10506" width="33.625" customWidth="1"/>
    <col min="10507" max="10507" width="11.125" customWidth="1"/>
    <col min="10510" max="10510" width="27.25" customWidth="1"/>
    <col min="10514" max="10514" width="24" customWidth="1"/>
    <col min="10518" max="10518" width="29.125" customWidth="1"/>
    <col min="10519" max="10519" width="21.25" customWidth="1"/>
    <col min="10522" max="10522" width="25.875" customWidth="1"/>
    <col min="10526" max="10526" width="24.375" customWidth="1"/>
    <col min="10530" max="10530" width="26.75" customWidth="1"/>
    <col min="10531" max="10531" width="11.125" customWidth="1"/>
    <col min="10534" max="10534" width="26.625" customWidth="1"/>
    <col min="10538" max="10538" width="25.5" customWidth="1"/>
    <col min="10542" max="10542" width="19" customWidth="1"/>
    <col min="10754" max="10754" width="20.25" customWidth="1"/>
    <col min="10755" max="10755" width="20.625" customWidth="1"/>
    <col min="10758" max="10758" width="29.625" customWidth="1"/>
    <col min="10759" max="10759" width="9.5" customWidth="1"/>
    <col min="10762" max="10762" width="33.625" customWidth="1"/>
    <col min="10763" max="10763" width="11.125" customWidth="1"/>
    <col min="10766" max="10766" width="27.25" customWidth="1"/>
    <col min="10770" max="10770" width="24" customWidth="1"/>
    <col min="10774" max="10774" width="29.125" customWidth="1"/>
    <col min="10775" max="10775" width="21.25" customWidth="1"/>
    <col min="10778" max="10778" width="25.875" customWidth="1"/>
    <col min="10782" max="10782" width="24.375" customWidth="1"/>
    <col min="10786" max="10786" width="26.75" customWidth="1"/>
    <col min="10787" max="10787" width="11.125" customWidth="1"/>
    <col min="10790" max="10790" width="26.625" customWidth="1"/>
    <col min="10794" max="10794" width="25.5" customWidth="1"/>
    <col min="10798" max="10798" width="19" customWidth="1"/>
    <col min="11010" max="11010" width="20.25" customWidth="1"/>
    <col min="11011" max="11011" width="20.625" customWidth="1"/>
    <col min="11014" max="11014" width="29.625" customWidth="1"/>
    <col min="11015" max="11015" width="9.5" customWidth="1"/>
    <col min="11018" max="11018" width="33.625" customWidth="1"/>
    <col min="11019" max="11019" width="11.125" customWidth="1"/>
    <col min="11022" max="11022" width="27.25" customWidth="1"/>
    <col min="11026" max="11026" width="24" customWidth="1"/>
    <col min="11030" max="11030" width="29.125" customWidth="1"/>
    <col min="11031" max="11031" width="21.25" customWidth="1"/>
    <col min="11034" max="11034" width="25.875" customWidth="1"/>
    <col min="11038" max="11038" width="24.375" customWidth="1"/>
    <col min="11042" max="11042" width="26.75" customWidth="1"/>
    <col min="11043" max="11043" width="11.125" customWidth="1"/>
    <col min="11046" max="11046" width="26.625" customWidth="1"/>
    <col min="11050" max="11050" width="25.5" customWidth="1"/>
    <col min="11054" max="11054" width="19" customWidth="1"/>
    <col min="11266" max="11266" width="20.25" customWidth="1"/>
    <col min="11267" max="11267" width="20.625" customWidth="1"/>
    <col min="11270" max="11270" width="29.625" customWidth="1"/>
    <col min="11271" max="11271" width="9.5" customWidth="1"/>
    <col min="11274" max="11274" width="33.625" customWidth="1"/>
    <col min="11275" max="11275" width="11.125" customWidth="1"/>
    <col min="11278" max="11278" width="27.25" customWidth="1"/>
    <col min="11282" max="11282" width="24" customWidth="1"/>
    <col min="11286" max="11286" width="29.125" customWidth="1"/>
    <col min="11287" max="11287" width="21.25" customWidth="1"/>
    <col min="11290" max="11290" width="25.875" customWidth="1"/>
    <col min="11294" max="11294" width="24.375" customWidth="1"/>
    <col min="11298" max="11298" width="26.75" customWidth="1"/>
    <col min="11299" max="11299" width="11.125" customWidth="1"/>
    <col min="11302" max="11302" width="26.625" customWidth="1"/>
    <col min="11306" max="11306" width="25.5" customWidth="1"/>
    <col min="11310" max="11310" width="19" customWidth="1"/>
    <col min="11522" max="11522" width="20.25" customWidth="1"/>
    <col min="11523" max="11523" width="20.625" customWidth="1"/>
    <col min="11526" max="11526" width="29.625" customWidth="1"/>
    <col min="11527" max="11527" width="9.5" customWidth="1"/>
    <col min="11530" max="11530" width="33.625" customWidth="1"/>
    <col min="11531" max="11531" width="11.125" customWidth="1"/>
    <col min="11534" max="11534" width="27.25" customWidth="1"/>
    <col min="11538" max="11538" width="24" customWidth="1"/>
    <col min="11542" max="11542" width="29.125" customWidth="1"/>
    <col min="11543" max="11543" width="21.25" customWidth="1"/>
    <col min="11546" max="11546" width="25.875" customWidth="1"/>
    <col min="11550" max="11550" width="24.375" customWidth="1"/>
    <col min="11554" max="11554" width="26.75" customWidth="1"/>
    <col min="11555" max="11555" width="11.125" customWidth="1"/>
    <col min="11558" max="11558" width="26.625" customWidth="1"/>
    <col min="11562" max="11562" width="25.5" customWidth="1"/>
    <col min="11566" max="11566" width="19" customWidth="1"/>
    <col min="11778" max="11778" width="20.25" customWidth="1"/>
    <col min="11779" max="11779" width="20.625" customWidth="1"/>
    <col min="11782" max="11782" width="29.625" customWidth="1"/>
    <col min="11783" max="11783" width="9.5" customWidth="1"/>
    <col min="11786" max="11786" width="33.625" customWidth="1"/>
    <col min="11787" max="11787" width="11.125" customWidth="1"/>
    <col min="11790" max="11790" width="27.25" customWidth="1"/>
    <col min="11794" max="11794" width="24" customWidth="1"/>
    <col min="11798" max="11798" width="29.125" customWidth="1"/>
    <col min="11799" max="11799" width="21.25" customWidth="1"/>
    <col min="11802" max="11802" width="25.875" customWidth="1"/>
    <col min="11806" max="11806" width="24.375" customWidth="1"/>
    <col min="11810" max="11810" width="26.75" customWidth="1"/>
    <col min="11811" max="11811" width="11.125" customWidth="1"/>
    <col min="11814" max="11814" width="26.625" customWidth="1"/>
    <col min="11818" max="11818" width="25.5" customWidth="1"/>
    <col min="11822" max="11822" width="19" customWidth="1"/>
    <col min="12034" max="12034" width="20.25" customWidth="1"/>
    <col min="12035" max="12035" width="20.625" customWidth="1"/>
    <col min="12038" max="12038" width="29.625" customWidth="1"/>
    <col min="12039" max="12039" width="9.5" customWidth="1"/>
    <col min="12042" max="12042" width="33.625" customWidth="1"/>
    <col min="12043" max="12043" width="11.125" customWidth="1"/>
    <col min="12046" max="12046" width="27.25" customWidth="1"/>
    <col min="12050" max="12050" width="24" customWidth="1"/>
    <col min="12054" max="12054" width="29.125" customWidth="1"/>
    <col min="12055" max="12055" width="21.25" customWidth="1"/>
    <col min="12058" max="12058" width="25.875" customWidth="1"/>
    <col min="12062" max="12062" width="24.375" customWidth="1"/>
    <col min="12066" max="12066" width="26.75" customWidth="1"/>
    <col min="12067" max="12067" width="11.125" customWidth="1"/>
    <col min="12070" max="12070" width="26.625" customWidth="1"/>
    <col min="12074" max="12074" width="25.5" customWidth="1"/>
    <col min="12078" max="12078" width="19" customWidth="1"/>
    <col min="12290" max="12290" width="20.25" customWidth="1"/>
    <col min="12291" max="12291" width="20.625" customWidth="1"/>
    <col min="12294" max="12294" width="29.625" customWidth="1"/>
    <col min="12295" max="12295" width="9.5" customWidth="1"/>
    <col min="12298" max="12298" width="33.625" customWidth="1"/>
    <col min="12299" max="12299" width="11.125" customWidth="1"/>
    <col min="12302" max="12302" width="27.25" customWidth="1"/>
    <col min="12306" max="12306" width="24" customWidth="1"/>
    <col min="12310" max="12310" width="29.125" customWidth="1"/>
    <col min="12311" max="12311" width="21.25" customWidth="1"/>
    <col min="12314" max="12314" width="25.875" customWidth="1"/>
    <col min="12318" max="12318" width="24.375" customWidth="1"/>
    <col min="12322" max="12322" width="26.75" customWidth="1"/>
    <col min="12323" max="12323" width="11.125" customWidth="1"/>
    <col min="12326" max="12326" width="26.625" customWidth="1"/>
    <col min="12330" max="12330" width="25.5" customWidth="1"/>
    <col min="12334" max="12334" width="19" customWidth="1"/>
    <col min="12546" max="12546" width="20.25" customWidth="1"/>
    <col min="12547" max="12547" width="20.625" customWidth="1"/>
    <col min="12550" max="12550" width="29.625" customWidth="1"/>
    <col min="12551" max="12551" width="9.5" customWidth="1"/>
    <col min="12554" max="12554" width="33.625" customWidth="1"/>
    <col min="12555" max="12555" width="11.125" customWidth="1"/>
    <col min="12558" max="12558" width="27.25" customWidth="1"/>
    <col min="12562" max="12562" width="24" customWidth="1"/>
    <col min="12566" max="12566" width="29.125" customWidth="1"/>
    <col min="12567" max="12567" width="21.25" customWidth="1"/>
    <col min="12570" max="12570" width="25.875" customWidth="1"/>
    <col min="12574" max="12574" width="24.375" customWidth="1"/>
    <col min="12578" max="12578" width="26.75" customWidth="1"/>
    <col min="12579" max="12579" width="11.125" customWidth="1"/>
    <col min="12582" max="12582" width="26.625" customWidth="1"/>
    <col min="12586" max="12586" width="25.5" customWidth="1"/>
    <col min="12590" max="12590" width="19" customWidth="1"/>
    <col min="12802" max="12802" width="20.25" customWidth="1"/>
    <col min="12803" max="12803" width="20.625" customWidth="1"/>
    <col min="12806" max="12806" width="29.625" customWidth="1"/>
    <col min="12807" max="12807" width="9.5" customWidth="1"/>
    <col min="12810" max="12810" width="33.625" customWidth="1"/>
    <col min="12811" max="12811" width="11.125" customWidth="1"/>
    <col min="12814" max="12814" width="27.25" customWidth="1"/>
    <col min="12818" max="12818" width="24" customWidth="1"/>
    <col min="12822" max="12822" width="29.125" customWidth="1"/>
    <col min="12823" max="12823" width="21.25" customWidth="1"/>
    <col min="12826" max="12826" width="25.875" customWidth="1"/>
    <col min="12830" max="12830" width="24.375" customWidth="1"/>
    <col min="12834" max="12834" width="26.75" customWidth="1"/>
    <col min="12835" max="12835" width="11.125" customWidth="1"/>
    <col min="12838" max="12838" width="26.625" customWidth="1"/>
    <col min="12842" max="12842" width="25.5" customWidth="1"/>
    <col min="12846" max="12846" width="19" customWidth="1"/>
    <col min="13058" max="13058" width="20.25" customWidth="1"/>
    <col min="13059" max="13059" width="20.625" customWidth="1"/>
    <col min="13062" max="13062" width="29.625" customWidth="1"/>
    <col min="13063" max="13063" width="9.5" customWidth="1"/>
    <col min="13066" max="13066" width="33.625" customWidth="1"/>
    <col min="13067" max="13067" width="11.125" customWidth="1"/>
    <col min="13070" max="13070" width="27.25" customWidth="1"/>
    <col min="13074" max="13074" width="24" customWidth="1"/>
    <col min="13078" max="13078" width="29.125" customWidth="1"/>
    <col min="13079" max="13079" width="21.25" customWidth="1"/>
    <col min="13082" max="13082" width="25.875" customWidth="1"/>
    <col min="13086" max="13086" width="24.375" customWidth="1"/>
    <col min="13090" max="13090" width="26.75" customWidth="1"/>
    <col min="13091" max="13091" width="11.125" customWidth="1"/>
    <col min="13094" max="13094" width="26.625" customWidth="1"/>
    <col min="13098" max="13098" width="25.5" customWidth="1"/>
    <col min="13102" max="13102" width="19" customWidth="1"/>
    <col min="13314" max="13314" width="20.25" customWidth="1"/>
    <col min="13315" max="13315" width="20.625" customWidth="1"/>
    <col min="13318" max="13318" width="29.625" customWidth="1"/>
    <col min="13319" max="13319" width="9.5" customWidth="1"/>
    <col min="13322" max="13322" width="33.625" customWidth="1"/>
    <col min="13323" max="13323" width="11.125" customWidth="1"/>
    <col min="13326" max="13326" width="27.25" customWidth="1"/>
    <col min="13330" max="13330" width="24" customWidth="1"/>
    <col min="13334" max="13334" width="29.125" customWidth="1"/>
    <col min="13335" max="13335" width="21.25" customWidth="1"/>
    <col min="13338" max="13338" width="25.875" customWidth="1"/>
    <col min="13342" max="13342" width="24.375" customWidth="1"/>
    <col min="13346" max="13346" width="26.75" customWidth="1"/>
    <col min="13347" max="13347" width="11.125" customWidth="1"/>
    <col min="13350" max="13350" width="26.625" customWidth="1"/>
    <col min="13354" max="13354" width="25.5" customWidth="1"/>
    <col min="13358" max="13358" width="19" customWidth="1"/>
    <col min="13570" max="13570" width="20.25" customWidth="1"/>
    <col min="13571" max="13571" width="20.625" customWidth="1"/>
    <col min="13574" max="13574" width="29.625" customWidth="1"/>
    <col min="13575" max="13575" width="9.5" customWidth="1"/>
    <col min="13578" max="13578" width="33.625" customWidth="1"/>
    <col min="13579" max="13579" width="11.125" customWidth="1"/>
    <col min="13582" max="13582" width="27.25" customWidth="1"/>
    <col min="13586" max="13586" width="24" customWidth="1"/>
    <col min="13590" max="13590" width="29.125" customWidth="1"/>
    <col min="13591" max="13591" width="21.25" customWidth="1"/>
    <col min="13594" max="13594" width="25.875" customWidth="1"/>
    <col min="13598" max="13598" width="24.375" customWidth="1"/>
    <col min="13602" max="13602" width="26.75" customWidth="1"/>
    <col min="13603" max="13603" width="11.125" customWidth="1"/>
    <col min="13606" max="13606" width="26.625" customWidth="1"/>
    <col min="13610" max="13610" width="25.5" customWidth="1"/>
    <col min="13614" max="13614" width="19" customWidth="1"/>
    <col min="13826" max="13826" width="20.25" customWidth="1"/>
    <col min="13827" max="13827" width="20.625" customWidth="1"/>
    <col min="13830" max="13830" width="29.625" customWidth="1"/>
    <col min="13831" max="13831" width="9.5" customWidth="1"/>
    <col min="13834" max="13834" width="33.625" customWidth="1"/>
    <col min="13835" max="13835" width="11.125" customWidth="1"/>
    <col min="13838" max="13838" width="27.25" customWidth="1"/>
    <col min="13842" max="13842" width="24" customWidth="1"/>
    <col min="13846" max="13846" width="29.125" customWidth="1"/>
    <col min="13847" max="13847" width="21.25" customWidth="1"/>
    <col min="13850" max="13850" width="25.875" customWidth="1"/>
    <col min="13854" max="13854" width="24.375" customWidth="1"/>
    <col min="13858" max="13858" width="26.75" customWidth="1"/>
    <col min="13859" max="13859" width="11.125" customWidth="1"/>
    <col min="13862" max="13862" width="26.625" customWidth="1"/>
    <col min="13866" max="13866" width="25.5" customWidth="1"/>
    <col min="13870" max="13870" width="19" customWidth="1"/>
    <col min="14082" max="14082" width="20.25" customWidth="1"/>
    <col min="14083" max="14083" width="20.625" customWidth="1"/>
    <col min="14086" max="14086" width="29.625" customWidth="1"/>
    <col min="14087" max="14087" width="9.5" customWidth="1"/>
    <col min="14090" max="14090" width="33.625" customWidth="1"/>
    <col min="14091" max="14091" width="11.125" customWidth="1"/>
    <col min="14094" max="14094" width="27.25" customWidth="1"/>
    <col min="14098" max="14098" width="24" customWidth="1"/>
    <col min="14102" max="14102" width="29.125" customWidth="1"/>
    <col min="14103" max="14103" width="21.25" customWidth="1"/>
    <col min="14106" max="14106" width="25.875" customWidth="1"/>
    <col min="14110" max="14110" width="24.375" customWidth="1"/>
    <col min="14114" max="14114" width="26.75" customWidth="1"/>
    <col min="14115" max="14115" width="11.125" customWidth="1"/>
    <col min="14118" max="14118" width="26.625" customWidth="1"/>
    <col min="14122" max="14122" width="25.5" customWidth="1"/>
    <col min="14126" max="14126" width="19" customWidth="1"/>
    <col min="14338" max="14338" width="20.25" customWidth="1"/>
    <col min="14339" max="14339" width="20.625" customWidth="1"/>
    <col min="14342" max="14342" width="29.625" customWidth="1"/>
    <col min="14343" max="14343" width="9.5" customWidth="1"/>
    <col min="14346" max="14346" width="33.625" customWidth="1"/>
    <col min="14347" max="14347" width="11.125" customWidth="1"/>
    <col min="14350" max="14350" width="27.25" customWidth="1"/>
    <col min="14354" max="14354" width="24" customWidth="1"/>
    <col min="14358" max="14358" width="29.125" customWidth="1"/>
    <col min="14359" max="14359" width="21.25" customWidth="1"/>
    <col min="14362" max="14362" width="25.875" customWidth="1"/>
    <col min="14366" max="14366" width="24.375" customWidth="1"/>
    <col min="14370" max="14370" width="26.75" customWidth="1"/>
    <col min="14371" max="14371" width="11.125" customWidth="1"/>
    <col min="14374" max="14374" width="26.625" customWidth="1"/>
    <col min="14378" max="14378" width="25.5" customWidth="1"/>
    <col min="14382" max="14382" width="19" customWidth="1"/>
    <col min="14594" max="14594" width="20.25" customWidth="1"/>
    <col min="14595" max="14595" width="20.625" customWidth="1"/>
    <col min="14598" max="14598" width="29.625" customWidth="1"/>
    <col min="14599" max="14599" width="9.5" customWidth="1"/>
    <col min="14602" max="14602" width="33.625" customWidth="1"/>
    <col min="14603" max="14603" width="11.125" customWidth="1"/>
    <col min="14606" max="14606" width="27.25" customWidth="1"/>
    <col min="14610" max="14610" width="24" customWidth="1"/>
    <col min="14614" max="14614" width="29.125" customWidth="1"/>
    <col min="14615" max="14615" width="21.25" customWidth="1"/>
    <col min="14618" max="14618" width="25.875" customWidth="1"/>
    <col min="14622" max="14622" width="24.375" customWidth="1"/>
    <col min="14626" max="14626" width="26.75" customWidth="1"/>
    <col min="14627" max="14627" width="11.125" customWidth="1"/>
    <col min="14630" max="14630" width="26.625" customWidth="1"/>
    <col min="14634" max="14634" width="25.5" customWidth="1"/>
    <col min="14638" max="14638" width="19" customWidth="1"/>
    <col min="14850" max="14850" width="20.25" customWidth="1"/>
    <col min="14851" max="14851" width="20.625" customWidth="1"/>
    <col min="14854" max="14854" width="29.625" customWidth="1"/>
    <col min="14855" max="14855" width="9.5" customWidth="1"/>
    <col min="14858" max="14858" width="33.625" customWidth="1"/>
    <col min="14859" max="14859" width="11.125" customWidth="1"/>
    <col min="14862" max="14862" width="27.25" customWidth="1"/>
    <col min="14866" max="14866" width="24" customWidth="1"/>
    <col min="14870" max="14870" width="29.125" customWidth="1"/>
    <col min="14871" max="14871" width="21.25" customWidth="1"/>
    <col min="14874" max="14874" width="25.875" customWidth="1"/>
    <col min="14878" max="14878" width="24.375" customWidth="1"/>
    <col min="14882" max="14882" width="26.75" customWidth="1"/>
    <col min="14883" max="14883" width="11.125" customWidth="1"/>
    <col min="14886" max="14886" width="26.625" customWidth="1"/>
    <col min="14890" max="14890" width="25.5" customWidth="1"/>
    <col min="14894" max="14894" width="19" customWidth="1"/>
    <col min="15106" max="15106" width="20.25" customWidth="1"/>
    <col min="15107" max="15107" width="20.625" customWidth="1"/>
    <col min="15110" max="15110" width="29.625" customWidth="1"/>
    <col min="15111" max="15111" width="9.5" customWidth="1"/>
    <col min="15114" max="15114" width="33.625" customWidth="1"/>
    <col min="15115" max="15115" width="11.125" customWidth="1"/>
    <col min="15118" max="15118" width="27.25" customWidth="1"/>
    <col min="15122" max="15122" width="24" customWidth="1"/>
    <col min="15126" max="15126" width="29.125" customWidth="1"/>
    <col min="15127" max="15127" width="21.25" customWidth="1"/>
    <col min="15130" max="15130" width="25.875" customWidth="1"/>
    <col min="15134" max="15134" width="24.375" customWidth="1"/>
    <col min="15138" max="15138" width="26.75" customWidth="1"/>
    <col min="15139" max="15139" width="11.125" customWidth="1"/>
    <col min="15142" max="15142" width="26.625" customWidth="1"/>
    <col min="15146" max="15146" width="25.5" customWidth="1"/>
    <col min="15150" max="15150" width="19" customWidth="1"/>
    <col min="15362" max="15362" width="20.25" customWidth="1"/>
    <col min="15363" max="15363" width="20.625" customWidth="1"/>
    <col min="15366" max="15366" width="29.625" customWidth="1"/>
    <col min="15367" max="15367" width="9.5" customWidth="1"/>
    <col min="15370" max="15370" width="33.625" customWidth="1"/>
    <col min="15371" max="15371" width="11.125" customWidth="1"/>
    <col min="15374" max="15374" width="27.25" customWidth="1"/>
    <col min="15378" max="15378" width="24" customWidth="1"/>
    <col min="15382" max="15382" width="29.125" customWidth="1"/>
    <col min="15383" max="15383" width="21.25" customWidth="1"/>
    <col min="15386" max="15386" width="25.875" customWidth="1"/>
    <col min="15390" max="15390" width="24.375" customWidth="1"/>
    <col min="15394" max="15394" width="26.75" customWidth="1"/>
    <col min="15395" max="15395" width="11.125" customWidth="1"/>
    <col min="15398" max="15398" width="26.625" customWidth="1"/>
    <col min="15402" max="15402" width="25.5" customWidth="1"/>
    <col min="15406" max="15406" width="19" customWidth="1"/>
    <col min="15618" max="15618" width="20.25" customWidth="1"/>
    <col min="15619" max="15619" width="20.625" customWidth="1"/>
    <col min="15622" max="15622" width="29.625" customWidth="1"/>
    <col min="15623" max="15623" width="9.5" customWidth="1"/>
    <col min="15626" max="15626" width="33.625" customWidth="1"/>
    <col min="15627" max="15627" width="11.125" customWidth="1"/>
    <col min="15630" max="15630" width="27.25" customWidth="1"/>
    <col min="15634" max="15634" width="24" customWidth="1"/>
    <col min="15638" max="15638" width="29.125" customWidth="1"/>
    <col min="15639" max="15639" width="21.25" customWidth="1"/>
    <col min="15642" max="15642" width="25.875" customWidth="1"/>
    <col min="15646" max="15646" width="24.375" customWidth="1"/>
    <col min="15650" max="15650" width="26.75" customWidth="1"/>
    <col min="15651" max="15651" width="11.125" customWidth="1"/>
    <col min="15654" max="15654" width="26.625" customWidth="1"/>
    <col min="15658" max="15658" width="25.5" customWidth="1"/>
    <col min="15662" max="15662" width="19" customWidth="1"/>
    <col min="15874" max="15874" width="20.25" customWidth="1"/>
    <col min="15875" max="15875" width="20.625" customWidth="1"/>
    <col min="15878" max="15878" width="29.625" customWidth="1"/>
    <col min="15879" max="15879" width="9.5" customWidth="1"/>
    <col min="15882" max="15882" width="33.625" customWidth="1"/>
    <col min="15883" max="15883" width="11.125" customWidth="1"/>
    <col min="15886" max="15886" width="27.25" customWidth="1"/>
    <col min="15890" max="15890" width="24" customWidth="1"/>
    <col min="15894" max="15894" width="29.125" customWidth="1"/>
    <col min="15895" max="15895" width="21.25" customWidth="1"/>
    <col min="15898" max="15898" width="25.875" customWidth="1"/>
    <col min="15902" max="15902" width="24.375" customWidth="1"/>
    <col min="15906" max="15906" width="26.75" customWidth="1"/>
    <col min="15907" max="15907" width="11.125" customWidth="1"/>
    <col min="15910" max="15910" width="26.625" customWidth="1"/>
    <col min="15914" max="15914" width="25.5" customWidth="1"/>
    <col min="15918" max="15918" width="19" customWidth="1"/>
    <col min="16130" max="16130" width="20.25" customWidth="1"/>
    <col min="16131" max="16131" width="20.625" customWidth="1"/>
    <col min="16134" max="16134" width="29.625" customWidth="1"/>
    <col min="16135" max="16135" width="9.5" customWidth="1"/>
    <col min="16138" max="16138" width="33.625" customWidth="1"/>
    <col min="16139" max="16139" width="11.125" customWidth="1"/>
    <col min="16142" max="16142" width="27.25" customWidth="1"/>
    <col min="16146" max="16146" width="24" customWidth="1"/>
    <col min="16150" max="16150" width="29.125" customWidth="1"/>
    <col min="16151" max="16151" width="21.25" customWidth="1"/>
    <col min="16154" max="16154" width="25.875" customWidth="1"/>
    <col min="16158" max="16158" width="24.375" customWidth="1"/>
    <col min="16162" max="16162" width="26.75" customWidth="1"/>
    <col min="16163" max="16163" width="11.125" customWidth="1"/>
    <col min="16166" max="16166" width="26.625" customWidth="1"/>
    <col min="16170" max="16170" width="25.5" customWidth="1"/>
    <col min="16174" max="16174" width="19" customWidth="1"/>
  </cols>
  <sheetData>
    <row r="3" spans="2:48">
      <c r="E3" s="66"/>
    </row>
    <row r="4" spans="2:48">
      <c r="E4" s="66"/>
    </row>
    <row r="5" spans="2:48">
      <c r="B5" s="146" t="s">
        <v>1709</v>
      </c>
      <c r="C5" s="146" t="s">
        <v>1710</v>
      </c>
      <c r="D5" s="147" t="s">
        <v>1711</v>
      </c>
      <c r="E5" s="66"/>
      <c r="F5" s="146" t="s">
        <v>1712</v>
      </c>
      <c r="G5" s="146" t="s">
        <v>1710</v>
      </c>
      <c r="H5" s="146" t="s">
        <v>1711</v>
      </c>
      <c r="J5" s="146" t="s">
        <v>1713</v>
      </c>
      <c r="K5" s="146" t="s">
        <v>1710</v>
      </c>
      <c r="L5" s="146" t="s">
        <v>1711</v>
      </c>
      <c r="N5" s="146" t="s">
        <v>1714</v>
      </c>
      <c r="O5" s="146" t="s">
        <v>1710</v>
      </c>
      <c r="P5" s="146" t="s">
        <v>1711</v>
      </c>
      <c r="R5" s="146" t="s">
        <v>1715</v>
      </c>
      <c r="S5" s="146" t="s">
        <v>1710</v>
      </c>
      <c r="T5" s="146" t="s">
        <v>1711</v>
      </c>
      <c r="V5" s="146" t="s">
        <v>1716</v>
      </c>
      <c r="W5" s="146" t="s">
        <v>1710</v>
      </c>
      <c r="X5" s="146" t="s">
        <v>1711</v>
      </c>
      <c r="Z5" s="146" t="s">
        <v>1717</v>
      </c>
      <c r="AA5" s="146" t="s">
        <v>1710</v>
      </c>
      <c r="AB5" s="146" t="s">
        <v>1711</v>
      </c>
      <c r="AD5" s="146" t="s">
        <v>1718</v>
      </c>
      <c r="AE5" s="146" t="s">
        <v>1710</v>
      </c>
      <c r="AF5" s="146" t="s">
        <v>1711</v>
      </c>
      <c r="AH5" s="146" t="s">
        <v>1719</v>
      </c>
      <c r="AI5" s="146" t="s">
        <v>1710</v>
      </c>
      <c r="AJ5" s="146" t="s">
        <v>1711</v>
      </c>
      <c r="AL5" s="146" t="s">
        <v>1720</v>
      </c>
      <c r="AM5" s="146" t="s">
        <v>1710</v>
      </c>
      <c r="AN5" s="146" t="s">
        <v>1711</v>
      </c>
      <c r="AP5" s="146" t="s">
        <v>1721</v>
      </c>
      <c r="AQ5" s="146" t="s">
        <v>1710</v>
      </c>
      <c r="AR5" s="146" t="s">
        <v>1711</v>
      </c>
      <c r="AT5" s="146" t="s">
        <v>1722</v>
      </c>
      <c r="AU5" s="146" t="s">
        <v>1710</v>
      </c>
      <c r="AV5" s="146" t="s">
        <v>1711</v>
      </c>
    </row>
    <row r="6" spans="2:48">
      <c r="B6" s="1" t="s">
        <v>1723</v>
      </c>
      <c r="C6" s="1" t="s">
        <v>1724</v>
      </c>
      <c r="D6" s="149">
        <v>37</v>
      </c>
      <c r="E6" s="66"/>
      <c r="F6" s="1" t="s">
        <v>1725</v>
      </c>
      <c r="G6" s="1" t="s">
        <v>1726</v>
      </c>
      <c r="H6" s="1">
        <v>80.5</v>
      </c>
      <c r="J6" s="1" t="s">
        <v>1727</v>
      </c>
      <c r="K6" s="1" t="s">
        <v>1728</v>
      </c>
      <c r="L6" s="1">
        <v>107</v>
      </c>
      <c r="N6" s="1" t="s">
        <v>1729</v>
      </c>
      <c r="O6" s="1" t="s">
        <v>1730</v>
      </c>
      <c r="P6" s="1">
        <v>194</v>
      </c>
      <c r="R6" s="1" t="s">
        <v>1731</v>
      </c>
      <c r="S6" s="1" t="s">
        <v>1732</v>
      </c>
      <c r="T6" s="1">
        <v>104</v>
      </c>
      <c r="V6" s="1" t="s">
        <v>1733</v>
      </c>
      <c r="W6" s="1" t="s">
        <v>1734</v>
      </c>
      <c r="X6" s="1">
        <v>137</v>
      </c>
      <c r="Z6" s="1" t="s">
        <v>1735</v>
      </c>
      <c r="AA6" s="1" t="s">
        <v>1736</v>
      </c>
      <c r="AB6" s="1">
        <v>252</v>
      </c>
      <c r="AD6" s="1" t="s">
        <v>1731</v>
      </c>
      <c r="AE6" s="1" t="s">
        <v>1737</v>
      </c>
      <c r="AF6" s="1">
        <v>105</v>
      </c>
      <c r="AH6" s="1" t="s">
        <v>1733</v>
      </c>
      <c r="AI6" s="1" t="s">
        <v>1738</v>
      </c>
      <c r="AJ6" s="1">
        <v>139</v>
      </c>
      <c r="AL6" s="1" t="s">
        <v>1735</v>
      </c>
      <c r="AM6" s="1" t="s">
        <v>1739</v>
      </c>
      <c r="AN6" s="1">
        <v>259</v>
      </c>
      <c r="AP6" s="1" t="s">
        <v>1740</v>
      </c>
      <c r="AQ6" s="1" t="s">
        <v>1741</v>
      </c>
      <c r="AR6" s="1">
        <v>81.5</v>
      </c>
      <c r="AT6" s="1" t="s">
        <v>1742</v>
      </c>
      <c r="AU6" s="1" t="s">
        <v>1743</v>
      </c>
      <c r="AV6" s="1">
        <v>79.099999999999994</v>
      </c>
    </row>
    <row r="7" spans="2:48">
      <c r="B7" s="1" t="s">
        <v>1744</v>
      </c>
      <c r="C7" s="1" t="s">
        <v>1724</v>
      </c>
      <c r="D7" s="149">
        <v>44.4</v>
      </c>
      <c r="E7" s="66"/>
      <c r="F7" s="1" t="s">
        <v>1731</v>
      </c>
      <c r="G7" s="1" t="s">
        <v>1726</v>
      </c>
      <c r="H7" s="1">
        <v>95.7</v>
      </c>
      <c r="J7" s="1" t="s">
        <v>1733</v>
      </c>
      <c r="K7" s="1" t="s">
        <v>1728</v>
      </c>
      <c r="L7" s="1">
        <v>130</v>
      </c>
      <c r="N7" s="1" t="s">
        <v>1735</v>
      </c>
      <c r="O7" s="1" t="s">
        <v>1730</v>
      </c>
      <c r="P7" s="1">
        <v>246</v>
      </c>
      <c r="R7" s="1" t="s">
        <v>1745</v>
      </c>
      <c r="S7" s="1" t="s">
        <v>1732</v>
      </c>
      <c r="T7" s="1">
        <v>125</v>
      </c>
      <c r="V7" s="1" t="s">
        <v>1746</v>
      </c>
      <c r="W7" s="1" t="s">
        <v>1734</v>
      </c>
      <c r="X7" s="1">
        <v>161</v>
      </c>
      <c r="Z7" s="1" t="s">
        <v>1747</v>
      </c>
      <c r="AA7" s="1" t="s">
        <v>1736</v>
      </c>
      <c r="AB7" s="1">
        <v>314</v>
      </c>
      <c r="AD7" s="1" t="s">
        <v>1745</v>
      </c>
      <c r="AE7" s="1" t="s">
        <v>1737</v>
      </c>
      <c r="AF7" s="1">
        <v>126</v>
      </c>
      <c r="AH7" s="1" t="s">
        <v>1746</v>
      </c>
      <c r="AI7" s="1" t="s">
        <v>1738</v>
      </c>
      <c r="AJ7" s="1">
        <v>163</v>
      </c>
      <c r="AL7" s="1" t="s">
        <v>1747</v>
      </c>
      <c r="AM7" s="1" t="s">
        <v>1739</v>
      </c>
      <c r="AN7" s="1">
        <v>321</v>
      </c>
      <c r="AP7" s="1" t="s">
        <v>1748</v>
      </c>
      <c r="AQ7" s="1" t="s">
        <v>1741</v>
      </c>
      <c r="AR7" s="1">
        <v>90.7</v>
      </c>
      <c r="AT7" s="1" t="s">
        <v>1749</v>
      </c>
      <c r="AU7" s="1" t="s">
        <v>1743</v>
      </c>
      <c r="AV7" s="1">
        <v>98.3</v>
      </c>
    </row>
    <row r="8" spans="2:48">
      <c r="B8" s="1" t="s">
        <v>1750</v>
      </c>
      <c r="C8" s="1" t="s">
        <v>1724</v>
      </c>
      <c r="D8" s="149">
        <v>50.2</v>
      </c>
      <c r="E8" s="66"/>
      <c r="F8" s="1" t="s">
        <v>1745</v>
      </c>
      <c r="G8" s="1" t="s">
        <v>1726</v>
      </c>
      <c r="H8" s="1">
        <v>117</v>
      </c>
      <c r="J8" s="1" t="s">
        <v>1746</v>
      </c>
      <c r="K8" s="1" t="s">
        <v>1728</v>
      </c>
      <c r="L8" s="1">
        <v>154</v>
      </c>
      <c r="N8" s="1" t="s">
        <v>1747</v>
      </c>
      <c r="O8" s="1" t="s">
        <v>1730</v>
      </c>
      <c r="P8" s="1">
        <v>303</v>
      </c>
      <c r="R8" s="1" t="s">
        <v>1751</v>
      </c>
      <c r="S8" s="1" t="s">
        <v>1732</v>
      </c>
      <c r="T8" s="1">
        <v>182</v>
      </c>
      <c r="V8" s="1" t="s">
        <v>1752</v>
      </c>
      <c r="W8" s="1" t="s">
        <v>1734</v>
      </c>
      <c r="X8" s="1">
        <v>232</v>
      </c>
      <c r="Z8" s="1" t="s">
        <v>1753</v>
      </c>
      <c r="AA8" s="1" t="s">
        <v>1736</v>
      </c>
      <c r="AB8" s="1">
        <v>466</v>
      </c>
      <c r="AD8" s="1" t="s">
        <v>1751</v>
      </c>
      <c r="AE8" s="1" t="s">
        <v>1737</v>
      </c>
      <c r="AF8" s="1">
        <v>184</v>
      </c>
      <c r="AH8" s="1" t="s">
        <v>1752</v>
      </c>
      <c r="AI8" s="1" t="s">
        <v>1738</v>
      </c>
      <c r="AJ8" s="1">
        <v>235</v>
      </c>
      <c r="AL8" s="1" t="s">
        <v>1753</v>
      </c>
      <c r="AM8" s="1" t="s">
        <v>1739</v>
      </c>
      <c r="AN8" s="1">
        <v>475</v>
      </c>
      <c r="AP8" s="1" t="s">
        <v>1754</v>
      </c>
      <c r="AQ8" s="1" t="s">
        <v>1741</v>
      </c>
      <c r="AR8" s="1">
        <v>104</v>
      </c>
      <c r="AT8" s="1" t="s">
        <v>1755</v>
      </c>
      <c r="AU8" s="1" t="s">
        <v>1743</v>
      </c>
      <c r="AV8" s="1">
        <v>117</v>
      </c>
    </row>
    <row r="9" spans="2:48">
      <c r="B9" s="1" t="s">
        <v>1756</v>
      </c>
      <c r="C9" s="1" t="s">
        <v>1724</v>
      </c>
      <c r="D9" s="149">
        <v>74</v>
      </c>
      <c r="E9" s="66"/>
      <c r="F9" s="1" t="s">
        <v>1751</v>
      </c>
      <c r="G9" s="1" t="s">
        <v>1726</v>
      </c>
      <c r="H9" s="1">
        <v>174</v>
      </c>
      <c r="J9" s="1" t="s">
        <v>1752</v>
      </c>
      <c r="K9" s="1" t="s">
        <v>1728</v>
      </c>
      <c r="L9" s="1">
        <v>225</v>
      </c>
      <c r="N9" s="1" t="s">
        <v>1753</v>
      </c>
      <c r="O9" s="1" t="s">
        <v>1730</v>
      </c>
      <c r="P9" s="1">
        <v>457</v>
      </c>
      <c r="V9" s="1" t="s">
        <v>1757</v>
      </c>
      <c r="W9" s="1" t="s">
        <v>1734</v>
      </c>
      <c r="X9" s="1">
        <v>183</v>
      </c>
      <c r="Z9" s="1" t="s">
        <v>1758</v>
      </c>
      <c r="AA9" s="1" t="s">
        <v>1736</v>
      </c>
      <c r="AB9" s="1">
        <v>334</v>
      </c>
      <c r="AH9" s="1" t="s">
        <v>1757</v>
      </c>
      <c r="AI9" s="1" t="s">
        <v>1738</v>
      </c>
      <c r="AJ9" s="1">
        <v>187</v>
      </c>
      <c r="AL9" s="1" t="s">
        <v>1758</v>
      </c>
      <c r="AM9" s="1" t="s">
        <v>1739</v>
      </c>
      <c r="AN9" s="1">
        <v>342</v>
      </c>
      <c r="AT9" s="1" t="s">
        <v>1759</v>
      </c>
      <c r="AU9" s="1" t="s">
        <v>1743</v>
      </c>
      <c r="AV9" s="1">
        <v>79.099999999999994</v>
      </c>
    </row>
    <row r="10" spans="2:48">
      <c r="B10" s="150"/>
      <c r="C10" s="150"/>
      <c r="D10" s="150"/>
      <c r="E10" s="66"/>
      <c r="J10" s="1" t="s">
        <v>1760</v>
      </c>
      <c r="K10" s="1" t="s">
        <v>1728</v>
      </c>
      <c r="L10" s="1">
        <v>138</v>
      </c>
      <c r="N10" s="1" t="s">
        <v>1761</v>
      </c>
      <c r="O10" s="1" t="s">
        <v>1730</v>
      </c>
      <c r="P10" s="1">
        <v>278</v>
      </c>
      <c r="V10" s="1" t="s">
        <v>1762</v>
      </c>
      <c r="W10" s="1" t="s">
        <v>1734</v>
      </c>
      <c r="X10" s="1">
        <v>229</v>
      </c>
      <c r="Z10" s="1" t="s">
        <v>1763</v>
      </c>
      <c r="AA10" s="1" t="s">
        <v>1736</v>
      </c>
      <c r="AB10" s="1">
        <v>410</v>
      </c>
      <c r="AH10" s="1" t="s">
        <v>1762</v>
      </c>
      <c r="AI10" s="1" t="s">
        <v>1738</v>
      </c>
      <c r="AJ10" s="1">
        <v>233</v>
      </c>
      <c r="AL10" s="1" t="s">
        <v>1763</v>
      </c>
      <c r="AM10" s="1" t="s">
        <v>1739</v>
      </c>
      <c r="AN10" s="1">
        <v>418</v>
      </c>
      <c r="AT10" s="1" t="s">
        <v>1764</v>
      </c>
      <c r="AU10" s="1" t="s">
        <v>1743</v>
      </c>
      <c r="AV10" s="1">
        <v>98.2</v>
      </c>
    </row>
    <row r="11" spans="2:48">
      <c r="B11" s="68"/>
      <c r="C11" s="68"/>
      <c r="D11" s="68"/>
      <c r="E11" s="66"/>
      <c r="J11" s="1" t="s">
        <v>1757</v>
      </c>
      <c r="K11" s="1" t="s">
        <v>1728</v>
      </c>
      <c r="L11" s="1">
        <v>176</v>
      </c>
      <c r="N11" s="1" t="s">
        <v>1758</v>
      </c>
      <c r="O11" s="1" t="s">
        <v>1730</v>
      </c>
      <c r="P11" s="1">
        <v>324</v>
      </c>
      <c r="V11" s="1" t="s">
        <v>1765</v>
      </c>
      <c r="W11" s="1" t="s">
        <v>1734</v>
      </c>
      <c r="X11" s="1">
        <v>350</v>
      </c>
      <c r="Z11" s="1" t="s">
        <v>1766</v>
      </c>
      <c r="AA11" s="1" t="s">
        <v>1736</v>
      </c>
      <c r="AB11" s="1">
        <v>674</v>
      </c>
      <c r="AH11" s="1" t="s">
        <v>1765</v>
      </c>
      <c r="AI11" s="1" t="s">
        <v>1738</v>
      </c>
      <c r="AJ11" s="1">
        <v>355</v>
      </c>
      <c r="AL11" s="1" t="s">
        <v>1766</v>
      </c>
      <c r="AM11" s="1" t="s">
        <v>1739</v>
      </c>
      <c r="AN11" s="1">
        <v>687</v>
      </c>
      <c r="AT11" s="1" t="s">
        <v>1767</v>
      </c>
      <c r="AU11" s="1" t="s">
        <v>1743</v>
      </c>
      <c r="AV11" s="1">
        <v>117</v>
      </c>
    </row>
    <row r="12" spans="2:48">
      <c r="B12" s="68"/>
      <c r="C12" s="68"/>
      <c r="D12" s="68"/>
      <c r="E12" s="66"/>
      <c r="J12" s="1" t="s">
        <v>1762</v>
      </c>
      <c r="K12" s="1" t="s">
        <v>1728</v>
      </c>
      <c r="L12" s="1">
        <v>223</v>
      </c>
      <c r="N12" s="1" t="s">
        <v>1763</v>
      </c>
      <c r="O12" s="1" t="s">
        <v>1730</v>
      </c>
      <c r="P12" s="1">
        <v>400</v>
      </c>
      <c r="V12" s="1" t="s">
        <v>1768</v>
      </c>
      <c r="W12" s="1" t="s">
        <v>1734</v>
      </c>
      <c r="X12" s="1">
        <v>136</v>
      </c>
      <c r="Z12" s="1" t="s">
        <v>1769</v>
      </c>
      <c r="AA12" s="1" t="s">
        <v>1736</v>
      </c>
      <c r="AB12" s="1">
        <v>251</v>
      </c>
      <c r="AH12" s="1" t="s">
        <v>1768</v>
      </c>
      <c r="AI12" s="1" t="s">
        <v>1738</v>
      </c>
      <c r="AJ12" s="1">
        <v>139</v>
      </c>
      <c r="AL12" s="1" t="s">
        <v>1769</v>
      </c>
      <c r="AM12" s="1" t="s">
        <v>1739</v>
      </c>
      <c r="AN12" s="1">
        <v>258</v>
      </c>
    </row>
    <row r="13" spans="2:48">
      <c r="B13" s="68"/>
      <c r="C13" s="68"/>
      <c r="D13" s="68"/>
      <c r="E13" s="66"/>
      <c r="J13" s="1" t="s">
        <v>1765</v>
      </c>
      <c r="K13" s="1" t="s">
        <v>1728</v>
      </c>
      <c r="L13" s="1">
        <v>339</v>
      </c>
      <c r="N13" s="1" t="s">
        <v>1766</v>
      </c>
      <c r="O13" s="1" t="s">
        <v>1730</v>
      </c>
      <c r="P13" s="1">
        <v>665</v>
      </c>
      <c r="V13" s="1" t="s">
        <v>1770</v>
      </c>
      <c r="W13" s="1" t="s">
        <v>1734</v>
      </c>
      <c r="X13" s="1">
        <v>160</v>
      </c>
      <c r="Z13" s="1" t="s">
        <v>1771</v>
      </c>
      <c r="AA13" s="1" t="s">
        <v>1736</v>
      </c>
      <c r="AB13" s="1">
        <v>314</v>
      </c>
      <c r="AH13" s="1" t="s">
        <v>1770</v>
      </c>
      <c r="AI13" s="1" t="s">
        <v>1738</v>
      </c>
      <c r="AJ13" s="1">
        <v>162</v>
      </c>
      <c r="AL13" s="1" t="s">
        <v>1771</v>
      </c>
      <c r="AM13" s="1" t="s">
        <v>1739</v>
      </c>
      <c r="AN13" s="1">
        <v>320</v>
      </c>
    </row>
    <row r="14" spans="2:48">
      <c r="B14" s="68"/>
      <c r="C14" s="68"/>
      <c r="D14" s="68"/>
      <c r="E14" s="66"/>
      <c r="J14" s="1" t="s">
        <v>1772</v>
      </c>
      <c r="K14" s="1" t="s">
        <v>1728</v>
      </c>
      <c r="L14" s="1">
        <v>106</v>
      </c>
      <c r="N14" s="1" t="s">
        <v>1773</v>
      </c>
      <c r="O14" s="1" t="s">
        <v>1730</v>
      </c>
      <c r="P14" s="1">
        <v>195</v>
      </c>
      <c r="V14" s="1" t="s">
        <v>1774</v>
      </c>
      <c r="W14" s="1" t="s">
        <v>1734</v>
      </c>
      <c r="X14" s="1">
        <v>231</v>
      </c>
      <c r="Z14" s="1" t="s">
        <v>1775</v>
      </c>
      <c r="AA14" s="1" t="s">
        <v>1736</v>
      </c>
      <c r="AB14" s="1">
        <v>466</v>
      </c>
      <c r="AH14" s="1" t="s">
        <v>1774</v>
      </c>
      <c r="AI14" s="1" t="s">
        <v>1738</v>
      </c>
      <c r="AJ14" s="1">
        <v>234</v>
      </c>
      <c r="AL14" s="1" t="s">
        <v>1775</v>
      </c>
      <c r="AM14" s="1" t="s">
        <v>1739</v>
      </c>
      <c r="AN14" s="1">
        <v>474</v>
      </c>
    </row>
    <row r="15" spans="2:48">
      <c r="B15" s="68"/>
      <c r="C15" s="68"/>
      <c r="D15" s="68"/>
      <c r="E15" s="66"/>
      <c r="J15" s="1" t="s">
        <v>1768</v>
      </c>
      <c r="K15" s="1" t="s">
        <v>1728</v>
      </c>
      <c r="L15" s="1">
        <v>129</v>
      </c>
      <c r="N15" s="1" t="s">
        <v>1769</v>
      </c>
      <c r="O15" s="1" t="s">
        <v>1730</v>
      </c>
      <c r="P15" s="1">
        <v>245</v>
      </c>
      <c r="V15" s="1" t="s">
        <v>1776</v>
      </c>
      <c r="W15" s="1" t="s">
        <v>1734</v>
      </c>
      <c r="X15" s="1">
        <v>182</v>
      </c>
      <c r="Z15" s="1" t="s">
        <v>1777</v>
      </c>
      <c r="AA15" s="1" t="s">
        <v>1736</v>
      </c>
      <c r="AB15" s="1">
        <v>334</v>
      </c>
      <c r="AH15" s="1" t="s">
        <v>1776</v>
      </c>
      <c r="AI15" s="1" t="s">
        <v>1738</v>
      </c>
      <c r="AJ15" s="1">
        <v>186</v>
      </c>
      <c r="AL15" s="1" t="s">
        <v>1777</v>
      </c>
      <c r="AM15" s="1" t="s">
        <v>1739</v>
      </c>
      <c r="AN15" s="1">
        <v>342</v>
      </c>
    </row>
    <row r="16" spans="2:48">
      <c r="B16" s="68"/>
      <c r="C16" s="68"/>
      <c r="D16" s="68"/>
      <c r="E16" s="66"/>
      <c r="J16" s="1" t="s">
        <v>1770</v>
      </c>
      <c r="K16" s="1" t="s">
        <v>1728</v>
      </c>
      <c r="L16" s="1">
        <v>153</v>
      </c>
      <c r="N16" s="1" t="s">
        <v>1771</v>
      </c>
      <c r="O16" s="1" t="s">
        <v>1730</v>
      </c>
      <c r="P16" s="1">
        <v>302</v>
      </c>
      <c r="V16" s="1" t="s">
        <v>1778</v>
      </c>
      <c r="W16" s="1" t="s">
        <v>1734</v>
      </c>
      <c r="X16" s="1">
        <v>228</v>
      </c>
      <c r="Z16" s="1" t="s">
        <v>1770</v>
      </c>
      <c r="AA16" s="1" t="s">
        <v>1736</v>
      </c>
      <c r="AB16" s="1">
        <v>409</v>
      </c>
      <c r="AH16" s="1" t="s">
        <v>1778</v>
      </c>
      <c r="AI16" s="1" t="s">
        <v>1738</v>
      </c>
      <c r="AJ16" s="1">
        <v>232</v>
      </c>
      <c r="AL16" s="1" t="s">
        <v>1779</v>
      </c>
      <c r="AM16" s="1" t="s">
        <v>1739</v>
      </c>
      <c r="AN16" s="1">
        <v>417</v>
      </c>
    </row>
    <row r="17" spans="2:40">
      <c r="B17" s="68"/>
      <c r="C17" s="68"/>
      <c r="D17" s="68"/>
      <c r="E17" s="66"/>
      <c r="J17" s="1" t="s">
        <v>1774</v>
      </c>
      <c r="K17" s="1" t="s">
        <v>1728</v>
      </c>
      <c r="L17" s="1">
        <v>224</v>
      </c>
      <c r="N17" s="1" t="s">
        <v>1775</v>
      </c>
      <c r="O17" s="1" t="s">
        <v>1730</v>
      </c>
      <c r="P17" s="1">
        <v>457</v>
      </c>
      <c r="V17" s="1" t="s">
        <v>1780</v>
      </c>
      <c r="W17" s="1" t="s">
        <v>1734</v>
      </c>
      <c r="X17" s="1">
        <v>349</v>
      </c>
      <c r="Z17" s="1" t="s">
        <v>1781</v>
      </c>
      <c r="AA17" s="1" t="s">
        <v>1736</v>
      </c>
      <c r="AB17" s="1">
        <v>673</v>
      </c>
      <c r="AH17" s="1" t="s">
        <v>1780</v>
      </c>
      <c r="AI17" s="1" t="s">
        <v>1738</v>
      </c>
      <c r="AJ17" s="1">
        <v>353</v>
      </c>
      <c r="AL17" s="1" t="s">
        <v>1781</v>
      </c>
      <c r="AM17" s="1" t="s">
        <v>1739</v>
      </c>
      <c r="AN17" s="1">
        <v>686</v>
      </c>
    </row>
    <row r="18" spans="2:40">
      <c r="B18" s="68"/>
      <c r="C18" s="68"/>
      <c r="D18" s="68"/>
      <c r="E18" s="66"/>
      <c r="J18" s="1" t="s">
        <v>1782</v>
      </c>
      <c r="K18" s="1" t="s">
        <v>1728</v>
      </c>
      <c r="L18" s="1">
        <v>137</v>
      </c>
      <c r="N18" s="1" t="s">
        <v>1783</v>
      </c>
      <c r="O18" s="1" t="s">
        <v>1730</v>
      </c>
      <c r="P18" s="1">
        <v>277</v>
      </c>
      <c r="V18" s="1" t="s">
        <v>1784</v>
      </c>
      <c r="W18" s="1" t="s">
        <v>1734</v>
      </c>
      <c r="X18" s="1">
        <v>182</v>
      </c>
      <c r="Z18" s="1" t="s">
        <v>1784</v>
      </c>
      <c r="AA18" s="1" t="s">
        <v>1736</v>
      </c>
      <c r="AB18" s="1">
        <v>251</v>
      </c>
      <c r="AH18" s="1" t="s">
        <v>1785</v>
      </c>
      <c r="AI18" s="1" t="s">
        <v>1738</v>
      </c>
      <c r="AJ18" s="1">
        <v>186</v>
      </c>
      <c r="AL18" s="1" t="s">
        <v>1784</v>
      </c>
      <c r="AM18" s="1" t="s">
        <v>1739</v>
      </c>
      <c r="AN18" s="1">
        <v>258</v>
      </c>
    </row>
    <row r="19" spans="2:40">
      <c r="B19" s="68"/>
      <c r="C19" s="68"/>
      <c r="D19" s="68"/>
      <c r="E19" s="66"/>
      <c r="J19" s="1" t="s">
        <v>1776</v>
      </c>
      <c r="K19" s="1" t="s">
        <v>1728</v>
      </c>
      <c r="L19" s="1">
        <v>175</v>
      </c>
      <c r="N19" s="1" t="s">
        <v>1777</v>
      </c>
      <c r="O19" s="1" t="s">
        <v>1730</v>
      </c>
      <c r="P19" s="1">
        <v>323</v>
      </c>
      <c r="V19" s="1" t="s">
        <v>1786</v>
      </c>
      <c r="W19" s="1" t="s">
        <v>1734</v>
      </c>
      <c r="X19" s="1">
        <v>228</v>
      </c>
      <c r="Z19" s="1" t="s">
        <v>1786</v>
      </c>
      <c r="AA19" s="1" t="s">
        <v>1736</v>
      </c>
      <c r="AB19" s="1">
        <v>314</v>
      </c>
      <c r="AH19" s="1" t="s">
        <v>1787</v>
      </c>
      <c r="AI19" s="1" t="s">
        <v>1738</v>
      </c>
      <c r="AJ19" s="1">
        <v>233</v>
      </c>
      <c r="AL19" s="1" t="s">
        <v>1786</v>
      </c>
      <c r="AM19" s="1" t="s">
        <v>1739</v>
      </c>
      <c r="AN19" s="1">
        <v>320</v>
      </c>
    </row>
    <row r="20" spans="2:40">
      <c r="E20" s="66"/>
      <c r="J20" s="1" t="s">
        <v>1778</v>
      </c>
      <c r="K20" s="1" t="s">
        <v>1728</v>
      </c>
      <c r="L20" s="1">
        <v>222</v>
      </c>
      <c r="N20" s="1" t="s">
        <v>1779</v>
      </c>
      <c r="O20" s="1" t="s">
        <v>1730</v>
      </c>
      <c r="P20" s="1">
        <v>399</v>
      </c>
      <c r="Z20" s="1" t="s">
        <v>1788</v>
      </c>
      <c r="AA20" s="1" t="s">
        <v>1736</v>
      </c>
      <c r="AB20" s="1">
        <v>334</v>
      </c>
      <c r="AH20" s="150"/>
      <c r="AI20" s="150"/>
      <c r="AJ20" s="150"/>
      <c r="AL20" s="1" t="s">
        <v>1788</v>
      </c>
      <c r="AM20" s="1" t="s">
        <v>1739</v>
      </c>
      <c r="AN20" s="1">
        <v>342</v>
      </c>
    </row>
    <row r="21" spans="2:40">
      <c r="E21" s="66"/>
      <c r="J21" s="1" t="s">
        <v>1780</v>
      </c>
      <c r="K21" s="1" t="s">
        <v>1728</v>
      </c>
      <c r="L21" s="1">
        <v>337</v>
      </c>
      <c r="N21" s="1" t="s">
        <v>1781</v>
      </c>
      <c r="O21" s="1" t="s">
        <v>1730</v>
      </c>
      <c r="P21" s="1">
        <v>664</v>
      </c>
      <c r="Z21" s="1" t="s">
        <v>1789</v>
      </c>
      <c r="AA21" s="1" t="s">
        <v>1736</v>
      </c>
      <c r="AB21" s="1">
        <v>409</v>
      </c>
      <c r="AH21" s="68"/>
      <c r="AI21" s="68"/>
      <c r="AJ21" s="68"/>
      <c r="AL21" s="1" t="s">
        <v>1789</v>
      </c>
      <c r="AM21" s="1" t="s">
        <v>1739</v>
      </c>
      <c r="AN21" s="1">
        <v>417</v>
      </c>
    </row>
    <row r="22" spans="2:40">
      <c r="E22" s="66"/>
      <c r="J22" s="1" t="s">
        <v>1790</v>
      </c>
      <c r="K22" s="1" t="s">
        <v>1728</v>
      </c>
      <c r="L22" s="1">
        <v>137</v>
      </c>
      <c r="N22" s="1" t="s">
        <v>1791</v>
      </c>
      <c r="O22" s="1" t="s">
        <v>1730</v>
      </c>
      <c r="P22" s="1">
        <v>366</v>
      </c>
      <c r="V22" s="68"/>
      <c r="W22" s="68"/>
      <c r="X22" s="68"/>
    </row>
    <row r="23" spans="2:40">
      <c r="E23" s="66"/>
      <c r="J23" s="1" t="s">
        <v>1785</v>
      </c>
      <c r="K23" s="1" t="s">
        <v>1728</v>
      </c>
      <c r="L23" s="1">
        <v>176</v>
      </c>
      <c r="N23" s="1" t="s">
        <v>1792</v>
      </c>
      <c r="O23" s="1" t="s">
        <v>1730</v>
      </c>
      <c r="P23" s="1">
        <v>195</v>
      </c>
      <c r="V23" s="68"/>
      <c r="W23" s="68"/>
      <c r="X23" s="68"/>
    </row>
    <row r="24" spans="2:40">
      <c r="E24" s="66"/>
      <c r="J24" s="1" t="s">
        <v>1787</v>
      </c>
      <c r="K24" s="1" t="s">
        <v>1728</v>
      </c>
      <c r="L24" s="1">
        <v>222</v>
      </c>
      <c r="N24" s="1" t="s">
        <v>1784</v>
      </c>
      <c r="O24" s="1" t="s">
        <v>1730</v>
      </c>
      <c r="P24" s="1">
        <v>245</v>
      </c>
    </row>
    <row r="25" spans="2:40">
      <c r="E25" s="66"/>
      <c r="N25" s="1" t="s">
        <v>1786</v>
      </c>
      <c r="O25" s="1" t="s">
        <v>1730</v>
      </c>
      <c r="P25" s="1">
        <v>302</v>
      </c>
    </row>
    <row r="26" spans="2:40">
      <c r="E26" s="66"/>
      <c r="N26" s="1" t="s">
        <v>1793</v>
      </c>
      <c r="O26" s="1" t="s">
        <v>1730</v>
      </c>
      <c r="P26" s="1">
        <v>277</v>
      </c>
      <c r="V26" s="68"/>
      <c r="W26" s="68"/>
      <c r="X26" s="68"/>
    </row>
    <row r="27" spans="2:40">
      <c r="N27" s="1" t="s">
        <v>1788</v>
      </c>
      <c r="O27" s="1" t="s">
        <v>1730</v>
      </c>
      <c r="P27" s="1">
        <v>323</v>
      </c>
      <c r="V27" s="68"/>
      <c r="W27" s="68"/>
      <c r="X27" s="68"/>
    </row>
    <row r="28" spans="2:40">
      <c r="N28" s="1" t="s">
        <v>1789</v>
      </c>
      <c r="O28" s="1" t="s">
        <v>1730</v>
      </c>
      <c r="P28" s="1">
        <v>399</v>
      </c>
      <c r="V28" s="68"/>
      <c r="W28" s="68"/>
      <c r="X28" s="68"/>
    </row>
    <row r="29" spans="2:40">
      <c r="N29" s="1" t="s">
        <v>1794</v>
      </c>
      <c r="O29" s="1" t="s">
        <v>1730</v>
      </c>
      <c r="P29" s="1">
        <v>366</v>
      </c>
      <c r="V29" s="68"/>
      <c r="W29" s="68"/>
      <c r="X29" s="68"/>
    </row>
    <row r="30" spans="2:40">
      <c r="N30" s="1" t="s">
        <v>1795</v>
      </c>
      <c r="O30" s="1" t="s">
        <v>1730</v>
      </c>
      <c r="P30" s="1">
        <v>370</v>
      </c>
      <c r="V30" s="68"/>
      <c r="W30" s="68"/>
      <c r="X30" s="68"/>
    </row>
    <row r="31" spans="2:40">
      <c r="O31" s="150"/>
    </row>
    <row r="32" spans="2:40">
      <c r="O32" s="68"/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A6F8A-E1F1-415B-8864-AFBA999CE256}">
  <dimension ref="A4:L41"/>
  <sheetViews>
    <sheetView workbookViewId="0">
      <selection activeCell="B3" sqref="B3"/>
    </sheetView>
  </sheetViews>
  <sheetFormatPr defaultRowHeight="15.75"/>
  <cols>
    <col min="1" max="1" width="16.125" bestFit="1" customWidth="1"/>
    <col min="2" max="2" width="13.875" bestFit="1" customWidth="1"/>
    <col min="3" max="3" width="7.5" bestFit="1" customWidth="1"/>
    <col min="5" max="5" width="16.125" bestFit="1" customWidth="1"/>
    <col min="6" max="6" width="13.875" bestFit="1" customWidth="1"/>
    <col min="7" max="7" width="7.5" bestFit="1" customWidth="1"/>
    <col min="9" max="9" width="11.625" bestFit="1" customWidth="1"/>
    <col min="10" max="10" width="13.875" bestFit="1" customWidth="1"/>
    <col min="11" max="12" width="16.125" bestFit="1" customWidth="1"/>
  </cols>
  <sheetData>
    <row r="4" spans="1:12">
      <c r="A4" s="181" t="s">
        <v>1796</v>
      </c>
      <c r="B4" s="181" t="s">
        <v>85</v>
      </c>
      <c r="C4" s="181" t="s">
        <v>1797</v>
      </c>
      <c r="E4" s="181" t="s">
        <v>1798</v>
      </c>
      <c r="F4" s="181" t="s">
        <v>85</v>
      </c>
      <c r="G4" s="181" t="s">
        <v>1797</v>
      </c>
      <c r="I4" s="181" t="s">
        <v>1799</v>
      </c>
      <c r="J4" s="181" t="s">
        <v>85</v>
      </c>
      <c r="K4" s="181" t="s">
        <v>1800</v>
      </c>
      <c r="L4" s="181" t="s">
        <v>1801</v>
      </c>
    </row>
    <row r="5" spans="1:12">
      <c r="A5" s="85" t="s">
        <v>1802</v>
      </c>
      <c r="B5" s="85" t="s">
        <v>1803</v>
      </c>
      <c r="C5" s="85">
        <v>3.6999999999999998E-2</v>
      </c>
      <c r="E5" s="85" t="s">
        <v>1804</v>
      </c>
      <c r="F5" s="85" t="s">
        <v>1803</v>
      </c>
      <c r="G5" s="85">
        <v>3.3000000000000002E-2</v>
      </c>
      <c r="I5" s="85" t="s">
        <v>1244</v>
      </c>
      <c r="J5" s="85" t="s">
        <v>1803</v>
      </c>
      <c r="K5" s="85">
        <v>7.9399999999999991E-3</v>
      </c>
      <c r="L5" s="85">
        <v>1.4999999999999999E-2</v>
      </c>
    </row>
    <row r="6" spans="1:12">
      <c r="A6" s="85" t="s">
        <v>1805</v>
      </c>
      <c r="B6" s="85" t="s">
        <v>1803</v>
      </c>
      <c r="C6" s="85">
        <v>0.04</v>
      </c>
      <c r="E6" s="85" t="s">
        <v>1806</v>
      </c>
      <c r="F6" s="85" t="s">
        <v>1803</v>
      </c>
      <c r="G6" s="85">
        <v>3.5999999999999997E-2</v>
      </c>
      <c r="I6" s="85" t="s">
        <v>86</v>
      </c>
      <c r="J6" s="85" t="s">
        <v>1803</v>
      </c>
      <c r="K6" s="85">
        <v>1.193E-2</v>
      </c>
      <c r="L6" s="85">
        <v>2.3E-2</v>
      </c>
    </row>
    <row r="7" spans="1:12">
      <c r="A7" s="85" t="s">
        <v>1807</v>
      </c>
      <c r="B7" s="85" t="s">
        <v>1803</v>
      </c>
      <c r="C7" s="85">
        <v>0.06</v>
      </c>
      <c r="E7" s="85" t="s">
        <v>1808</v>
      </c>
      <c r="F7" s="85" t="s">
        <v>1803</v>
      </c>
      <c r="G7" s="85">
        <v>5.6000000000000001E-2</v>
      </c>
      <c r="I7" s="85" t="s">
        <v>1176</v>
      </c>
      <c r="J7" s="85" t="s">
        <v>1803</v>
      </c>
      <c r="K7" s="85">
        <v>2.9000000000000001E-2</v>
      </c>
      <c r="L7" s="85">
        <v>0.05</v>
      </c>
    </row>
    <row r="8" spans="1:12">
      <c r="A8" s="48" t="s">
        <v>1809</v>
      </c>
      <c r="B8" s="85" t="s">
        <v>1803</v>
      </c>
      <c r="C8" s="85">
        <v>6.4000000000000001E-2</v>
      </c>
      <c r="E8" s="85" t="s">
        <v>1810</v>
      </c>
      <c r="F8" s="85" t="s">
        <v>1803</v>
      </c>
      <c r="G8" s="85">
        <v>0.13600000000000001</v>
      </c>
      <c r="I8" s="85" t="s">
        <v>1178</v>
      </c>
      <c r="J8" s="85" t="s">
        <v>1803</v>
      </c>
      <c r="K8" s="85">
        <v>5.1549999999999999E-2</v>
      </c>
      <c r="L8" s="85">
        <v>0.10100000000000001</v>
      </c>
    </row>
    <row r="9" spans="1:12">
      <c r="A9" s="85" t="s">
        <v>1811</v>
      </c>
      <c r="B9" s="85" t="s">
        <v>1803</v>
      </c>
      <c r="C9" s="85">
        <v>0.14099999999999999</v>
      </c>
      <c r="E9" s="85" t="s">
        <v>1812</v>
      </c>
      <c r="F9" s="85" t="s">
        <v>1803</v>
      </c>
      <c r="G9" s="85">
        <v>0.14399999999999999</v>
      </c>
      <c r="I9" s="85" t="s">
        <v>1179</v>
      </c>
      <c r="J9" s="85" t="s">
        <v>1803</v>
      </c>
      <c r="K9" s="85">
        <v>8.8800000000000004E-2</v>
      </c>
      <c r="L9" s="85">
        <v>0.17699999999999999</v>
      </c>
    </row>
    <row r="10" spans="1:12">
      <c r="A10" s="85" t="s">
        <v>1813</v>
      </c>
      <c r="B10" s="85" t="s">
        <v>1803</v>
      </c>
      <c r="C10" s="85">
        <v>0.14899999999999999</v>
      </c>
      <c r="E10" s="85" t="s">
        <v>1814</v>
      </c>
      <c r="F10" s="85" t="s">
        <v>1803</v>
      </c>
      <c r="G10" s="85">
        <v>0.152</v>
      </c>
      <c r="I10" s="85" t="s">
        <v>1180</v>
      </c>
      <c r="J10" s="85" t="s">
        <v>1803</v>
      </c>
      <c r="K10" s="85">
        <v>0.13239999999999999</v>
      </c>
      <c r="L10" s="85">
        <v>0.251</v>
      </c>
    </row>
    <row r="11" spans="1:12">
      <c r="A11" s="85" t="s">
        <v>1815</v>
      </c>
      <c r="B11" s="85" t="s">
        <v>1803</v>
      </c>
      <c r="C11" s="85">
        <v>0.157</v>
      </c>
      <c r="E11" s="85" t="s">
        <v>1816</v>
      </c>
      <c r="F11" s="85" t="s">
        <v>1803</v>
      </c>
      <c r="G11" s="85">
        <v>0.252</v>
      </c>
      <c r="I11" s="85" t="s">
        <v>1181</v>
      </c>
      <c r="J11" s="85" t="s">
        <v>1803</v>
      </c>
      <c r="K11" s="85">
        <v>0.18440000000000001</v>
      </c>
      <c r="L11" s="85">
        <v>0.32200000000000001</v>
      </c>
    </row>
    <row r="12" spans="1:12">
      <c r="A12" s="85" t="s">
        <v>1817</v>
      </c>
      <c r="B12" s="85" t="s">
        <v>1803</v>
      </c>
      <c r="C12" s="85">
        <v>0.16500000000000001</v>
      </c>
      <c r="E12" s="85" t="s">
        <v>1818</v>
      </c>
      <c r="F12" s="85" t="s">
        <v>1803</v>
      </c>
      <c r="G12" s="85">
        <v>0.26400000000000001</v>
      </c>
      <c r="I12" s="85" t="s">
        <v>1182</v>
      </c>
      <c r="J12" s="85" t="s">
        <v>1803</v>
      </c>
      <c r="K12" s="85">
        <v>0.24279999999999999</v>
      </c>
      <c r="L12" s="85">
        <v>0.42899999999999999</v>
      </c>
    </row>
    <row r="13" spans="1:12">
      <c r="A13" s="85" t="s">
        <v>1819</v>
      </c>
      <c r="B13" s="85" t="s">
        <v>1803</v>
      </c>
      <c r="C13" s="85">
        <v>0.28199999999999997</v>
      </c>
      <c r="E13" s="85" t="s">
        <v>1820</v>
      </c>
      <c r="F13" s="85" t="s">
        <v>1803</v>
      </c>
      <c r="G13" s="85">
        <v>0.27600000000000002</v>
      </c>
      <c r="I13" s="85" t="s">
        <v>1821</v>
      </c>
      <c r="J13" s="85" t="s">
        <v>1803</v>
      </c>
      <c r="K13" s="85">
        <v>0.317</v>
      </c>
      <c r="L13" s="85">
        <v>0.55800000000000005</v>
      </c>
    </row>
    <row r="14" spans="1:12">
      <c r="A14" s="85" t="s">
        <v>1822</v>
      </c>
      <c r="B14" s="85" t="s">
        <v>1803</v>
      </c>
      <c r="C14" s="85">
        <v>0.29399999999999998</v>
      </c>
      <c r="E14" s="85" t="s">
        <v>1823</v>
      </c>
      <c r="F14" s="85" t="s">
        <v>1803</v>
      </c>
      <c r="G14" s="85">
        <v>0.28799999999999998</v>
      </c>
      <c r="I14" s="85" t="s">
        <v>1824</v>
      </c>
      <c r="J14" s="85" t="s">
        <v>1803</v>
      </c>
      <c r="K14" s="85">
        <v>0.41489999999999999</v>
      </c>
      <c r="L14" s="85">
        <v>0.59799999999999998</v>
      </c>
    </row>
    <row r="15" spans="1:12">
      <c r="A15" s="85" t="s">
        <v>1825</v>
      </c>
      <c r="B15" s="85" t="s">
        <v>1803</v>
      </c>
      <c r="C15" s="85">
        <v>0.30599999999999999</v>
      </c>
      <c r="E15" s="85" t="s">
        <v>1826</v>
      </c>
      <c r="F15" s="85" t="s">
        <v>1803</v>
      </c>
      <c r="G15" s="85">
        <v>0.432</v>
      </c>
      <c r="I15" s="85" t="s">
        <v>1827</v>
      </c>
      <c r="J15" s="85" t="s">
        <v>1803</v>
      </c>
      <c r="K15" s="85">
        <v>0.60519999999999996</v>
      </c>
      <c r="L15" s="85">
        <v>0.86199999999999999</v>
      </c>
    </row>
    <row r="16" spans="1:12">
      <c r="A16" s="85" t="s">
        <v>1828</v>
      </c>
      <c r="B16" s="85" t="s">
        <v>1803</v>
      </c>
      <c r="C16" s="85">
        <v>0.48199999999999998</v>
      </c>
      <c r="E16" s="85" t="s">
        <v>1829</v>
      </c>
      <c r="F16" s="85" t="s">
        <v>1803</v>
      </c>
      <c r="G16" s="85">
        <v>0.45</v>
      </c>
      <c r="I16" s="85" t="s">
        <v>1830</v>
      </c>
      <c r="J16" s="85" t="s">
        <v>1803</v>
      </c>
      <c r="K16" s="85">
        <v>0.74439999999999995</v>
      </c>
      <c r="L16" s="85">
        <v>1.0640000000000001</v>
      </c>
    </row>
    <row r="17" spans="1:12">
      <c r="A17" s="85" t="s">
        <v>1831</v>
      </c>
      <c r="B17" s="85" t="s">
        <v>1803</v>
      </c>
      <c r="C17" s="85">
        <v>0.51800000000000002</v>
      </c>
      <c r="E17" s="85" t="s">
        <v>1832</v>
      </c>
      <c r="F17" s="85" t="s">
        <v>1803</v>
      </c>
      <c r="G17" s="85">
        <v>0.46800000000000003</v>
      </c>
      <c r="I17" s="85" t="s">
        <v>1833</v>
      </c>
      <c r="J17" s="85" t="s">
        <v>1803</v>
      </c>
      <c r="K17" s="85">
        <v>0.92479999999999996</v>
      </c>
      <c r="L17" s="85">
        <v>1.2669999999999999</v>
      </c>
    </row>
    <row r="18" spans="1:12">
      <c r="A18" s="85" t="s">
        <v>1834</v>
      </c>
      <c r="B18" s="85" t="s">
        <v>1803</v>
      </c>
      <c r="C18" s="85">
        <v>0.53600000000000003</v>
      </c>
      <c r="E18" s="85" t="s">
        <v>1835</v>
      </c>
      <c r="F18" s="85" t="s">
        <v>1803</v>
      </c>
      <c r="G18" s="85">
        <v>0.48599999999999999</v>
      </c>
      <c r="I18" s="85" t="s">
        <v>1836</v>
      </c>
      <c r="J18" s="85" t="s">
        <v>1803</v>
      </c>
      <c r="K18" s="85">
        <v>1.091</v>
      </c>
      <c r="L18" s="85">
        <v>1.53</v>
      </c>
    </row>
    <row r="19" spans="1:12">
      <c r="A19" s="85" t="s">
        <v>1837</v>
      </c>
      <c r="B19" s="85" t="s">
        <v>1803</v>
      </c>
      <c r="C19" s="85">
        <v>0.66400000000000003</v>
      </c>
      <c r="E19" s="85" t="s">
        <v>1838</v>
      </c>
      <c r="F19" s="85" t="s">
        <v>1803</v>
      </c>
      <c r="G19" s="85">
        <v>0.504</v>
      </c>
    </row>
    <row r="20" spans="1:12">
      <c r="A20" s="85" t="s">
        <v>1839</v>
      </c>
      <c r="B20" s="85" t="s">
        <v>1803</v>
      </c>
      <c r="C20" s="85">
        <v>0.68700000000000006</v>
      </c>
      <c r="E20" s="85" t="s">
        <v>1840</v>
      </c>
      <c r="F20" s="85" t="s">
        <v>1803</v>
      </c>
      <c r="G20" s="85">
        <v>0.66700000000000004</v>
      </c>
    </row>
    <row r="21" spans="1:12">
      <c r="A21" s="85" t="s">
        <v>1841</v>
      </c>
      <c r="B21" s="85" t="s">
        <v>1803</v>
      </c>
      <c r="C21" s="85">
        <v>0.75600000000000001</v>
      </c>
      <c r="E21" s="85" t="s">
        <v>1842</v>
      </c>
      <c r="F21" s="85" t="s">
        <v>1803</v>
      </c>
      <c r="G21" s="85">
        <v>0.69</v>
      </c>
    </row>
    <row r="22" spans="1:12">
      <c r="A22" s="85" t="s">
        <v>1843</v>
      </c>
      <c r="B22" s="85" t="s">
        <v>1803</v>
      </c>
      <c r="C22" s="85">
        <v>0.77900000000000003</v>
      </c>
      <c r="E22" s="85" t="s">
        <v>1844</v>
      </c>
      <c r="F22" s="85" t="s">
        <v>1803</v>
      </c>
      <c r="G22" s="85">
        <v>0.75900000000000001</v>
      </c>
    </row>
    <row r="23" spans="1:12">
      <c r="A23" s="85" t="s">
        <v>1845</v>
      </c>
      <c r="B23" s="85" t="s">
        <v>1803</v>
      </c>
      <c r="C23" s="85">
        <v>0.80200000000000005</v>
      </c>
      <c r="E23" s="85" t="s">
        <v>1846</v>
      </c>
      <c r="F23" s="85" t="s">
        <v>1803</v>
      </c>
      <c r="G23" s="85">
        <v>0.71299999999999997</v>
      </c>
    </row>
    <row r="24" spans="1:12">
      <c r="A24" s="85" t="s">
        <v>1847</v>
      </c>
      <c r="B24" s="85" t="s">
        <v>1803</v>
      </c>
      <c r="C24" s="85">
        <v>0.84799999999999998</v>
      </c>
      <c r="E24" s="85" t="s">
        <v>1848</v>
      </c>
      <c r="F24" s="85" t="s">
        <v>1803</v>
      </c>
      <c r="G24" s="85">
        <v>0.73599999999999999</v>
      </c>
    </row>
    <row r="25" spans="1:12">
      <c r="A25" s="85" t="s">
        <v>1849</v>
      </c>
      <c r="B25" s="85" t="s">
        <v>1803</v>
      </c>
      <c r="C25" s="85">
        <v>0.871</v>
      </c>
      <c r="E25" s="85" t="s">
        <v>1850</v>
      </c>
      <c r="F25" s="85" t="s">
        <v>1803</v>
      </c>
      <c r="G25" s="85">
        <v>0.78200000000000003</v>
      </c>
    </row>
    <row r="26" spans="1:12">
      <c r="A26" s="85" t="s">
        <v>1840</v>
      </c>
      <c r="B26" s="85" t="s">
        <v>1803</v>
      </c>
      <c r="C26" s="85">
        <v>0.89400000000000002</v>
      </c>
      <c r="E26" s="85" t="s">
        <v>1851</v>
      </c>
      <c r="F26" s="85" t="s">
        <v>1803</v>
      </c>
      <c r="G26" s="85">
        <v>0.82799999999999996</v>
      </c>
    </row>
    <row r="27" spans="1:12">
      <c r="A27" s="85" t="s">
        <v>1846</v>
      </c>
      <c r="B27" s="85" t="s">
        <v>1803</v>
      </c>
      <c r="C27" s="85">
        <v>0.94</v>
      </c>
      <c r="E27" s="85" t="s">
        <v>1852</v>
      </c>
      <c r="F27" s="85" t="s">
        <v>1803</v>
      </c>
      <c r="G27" s="85">
        <v>0.85099999999999998</v>
      </c>
    </row>
    <row r="28" spans="1:12">
      <c r="A28" s="85" t="s">
        <v>1853</v>
      </c>
      <c r="B28" s="85" t="s">
        <v>1803</v>
      </c>
      <c r="C28" s="85">
        <v>0.88300000000000001</v>
      </c>
      <c r="E28" s="85" t="s">
        <v>1854</v>
      </c>
      <c r="F28" s="85" t="s">
        <v>1803</v>
      </c>
      <c r="G28" s="85">
        <v>0.874</v>
      </c>
    </row>
    <row r="29" spans="1:12">
      <c r="A29" s="85" t="s">
        <v>1855</v>
      </c>
      <c r="B29" s="85" t="s">
        <v>1803</v>
      </c>
      <c r="C29" s="85">
        <v>0.91100000000000003</v>
      </c>
      <c r="E29" s="85" t="s">
        <v>1856</v>
      </c>
      <c r="F29" s="85" t="s">
        <v>1803</v>
      </c>
      <c r="G29" s="85">
        <v>0.92400000000000004</v>
      </c>
    </row>
    <row r="30" spans="1:12">
      <c r="A30" s="85" t="s">
        <v>1857</v>
      </c>
      <c r="B30" s="85" t="s">
        <v>1803</v>
      </c>
      <c r="C30" s="85">
        <v>1.107</v>
      </c>
      <c r="E30" s="85" t="s">
        <v>1858</v>
      </c>
      <c r="F30" s="85" t="s">
        <v>1803</v>
      </c>
      <c r="G30" s="85">
        <v>0.98</v>
      </c>
    </row>
    <row r="31" spans="1:12">
      <c r="A31" s="85" t="s">
        <v>1859</v>
      </c>
      <c r="B31" s="85" t="s">
        <v>1803</v>
      </c>
      <c r="C31" s="85">
        <v>1.1839999999999999</v>
      </c>
      <c r="E31" s="85" t="s">
        <v>1860</v>
      </c>
      <c r="F31" s="85" t="s">
        <v>1803</v>
      </c>
      <c r="G31" s="85">
        <v>1.036</v>
      </c>
    </row>
    <row r="32" spans="1:12">
      <c r="A32" s="85" t="s">
        <v>1861</v>
      </c>
      <c r="B32" s="85" t="s">
        <v>1803</v>
      </c>
      <c r="C32" s="85">
        <v>1.514</v>
      </c>
      <c r="E32" s="85" t="s">
        <v>1862</v>
      </c>
      <c r="F32" s="85" t="s">
        <v>1803</v>
      </c>
      <c r="G32" s="85">
        <v>1.054</v>
      </c>
    </row>
    <row r="33" spans="1:7">
      <c r="A33" s="85" t="s">
        <v>1863</v>
      </c>
      <c r="B33" s="85" t="s">
        <v>1803</v>
      </c>
      <c r="C33" s="85">
        <v>1.9419999999999999</v>
      </c>
      <c r="E33" s="85" t="s">
        <v>1864</v>
      </c>
      <c r="F33" s="85" t="s">
        <v>1803</v>
      </c>
      <c r="G33" s="85">
        <v>1.36</v>
      </c>
    </row>
    <row r="34" spans="1:7">
      <c r="A34" s="85" t="s">
        <v>1865</v>
      </c>
      <c r="B34" s="85" t="s">
        <v>1803</v>
      </c>
      <c r="C34" s="85">
        <v>2.665</v>
      </c>
      <c r="E34" s="85" t="s">
        <v>1866</v>
      </c>
      <c r="F34" s="85" t="s">
        <v>1803</v>
      </c>
      <c r="G34" s="85">
        <v>1.32</v>
      </c>
    </row>
    <row r="35" spans="1:7">
      <c r="A35" s="85" t="s">
        <v>1867</v>
      </c>
      <c r="B35" s="85" t="s">
        <v>1803</v>
      </c>
      <c r="C35" s="85">
        <v>2.7890000000000001</v>
      </c>
      <c r="E35" s="85" t="s">
        <v>1868</v>
      </c>
      <c r="F35" s="85" t="s">
        <v>1803</v>
      </c>
      <c r="G35" s="85">
        <v>1.68</v>
      </c>
    </row>
    <row r="36" spans="1:7">
      <c r="A36" s="85" t="s">
        <v>1869</v>
      </c>
      <c r="B36" s="85" t="s">
        <v>1803</v>
      </c>
      <c r="C36" s="85">
        <v>2.851</v>
      </c>
      <c r="E36" s="85" t="s">
        <v>1870</v>
      </c>
      <c r="F36" s="85" t="s">
        <v>1803</v>
      </c>
      <c r="G36" s="85">
        <v>1.8</v>
      </c>
    </row>
    <row r="37" spans="1:7">
      <c r="E37" s="85" t="s">
        <v>1871</v>
      </c>
      <c r="F37" s="85" t="s">
        <v>1803</v>
      </c>
      <c r="G37" s="85">
        <v>1.7390000000000001</v>
      </c>
    </row>
    <row r="38" spans="1:7">
      <c r="E38" s="85" t="s">
        <v>1872</v>
      </c>
      <c r="F38" s="85" t="s">
        <v>1803</v>
      </c>
      <c r="G38" s="85">
        <v>2.3029999999999999</v>
      </c>
    </row>
    <row r="39" spans="1:7">
      <c r="E39" s="85" t="s">
        <v>1873</v>
      </c>
      <c r="F39" s="85" t="s">
        <v>1803</v>
      </c>
      <c r="G39" s="85">
        <v>2.6040000000000001</v>
      </c>
    </row>
    <row r="40" spans="1:7">
      <c r="E40" s="85" t="s">
        <v>1874</v>
      </c>
      <c r="F40" s="85" t="s">
        <v>1803</v>
      </c>
      <c r="G40" s="85">
        <v>2.6659999999999999</v>
      </c>
    </row>
    <row r="41" spans="1:7">
      <c r="E41" s="85" t="s">
        <v>1875</v>
      </c>
      <c r="F41" s="85" t="s">
        <v>1803</v>
      </c>
      <c r="G41" s="85">
        <v>3.5960000000000001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X173"/>
  <sheetViews>
    <sheetView workbookViewId="0">
      <selection activeCell="B3" sqref="B3"/>
    </sheetView>
  </sheetViews>
  <sheetFormatPr defaultRowHeight="15.75"/>
  <cols>
    <col min="1" max="2" width="10.625" customWidth="1"/>
    <col min="3" max="16" width="8.625" customWidth="1"/>
  </cols>
  <sheetData>
    <row r="1" spans="1:11" ht="30" customHeight="1">
      <c r="A1" s="252" t="s">
        <v>103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11" ht="20.100000000000001" customHeight="1">
      <c r="A2" s="251" t="s">
        <v>104</v>
      </c>
      <c r="B2" s="251" t="s">
        <v>105</v>
      </c>
      <c r="C2" s="204" t="s">
        <v>106</v>
      </c>
      <c r="D2" s="204"/>
      <c r="E2" s="204"/>
      <c r="F2" s="204"/>
      <c r="G2" s="204"/>
      <c r="H2" s="204"/>
      <c r="I2" s="204"/>
      <c r="J2" s="204" t="s">
        <v>107</v>
      </c>
      <c r="K2" s="204"/>
    </row>
    <row r="3" spans="1:11" ht="20.100000000000001" customHeight="1">
      <c r="A3" s="204"/>
      <c r="B3" s="204"/>
      <c r="C3" s="20" t="s">
        <v>108</v>
      </c>
      <c r="D3" s="20" t="s">
        <v>109</v>
      </c>
      <c r="E3" s="20" t="s">
        <v>110</v>
      </c>
      <c r="F3" s="20" t="s">
        <v>111</v>
      </c>
      <c r="G3" s="20" t="s">
        <v>112</v>
      </c>
      <c r="H3" s="20" t="s">
        <v>113</v>
      </c>
      <c r="I3" s="20" t="s">
        <v>114</v>
      </c>
      <c r="J3" s="1" t="s">
        <v>115</v>
      </c>
      <c r="K3" s="1" t="s">
        <v>116</v>
      </c>
    </row>
    <row r="4" spans="1:11" ht="19.5" customHeight="1">
      <c r="A4" s="60">
        <v>0.25</v>
      </c>
      <c r="B4" s="61">
        <v>1000</v>
      </c>
      <c r="C4" s="62">
        <f>jbt4701cs("D",A4,B4)</f>
        <v>1130</v>
      </c>
      <c r="D4" s="62">
        <f>jbt4701cs("D1",A4,B4)</f>
        <v>1090</v>
      </c>
      <c r="E4" s="62">
        <f>jbt4701cs("D2",A4,B4)</f>
        <v>1055</v>
      </c>
      <c r="F4" s="62">
        <f>jbt4701cs("D3",A4,B4)</f>
        <v>1045</v>
      </c>
      <c r="G4" s="62">
        <f>jbt4701cs("D4",A4,B4)</f>
        <v>1042</v>
      </c>
      <c r="H4" s="62">
        <f>jbt4701cs("T",A4,B4)</f>
        <v>40</v>
      </c>
      <c r="I4" s="62">
        <f>jbt4701cs("d",A4,B4)</f>
        <v>23</v>
      </c>
      <c r="J4" s="62" t="str">
        <f>"M"&amp;jbt4701cs("M",A4,B4)</f>
        <v>M20</v>
      </c>
      <c r="K4" s="62">
        <f>jbt4701cs("n",A4,B4)</f>
        <v>32</v>
      </c>
    </row>
    <row r="22" spans="1:16" ht="30" customHeight="1">
      <c r="A22" s="252" t="s">
        <v>117</v>
      </c>
      <c r="B22" s="252"/>
      <c r="C22" s="252"/>
      <c r="D22" s="252"/>
      <c r="E22" s="252"/>
      <c r="F22" s="252"/>
      <c r="G22" s="252"/>
      <c r="H22" s="252"/>
      <c r="I22" s="252"/>
      <c r="J22" s="252"/>
      <c r="K22" s="252"/>
      <c r="L22" s="252"/>
      <c r="M22" s="252"/>
    </row>
    <row r="23" spans="1:16" ht="20.100000000000001" customHeight="1">
      <c r="A23" s="251" t="s">
        <v>104</v>
      </c>
      <c r="B23" s="251" t="s">
        <v>105</v>
      </c>
      <c r="C23" s="204" t="s">
        <v>106</v>
      </c>
      <c r="D23" s="204"/>
      <c r="E23" s="204"/>
      <c r="F23" s="204"/>
      <c r="G23" s="204"/>
      <c r="H23" s="204"/>
      <c r="I23" s="204"/>
      <c r="J23" s="204"/>
      <c r="K23" s="204"/>
      <c r="L23" s="204" t="s">
        <v>107</v>
      </c>
      <c r="M23" s="204"/>
    </row>
    <row r="24" spans="1:16" ht="20.100000000000001" customHeight="1">
      <c r="A24" s="204"/>
      <c r="B24" s="204"/>
      <c r="C24" s="20" t="s">
        <v>108</v>
      </c>
      <c r="D24" s="20" t="s">
        <v>109</v>
      </c>
      <c r="E24" s="20" t="s">
        <v>110</v>
      </c>
      <c r="F24" s="20" t="s">
        <v>111</v>
      </c>
      <c r="G24" s="20" t="s">
        <v>112</v>
      </c>
      <c r="H24" s="20" t="s">
        <v>113</v>
      </c>
      <c r="I24" s="20" t="s">
        <v>118</v>
      </c>
      <c r="J24" s="20" t="s">
        <v>119</v>
      </c>
      <c r="K24" s="20" t="s">
        <v>114</v>
      </c>
      <c r="L24" s="1" t="s">
        <v>115</v>
      </c>
      <c r="M24" s="1" t="s">
        <v>116</v>
      </c>
      <c r="O24">
        <v>915</v>
      </c>
      <c r="P24">
        <v>800</v>
      </c>
    </row>
    <row r="25" spans="1:16" ht="20.100000000000001" customHeight="1">
      <c r="A25" s="60">
        <v>1.6</v>
      </c>
      <c r="B25" s="61">
        <v>800</v>
      </c>
      <c r="C25" s="62">
        <f>jbt4702cs("D",A25,B25)</f>
        <v>960</v>
      </c>
      <c r="D25" s="62">
        <f>jbt4702cs("D1",A25,B25)</f>
        <v>915</v>
      </c>
      <c r="E25" s="62">
        <f>jbt4702cs("D2",A25,B25)</f>
        <v>876</v>
      </c>
      <c r="F25" s="62">
        <f>jbt4702cs("D3",A25,B25)</f>
        <v>866</v>
      </c>
      <c r="G25" s="62">
        <f>jbt4702cs("D4",A25,B25)</f>
        <v>863</v>
      </c>
      <c r="H25" s="62">
        <f>jbt4702cs("T",A25,B25)</f>
        <v>48</v>
      </c>
      <c r="I25" s="62">
        <f>jbt4702cs("H",A25,B25)</f>
        <v>200</v>
      </c>
      <c r="J25" s="62">
        <f>jbt4702cs("Tt",A25,B25)</f>
        <v>16</v>
      </c>
      <c r="K25" s="62">
        <f>jbt4702cs("d",A25,B25)</f>
        <v>27</v>
      </c>
      <c r="L25" s="62" t="str">
        <f>"M"&amp;jbt4702cs("M",A25,B25)</f>
        <v>M24</v>
      </c>
      <c r="M25" s="62">
        <f>jbt4702cs("n",A25,B25)</f>
        <v>24</v>
      </c>
      <c r="O25">
        <f>PI()*(O24^2-P24^2)/4*P25*8/10^6</f>
        <v>59.481658666007704</v>
      </c>
      <c r="P25">
        <v>48</v>
      </c>
    </row>
    <row r="46" spans="1:17" ht="30" customHeight="1">
      <c r="A46" s="252" t="s">
        <v>120</v>
      </c>
      <c r="B46" s="252"/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52"/>
    </row>
    <row r="47" spans="1:17" ht="24.95" customHeight="1">
      <c r="A47" s="251" t="s">
        <v>104</v>
      </c>
      <c r="B47" s="251" t="s">
        <v>105</v>
      </c>
      <c r="C47" s="204" t="s">
        <v>106</v>
      </c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4"/>
      <c r="O47" s="204" t="s">
        <v>121</v>
      </c>
      <c r="P47" s="204"/>
      <c r="Q47" s="214" t="s">
        <v>122</v>
      </c>
    </row>
    <row r="48" spans="1:17" ht="24.95" customHeight="1">
      <c r="A48" s="204"/>
      <c r="B48" s="204"/>
      <c r="C48" s="20" t="s">
        <v>108</v>
      </c>
      <c r="D48" s="20" t="s">
        <v>109</v>
      </c>
      <c r="E48" s="20" t="s">
        <v>110</v>
      </c>
      <c r="F48" s="20" t="s">
        <v>111</v>
      </c>
      <c r="G48" s="20" t="s">
        <v>112</v>
      </c>
      <c r="H48" s="20" t="s">
        <v>113</v>
      </c>
      <c r="I48" s="20" t="s">
        <v>118</v>
      </c>
      <c r="J48" s="20" t="s">
        <v>123</v>
      </c>
      <c r="K48" s="20" t="s">
        <v>124</v>
      </c>
      <c r="L48" s="20" t="s">
        <v>125</v>
      </c>
      <c r="M48" s="20" t="s">
        <v>126</v>
      </c>
      <c r="N48" s="20" t="s">
        <v>114</v>
      </c>
      <c r="O48" s="1" t="s">
        <v>115</v>
      </c>
      <c r="P48" s="1" t="s">
        <v>116</v>
      </c>
      <c r="Q48" s="256"/>
    </row>
    <row r="49" spans="1:17" ht="20.100000000000001" customHeight="1">
      <c r="A49" s="60">
        <v>1.6</v>
      </c>
      <c r="B49" s="61">
        <v>2000</v>
      </c>
      <c r="C49" s="62">
        <f>jbt4703cs("D",A49,B49)</f>
        <v>2215</v>
      </c>
      <c r="D49" s="62">
        <f>jbt4703cs("D1",A49,B49)</f>
        <v>2155</v>
      </c>
      <c r="E49" s="62">
        <f>jbt4703cs("D2",A49,B49)</f>
        <v>2110</v>
      </c>
      <c r="F49" s="62">
        <f>jbt4703cs("D3",A49,B49)</f>
        <v>2090</v>
      </c>
      <c r="G49" s="62">
        <f>jbt4703cs("D4",A49,B49)</f>
        <v>2087</v>
      </c>
      <c r="H49" s="62">
        <f>jbt4703cs("T",A49,B49)</f>
        <v>102</v>
      </c>
      <c r="I49" s="62">
        <f>jbt4703cs("H",A49,B49)</f>
        <v>190</v>
      </c>
      <c r="J49" s="62">
        <f>jbt4703cs("h",A49,B49)</f>
        <v>56</v>
      </c>
      <c r="K49" s="62">
        <f>jbt4703cs("T1",A49,B49)</f>
        <v>24</v>
      </c>
      <c r="L49" s="62">
        <f>jbt4703cs("T2",A49,B49)</f>
        <v>36</v>
      </c>
      <c r="M49" s="62">
        <f>jbt4703cs("R",A49,B49)</f>
        <v>15</v>
      </c>
      <c r="N49" s="62">
        <f>jbt4703cs("d",A49,B49)</f>
        <v>33</v>
      </c>
      <c r="O49" s="62" t="str">
        <f>"M"&amp;jbt4703cs("M",A49,B49)</f>
        <v>M30</v>
      </c>
      <c r="P49" s="62">
        <f>jbt4703cs("n",A49,B49)</f>
        <v>64</v>
      </c>
      <c r="Q49" s="62">
        <f>jbt4703cs("T0",A49,B49)</f>
        <v>20</v>
      </c>
    </row>
    <row r="76" spans="1:17" ht="30" customHeight="1">
      <c r="A76" s="252" t="s">
        <v>127</v>
      </c>
      <c r="B76" s="252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</row>
    <row r="77" spans="1:17" ht="24.95" customHeight="1">
      <c r="A77" s="251" t="s">
        <v>104</v>
      </c>
      <c r="B77" s="251" t="s">
        <v>105</v>
      </c>
      <c r="C77" s="204" t="s">
        <v>106</v>
      </c>
      <c r="D77" s="204"/>
      <c r="E77" s="204"/>
      <c r="F77" s="204"/>
      <c r="G77" s="204"/>
      <c r="H77" s="204"/>
      <c r="I77" s="204"/>
      <c r="J77" s="204"/>
      <c r="K77" s="204"/>
      <c r="L77" s="204"/>
      <c r="M77" s="204"/>
      <c r="N77" s="204"/>
      <c r="O77" s="204" t="s">
        <v>121</v>
      </c>
      <c r="P77" s="204"/>
      <c r="Q77" s="214" t="s">
        <v>122</v>
      </c>
    </row>
    <row r="78" spans="1:17" ht="24.95" customHeight="1">
      <c r="A78" s="204"/>
      <c r="B78" s="204"/>
      <c r="C78" s="20" t="s">
        <v>108</v>
      </c>
      <c r="D78" s="20" t="s">
        <v>109</v>
      </c>
      <c r="E78" s="20" t="s">
        <v>110</v>
      </c>
      <c r="F78" s="20" t="s">
        <v>111</v>
      </c>
      <c r="G78" s="20" t="s">
        <v>112</v>
      </c>
      <c r="H78" s="20" t="s">
        <v>113</v>
      </c>
      <c r="I78" s="20" t="s">
        <v>118</v>
      </c>
      <c r="J78" s="20" t="s">
        <v>123</v>
      </c>
      <c r="K78" s="20" t="s">
        <v>124</v>
      </c>
      <c r="L78" s="20" t="s">
        <v>125</v>
      </c>
      <c r="M78" s="20" t="s">
        <v>126</v>
      </c>
      <c r="N78" s="20" t="s">
        <v>114</v>
      </c>
      <c r="O78" s="1" t="s">
        <v>115</v>
      </c>
      <c r="P78" s="1" t="s">
        <v>116</v>
      </c>
      <c r="Q78" s="256"/>
    </row>
    <row r="79" spans="1:17" ht="20.100000000000001" customHeight="1">
      <c r="A79" s="60">
        <v>1.6</v>
      </c>
      <c r="B79" s="61">
        <v>1200</v>
      </c>
      <c r="C79" s="62">
        <f>jb4721cs("D",A79,B79)</f>
        <v>1460</v>
      </c>
      <c r="D79" s="62">
        <f>jb4721cs("D1",A79,B79)</f>
        <v>1415</v>
      </c>
      <c r="E79" s="62">
        <f>jb4721cs("D2",A79,B79)</f>
        <v>1376</v>
      </c>
      <c r="F79" s="62">
        <f>jb4721cs("D3",A79,B79)</f>
        <v>1356</v>
      </c>
      <c r="G79" s="62">
        <f>jb4721cs("D4",A79,B79)</f>
        <v>1353</v>
      </c>
      <c r="H79" s="62">
        <f>jb4721cs("D1",A79,B79)</f>
        <v>1415</v>
      </c>
      <c r="I79" s="62">
        <f>jb4721cs("D1",A79,B79)</f>
        <v>1415</v>
      </c>
      <c r="J79" s="62">
        <f>jb4721cs("h",A79,B79)</f>
        <v>84</v>
      </c>
      <c r="K79" s="62">
        <f>jb4721cs("T1",A79,B79)</f>
        <v>16</v>
      </c>
      <c r="L79" s="62">
        <f>jb4721cs("T2",A79,B79)</f>
        <v>44</v>
      </c>
      <c r="M79" s="62">
        <f>jb4721cs("R",A79,B79)</f>
        <v>12</v>
      </c>
      <c r="N79" s="62">
        <f>jb4721cs("d",A79,B79)</f>
        <v>27</v>
      </c>
      <c r="O79" s="62" t="str">
        <f>"M"&amp;jb4721cs("M",A79,B79)</f>
        <v>M24</v>
      </c>
      <c r="P79" s="62">
        <f>jb4721cs("n",A79,B79)</f>
        <v>44</v>
      </c>
      <c r="Q79" s="62">
        <f>jb4721cs("T0",A79,B79)</f>
        <v>14</v>
      </c>
    </row>
    <row r="102" spans="1:15" ht="30" customHeight="1">
      <c r="A102" s="257" t="s">
        <v>128</v>
      </c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</row>
    <row r="103" spans="1:15" ht="20.100000000000001" customHeight="1">
      <c r="A103" s="214" t="s">
        <v>129</v>
      </c>
      <c r="B103" s="251" t="s">
        <v>130</v>
      </c>
      <c r="C103" s="251" t="s">
        <v>131</v>
      </c>
      <c r="D103" s="251"/>
      <c r="E103" s="204" t="s">
        <v>132</v>
      </c>
      <c r="F103" s="204"/>
      <c r="G103" s="204"/>
      <c r="H103" s="204"/>
      <c r="I103" s="204"/>
      <c r="J103" s="251" t="s">
        <v>133</v>
      </c>
      <c r="K103" s="251" t="s">
        <v>134</v>
      </c>
      <c r="L103" s="251"/>
      <c r="M103" s="259" t="s">
        <v>135</v>
      </c>
      <c r="N103" s="224"/>
      <c r="O103" s="251" t="s">
        <v>136</v>
      </c>
    </row>
    <row r="104" spans="1:15" ht="30" customHeight="1">
      <c r="A104" s="235"/>
      <c r="B104" s="204"/>
      <c r="C104" s="251"/>
      <c r="D104" s="251"/>
      <c r="E104" s="251" t="s">
        <v>137</v>
      </c>
      <c r="F104" s="251" t="s">
        <v>138</v>
      </c>
      <c r="G104" s="251" t="s">
        <v>139</v>
      </c>
      <c r="H104" s="251" t="s">
        <v>140</v>
      </c>
      <c r="I104" s="251" t="s">
        <v>141</v>
      </c>
      <c r="J104" s="251"/>
      <c r="K104" s="251"/>
      <c r="L104" s="251"/>
      <c r="M104" s="260"/>
      <c r="N104" s="261"/>
      <c r="O104" s="204"/>
    </row>
    <row r="105" spans="1:15" ht="20.100000000000001" customHeight="1">
      <c r="A105" s="208"/>
      <c r="B105" s="204"/>
      <c r="C105" s="20" t="s">
        <v>142</v>
      </c>
      <c r="D105" s="20" t="s">
        <v>143</v>
      </c>
      <c r="E105" s="251"/>
      <c r="F105" s="251"/>
      <c r="G105" s="251"/>
      <c r="H105" s="251"/>
      <c r="I105" s="251"/>
      <c r="J105" s="251"/>
      <c r="K105" s="20" t="s">
        <v>142</v>
      </c>
      <c r="L105" s="20" t="s">
        <v>143</v>
      </c>
      <c r="M105" s="20" t="s">
        <v>114</v>
      </c>
      <c r="N105" s="20" t="s">
        <v>144</v>
      </c>
      <c r="O105" s="20" t="s">
        <v>145</v>
      </c>
    </row>
    <row r="106" spans="1:15" ht="20.100000000000001" customHeight="1">
      <c r="A106" s="63">
        <v>0.25</v>
      </c>
      <c r="B106" s="61">
        <v>450</v>
      </c>
      <c r="C106" s="62">
        <f>HG20592cs("AA",A106,B106)</f>
        <v>457</v>
      </c>
      <c r="D106" s="62">
        <f>HG20592cs("AB",A106,B106)</f>
        <v>480</v>
      </c>
      <c r="E106" s="62">
        <f>HG20592cs("D",A106,B106)</f>
        <v>595</v>
      </c>
      <c r="F106" s="62">
        <f>HG20592cs("K",A106,B106)</f>
        <v>550</v>
      </c>
      <c r="G106" s="62">
        <f>HG20592cs("L",A106,B106)</f>
        <v>22</v>
      </c>
      <c r="H106" s="62">
        <f>HG20592cs("Th",A106,B106)</f>
        <v>16</v>
      </c>
      <c r="I106" s="62" t="str">
        <f>"M"&amp;HG20592cs("n",A106,B106)</f>
        <v>M20</v>
      </c>
      <c r="J106" s="62">
        <f>HG20592cs("C",A106,B106)</f>
        <v>30</v>
      </c>
      <c r="K106" s="62">
        <f>HG20592cs("BA",A106,B106)</f>
        <v>462</v>
      </c>
      <c r="L106" s="62">
        <f>HG20592cs("BB",A106,B106)</f>
        <v>485</v>
      </c>
      <c r="M106" s="24">
        <f>HG20592cs("d1",A106,B106)</f>
        <v>518</v>
      </c>
      <c r="N106" s="24">
        <f>HG20592cs("f1",A106,B106)</f>
        <v>2</v>
      </c>
      <c r="O106" s="62">
        <f>HG20592cs("W",A106,B106)</f>
        <v>20.5</v>
      </c>
    </row>
    <row r="123" spans="1:11" ht="30" customHeight="1">
      <c r="A123" s="252" t="s">
        <v>146</v>
      </c>
      <c r="B123" s="253"/>
      <c r="C123" s="253"/>
      <c r="D123" s="253"/>
      <c r="E123" s="253"/>
      <c r="F123" s="253"/>
      <c r="G123" s="253"/>
      <c r="H123" s="253"/>
      <c r="I123" s="253"/>
      <c r="J123" s="253"/>
    </row>
    <row r="124" spans="1:11" ht="20.100000000000001" customHeight="1">
      <c r="A124" s="251" t="s">
        <v>129</v>
      </c>
      <c r="B124" s="251" t="s">
        <v>130</v>
      </c>
      <c r="C124" s="204" t="s">
        <v>132</v>
      </c>
      <c r="D124" s="204"/>
      <c r="E124" s="204"/>
      <c r="F124" s="204"/>
      <c r="G124" s="204"/>
      <c r="H124" s="251" t="s">
        <v>147</v>
      </c>
      <c r="I124" s="259" t="s">
        <v>135</v>
      </c>
      <c r="J124" s="224"/>
      <c r="K124" s="251" t="s">
        <v>148</v>
      </c>
    </row>
    <row r="125" spans="1:11" ht="30" customHeight="1">
      <c r="A125" s="204"/>
      <c r="B125" s="204"/>
      <c r="C125" s="251" t="s">
        <v>149</v>
      </c>
      <c r="D125" s="251" t="s">
        <v>138</v>
      </c>
      <c r="E125" s="251" t="s">
        <v>139</v>
      </c>
      <c r="F125" s="251" t="s">
        <v>140</v>
      </c>
      <c r="G125" s="251" t="s">
        <v>141</v>
      </c>
      <c r="H125" s="251"/>
      <c r="I125" s="216"/>
      <c r="J125" s="221"/>
      <c r="K125" s="204"/>
    </row>
    <row r="126" spans="1:11" ht="20.100000000000001" customHeight="1">
      <c r="A126" s="204"/>
      <c r="B126" s="204"/>
      <c r="C126" s="251"/>
      <c r="D126" s="251"/>
      <c r="E126" s="251"/>
      <c r="F126" s="251"/>
      <c r="G126" s="251"/>
      <c r="H126" s="251"/>
      <c r="I126" s="20" t="s">
        <v>114</v>
      </c>
      <c r="J126" s="20" t="s">
        <v>144</v>
      </c>
      <c r="K126" s="20" t="s">
        <v>145</v>
      </c>
    </row>
    <row r="127" spans="1:11" ht="20.100000000000001" customHeight="1">
      <c r="A127" s="60">
        <v>0.25</v>
      </c>
      <c r="B127" s="61">
        <v>800</v>
      </c>
      <c r="C127" s="62">
        <f>HG20601cs("D",A127,B127)</f>
        <v>975</v>
      </c>
      <c r="D127" s="62">
        <f>HG20601cs("K",A127,B127)</f>
        <v>920</v>
      </c>
      <c r="E127" s="62">
        <f>HG20601cs("L",A127,B127)</f>
        <v>30</v>
      </c>
      <c r="F127" s="62">
        <f>HG20601cs("n",A127,B127)</f>
        <v>24</v>
      </c>
      <c r="G127" s="62" t="str">
        <f>"M"&amp;HG20601cs("Th",A127,B127)</f>
        <v>M27</v>
      </c>
      <c r="H127" s="62">
        <f>HG20601cs("C",A127,B127)</f>
        <v>38</v>
      </c>
      <c r="I127" s="24">
        <f>HG20601cs("d1",A127,B127)</f>
        <v>878</v>
      </c>
      <c r="J127" s="62">
        <f>HG20601cs("f1",A127,B127)</f>
        <v>5</v>
      </c>
      <c r="K127" s="62">
        <f>HG20601cs("W",A127,B127)</f>
        <v>217.5</v>
      </c>
    </row>
    <row r="144" spans="1:24" ht="30" customHeight="1">
      <c r="A144" s="252" t="s">
        <v>150</v>
      </c>
      <c r="B144" s="252"/>
      <c r="C144" s="252"/>
      <c r="D144" s="252"/>
      <c r="E144" s="252"/>
      <c r="F144" s="252"/>
      <c r="G144" s="252"/>
      <c r="H144" s="252"/>
      <c r="I144" s="25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</row>
    <row r="145" spans="1:24" ht="20.100000000000001" customHeight="1">
      <c r="A145" s="251" t="s">
        <v>129</v>
      </c>
      <c r="B145" s="251" t="s">
        <v>130</v>
      </c>
      <c r="C145" s="251" t="s">
        <v>131</v>
      </c>
      <c r="D145" s="251"/>
      <c r="E145" s="204" t="s">
        <v>132</v>
      </c>
      <c r="F145" s="204"/>
      <c r="G145" s="204"/>
      <c r="H145" s="204"/>
      <c r="I145" s="204"/>
      <c r="J145" s="251" t="s">
        <v>133</v>
      </c>
      <c r="K145" s="251" t="s">
        <v>134</v>
      </c>
      <c r="L145" s="251"/>
      <c r="M145" s="204" t="s">
        <v>151</v>
      </c>
      <c r="N145" s="204"/>
      <c r="O145" s="204"/>
      <c r="P145" s="251" t="s">
        <v>152</v>
      </c>
      <c r="Q145" s="251" t="s">
        <v>153</v>
      </c>
      <c r="R145" s="251" t="s">
        <v>135</v>
      </c>
      <c r="S145" s="251"/>
      <c r="T145" s="251"/>
      <c r="U145" s="251"/>
      <c r="V145" s="251"/>
      <c r="W145" s="251"/>
      <c r="X145" s="251" t="s">
        <v>136</v>
      </c>
    </row>
    <row r="146" spans="1:24" ht="30" customHeight="1">
      <c r="A146" s="204"/>
      <c r="B146" s="204"/>
      <c r="C146" s="251"/>
      <c r="D146" s="251"/>
      <c r="E146" s="251" t="s">
        <v>137</v>
      </c>
      <c r="F146" s="251" t="s">
        <v>138</v>
      </c>
      <c r="G146" s="251" t="s">
        <v>139</v>
      </c>
      <c r="H146" s="251" t="s">
        <v>140</v>
      </c>
      <c r="I146" s="251" t="s">
        <v>141</v>
      </c>
      <c r="J146" s="251"/>
      <c r="K146" s="251"/>
      <c r="L146" s="251"/>
      <c r="M146" s="254" t="s">
        <v>154</v>
      </c>
      <c r="N146" s="204"/>
      <c r="O146" s="254" t="s">
        <v>126</v>
      </c>
      <c r="P146" s="204"/>
      <c r="Q146" s="204"/>
      <c r="R146" s="251"/>
      <c r="S146" s="251"/>
      <c r="T146" s="251"/>
      <c r="U146" s="251"/>
      <c r="V146" s="251"/>
      <c r="W146" s="251"/>
      <c r="X146" s="204"/>
    </row>
    <row r="147" spans="1:24" ht="20.100000000000001" customHeight="1">
      <c r="A147" s="204"/>
      <c r="B147" s="204"/>
      <c r="C147" s="20" t="s">
        <v>142</v>
      </c>
      <c r="D147" s="20" t="s">
        <v>143</v>
      </c>
      <c r="E147" s="251"/>
      <c r="F147" s="251"/>
      <c r="G147" s="251"/>
      <c r="H147" s="251"/>
      <c r="I147" s="251"/>
      <c r="J147" s="251"/>
      <c r="K147" s="20" t="s">
        <v>142</v>
      </c>
      <c r="L147" s="20" t="s">
        <v>143</v>
      </c>
      <c r="M147" s="20" t="s">
        <v>142</v>
      </c>
      <c r="N147" s="20" t="s">
        <v>143</v>
      </c>
      <c r="O147" s="204"/>
      <c r="P147" s="204"/>
      <c r="Q147" s="204"/>
      <c r="R147" s="20" t="s">
        <v>114</v>
      </c>
      <c r="S147" s="20" t="s">
        <v>155</v>
      </c>
      <c r="T147" s="20" t="s">
        <v>156</v>
      </c>
      <c r="U147" s="20" t="s">
        <v>144</v>
      </c>
      <c r="V147" s="20" t="s">
        <v>157</v>
      </c>
      <c r="W147" s="20" t="s">
        <v>158</v>
      </c>
      <c r="X147" s="20" t="s">
        <v>145</v>
      </c>
    </row>
    <row r="148" spans="1:24" ht="20.100000000000001" customHeight="1">
      <c r="A148" s="60">
        <v>1.6</v>
      </c>
      <c r="B148" s="61">
        <v>25</v>
      </c>
      <c r="C148" s="62">
        <f>HG20594cs("AA",A148,B148)</f>
        <v>33.700000000000003</v>
      </c>
      <c r="D148" s="62">
        <f>HG20594cs("AB",A148,B148)</f>
        <v>32</v>
      </c>
      <c r="E148" s="62">
        <f>HG20594cs("D",A148,B148)</f>
        <v>115</v>
      </c>
      <c r="F148" s="62">
        <f>HG20594cs("K",A148,B148)</f>
        <v>85</v>
      </c>
      <c r="G148" s="62">
        <f>HG20594cs("L",A148,B148)</f>
        <v>14</v>
      </c>
      <c r="H148" s="62">
        <f>HG20594cs("n",A148,B148)</f>
        <v>4</v>
      </c>
      <c r="I148" s="62">
        <f>HG20594cs("Th",A148,B148)</f>
        <v>12</v>
      </c>
      <c r="J148" s="62">
        <f>HG20594cs("C",A148,B148)</f>
        <v>16</v>
      </c>
      <c r="K148" s="62">
        <f>HG20594cs("BA",A148,B148)</f>
        <v>34.5</v>
      </c>
      <c r="L148" s="62">
        <f>HG20594cs("BB",A148,B148)</f>
        <v>33</v>
      </c>
      <c r="M148" s="62">
        <f>HG20594cs("NA",A148,B148)</f>
        <v>52</v>
      </c>
      <c r="N148" s="62">
        <f>HG20594cs("NB",A148,B148)</f>
        <v>52</v>
      </c>
      <c r="O148" s="62">
        <f>HG20594cs("R",A148,B148)</f>
        <v>4</v>
      </c>
      <c r="P148" s="62">
        <f>HG20594cs("H",A148,B148)</f>
        <v>28</v>
      </c>
      <c r="Q148" s="24">
        <f>HG20594cs("b",A148,B148)</f>
        <v>5</v>
      </c>
      <c r="R148" s="24">
        <f>HG20594cs("d1",A148,B148)</f>
        <v>65</v>
      </c>
      <c r="S148" s="24">
        <f>HG20594cs("X",A148,B148)</f>
        <v>57</v>
      </c>
      <c r="T148" s="24">
        <f>HG20594cs("Y",A148,B148)</f>
        <v>58</v>
      </c>
      <c r="U148" s="24">
        <f>HG20594cs("f1",A148,B148)</f>
        <v>2</v>
      </c>
      <c r="V148" s="24">
        <f>HG20594cs("f2",A148,B148)</f>
        <v>4</v>
      </c>
      <c r="W148" s="24">
        <f>HG20594cs("f3",A148,B148)</f>
        <v>3</v>
      </c>
      <c r="X148" s="62">
        <f>HG20594cs("W",A148,B148)</f>
        <v>1.24</v>
      </c>
    </row>
    <row r="169" spans="1:23" ht="30" customHeight="1">
      <c r="A169" s="252" t="s">
        <v>668</v>
      </c>
      <c r="B169" s="253"/>
      <c r="C169" s="253"/>
      <c r="D169" s="253"/>
      <c r="E169" s="253"/>
      <c r="F169" s="253"/>
      <c r="G169" s="253"/>
      <c r="H169" s="253"/>
      <c r="I169" s="253"/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  <c r="U169" s="253"/>
      <c r="V169" s="253"/>
      <c r="W169" s="253"/>
    </row>
    <row r="170" spans="1:23" ht="20.100000000000001" customHeight="1">
      <c r="A170" s="251" t="s">
        <v>199</v>
      </c>
      <c r="B170" s="251" t="s">
        <v>200</v>
      </c>
      <c r="C170" s="251" t="s">
        <v>201</v>
      </c>
      <c r="D170" s="251"/>
      <c r="E170" s="204" t="s">
        <v>202</v>
      </c>
      <c r="F170" s="204"/>
      <c r="G170" s="204"/>
      <c r="H170" s="204"/>
      <c r="I170" s="204"/>
      <c r="J170" s="251" t="s">
        <v>203</v>
      </c>
      <c r="K170" s="204" t="s">
        <v>207</v>
      </c>
      <c r="L170" s="204"/>
      <c r="M170" s="204"/>
      <c r="N170" s="204"/>
      <c r="O170" s="204"/>
      <c r="P170" s="251" t="s">
        <v>208</v>
      </c>
      <c r="Q170" s="251" t="s">
        <v>205</v>
      </c>
      <c r="R170" s="251"/>
      <c r="S170" s="251"/>
      <c r="T170" s="251"/>
      <c r="U170" s="251"/>
      <c r="V170" s="251"/>
      <c r="W170" s="251" t="s">
        <v>206</v>
      </c>
    </row>
    <row r="171" spans="1:23" ht="30" customHeight="1">
      <c r="A171" s="204"/>
      <c r="B171" s="204"/>
      <c r="C171" s="251"/>
      <c r="D171" s="251"/>
      <c r="E171" s="251" t="s">
        <v>210</v>
      </c>
      <c r="F171" s="251" t="s">
        <v>211</v>
      </c>
      <c r="G171" s="251" t="s">
        <v>212</v>
      </c>
      <c r="H171" s="251" t="s">
        <v>214</v>
      </c>
      <c r="I171" s="251" t="s">
        <v>213</v>
      </c>
      <c r="J171" s="251"/>
      <c r="K171" s="254" t="s">
        <v>215</v>
      </c>
      <c r="L171" s="204"/>
      <c r="M171" s="254" t="s">
        <v>672</v>
      </c>
      <c r="N171" s="255" t="s">
        <v>673</v>
      </c>
      <c r="O171" s="254" t="s">
        <v>195</v>
      </c>
      <c r="P171" s="204"/>
      <c r="Q171" s="251"/>
      <c r="R171" s="251"/>
      <c r="S171" s="251"/>
      <c r="T171" s="251"/>
      <c r="U171" s="251"/>
      <c r="V171" s="251"/>
      <c r="W171" s="204"/>
    </row>
    <row r="172" spans="1:23" ht="20.100000000000001" customHeight="1">
      <c r="A172" s="204"/>
      <c r="B172" s="204"/>
      <c r="C172" s="20" t="s">
        <v>216</v>
      </c>
      <c r="D172" s="20" t="s">
        <v>217</v>
      </c>
      <c r="E172" s="251"/>
      <c r="F172" s="251"/>
      <c r="G172" s="251"/>
      <c r="H172" s="251"/>
      <c r="I172" s="251"/>
      <c r="J172" s="251"/>
      <c r="K172" s="20" t="s">
        <v>216</v>
      </c>
      <c r="L172" s="20" t="s">
        <v>217</v>
      </c>
      <c r="M172" s="204"/>
      <c r="N172" s="204"/>
      <c r="O172" s="204"/>
      <c r="P172" s="204"/>
      <c r="Q172" s="20" t="s">
        <v>184</v>
      </c>
      <c r="R172" s="20" t="s">
        <v>1148</v>
      </c>
      <c r="S172" s="20" t="s">
        <v>1149</v>
      </c>
      <c r="T172" s="20" t="s">
        <v>218</v>
      </c>
      <c r="U172" s="20" t="s">
        <v>222</v>
      </c>
      <c r="V172" s="20" t="s">
        <v>223</v>
      </c>
      <c r="W172" s="20" t="s">
        <v>219</v>
      </c>
    </row>
    <row r="173" spans="1:23" ht="20.100000000000001" customHeight="1">
      <c r="A173" s="60">
        <v>1</v>
      </c>
      <c r="B173" s="61">
        <v>500</v>
      </c>
      <c r="C173" s="62">
        <f>HG20595cs("AA",A173,B173)</f>
        <v>508</v>
      </c>
      <c r="D173" s="62">
        <f>HG20595cs("AB",A173,B173)</f>
        <v>530</v>
      </c>
      <c r="E173" s="62">
        <f>HG20595cs("D",A173,B173)</f>
        <v>670</v>
      </c>
      <c r="F173" s="62">
        <f>HG20595cs("K",A173,B173)</f>
        <v>620</v>
      </c>
      <c r="G173" s="62">
        <f>HG20595cs("L",A173,B173)</f>
        <v>26</v>
      </c>
      <c r="H173" s="62">
        <f>HG20595cs("n",A173,B173)</f>
        <v>20</v>
      </c>
      <c r="I173" s="62" t="str">
        <f>"M"&amp;HG20595cs("Th",A173,B173)</f>
        <v>M24</v>
      </c>
      <c r="J173" s="62">
        <f>HG20595cs("C",A173,B173)</f>
        <v>28</v>
      </c>
      <c r="K173" s="62">
        <f>HG20595cs("NA",A173,B173)</f>
        <v>540</v>
      </c>
      <c r="L173" s="62">
        <f>HG20595cs("NB",A173,B173)</f>
        <v>562</v>
      </c>
      <c r="M173" s="62">
        <f>HG20595cs("S",A173,B173)</f>
        <v>11</v>
      </c>
      <c r="N173" s="62">
        <f>HG20595cs("H1",A173,B173)</f>
        <v>16</v>
      </c>
      <c r="O173" s="62">
        <f>HG20595cs("R",A173,B173)</f>
        <v>12</v>
      </c>
      <c r="P173" s="62">
        <f>HG20595cs("H",A173,B173)</f>
        <v>75</v>
      </c>
      <c r="Q173" s="24">
        <f>HG20595cs("d1",A173,B173)</f>
        <v>582</v>
      </c>
      <c r="R173" s="24">
        <f>HG20595cs("X",A173,B173)</f>
        <v>575</v>
      </c>
      <c r="S173" s="24">
        <f>HG20595cs("Y",A173,B173)</f>
        <v>576</v>
      </c>
      <c r="T173" s="24">
        <f>HG20595cs("f1",A173,B173)</f>
        <v>2</v>
      </c>
      <c r="U173" s="24">
        <f>HG20595cs("f2",A173,B173)</f>
        <v>5</v>
      </c>
      <c r="V173" s="24">
        <f>HG20595cs("f3",A173,B173)</f>
        <v>4</v>
      </c>
      <c r="W173" s="62">
        <f>HG20595cs("W",A173,B173)</f>
        <v>36.799999999999997</v>
      </c>
    </row>
  </sheetData>
  <mergeCells count="86">
    <mergeCell ref="M146:N146"/>
    <mergeCell ref="O146:O147"/>
    <mergeCell ref="A144:X144"/>
    <mergeCell ref="A145:A147"/>
    <mergeCell ref="B145:B147"/>
    <mergeCell ref="C145:D146"/>
    <mergeCell ref="E145:I145"/>
    <mergeCell ref="J145:J147"/>
    <mergeCell ref="K145:L146"/>
    <mergeCell ref="M145:O145"/>
    <mergeCell ref="P145:P147"/>
    <mergeCell ref="Q145:Q147"/>
    <mergeCell ref="R145:W146"/>
    <mergeCell ref="X145:X146"/>
    <mergeCell ref="E146:E147"/>
    <mergeCell ref="F146:F147"/>
    <mergeCell ref="G146:G147"/>
    <mergeCell ref="H146:H147"/>
    <mergeCell ref="K124:K125"/>
    <mergeCell ref="C125:C126"/>
    <mergeCell ref="D125:D126"/>
    <mergeCell ref="E125:E126"/>
    <mergeCell ref="F125:F126"/>
    <mergeCell ref="G125:G126"/>
    <mergeCell ref="I146:I147"/>
    <mergeCell ref="A123:J123"/>
    <mergeCell ref="A124:A126"/>
    <mergeCell ref="B124:B126"/>
    <mergeCell ref="C124:G124"/>
    <mergeCell ref="H124:H126"/>
    <mergeCell ref="I124:J125"/>
    <mergeCell ref="O77:P77"/>
    <mergeCell ref="Q77:Q78"/>
    <mergeCell ref="A102:N102"/>
    <mergeCell ref="A103:A105"/>
    <mergeCell ref="B103:B105"/>
    <mergeCell ref="C103:D104"/>
    <mergeCell ref="E103:I103"/>
    <mergeCell ref="J103:J105"/>
    <mergeCell ref="K103:L104"/>
    <mergeCell ref="M103:N104"/>
    <mergeCell ref="O103:O104"/>
    <mergeCell ref="E104:E105"/>
    <mergeCell ref="F104:F105"/>
    <mergeCell ref="G104:G105"/>
    <mergeCell ref="H104:H105"/>
    <mergeCell ref="I104:I105"/>
    <mergeCell ref="O47:P47"/>
    <mergeCell ref="Q47:Q48"/>
    <mergeCell ref="A23:A24"/>
    <mergeCell ref="B23:B24"/>
    <mergeCell ref="C23:K23"/>
    <mergeCell ref="L23:M23"/>
    <mergeCell ref="A46:Q46"/>
    <mergeCell ref="I171:I172"/>
    <mergeCell ref="K171:L171"/>
    <mergeCell ref="M171:M172"/>
    <mergeCell ref="N171:N172"/>
    <mergeCell ref="A1:K1"/>
    <mergeCell ref="A2:A3"/>
    <mergeCell ref="B2:B3"/>
    <mergeCell ref="C2:I2"/>
    <mergeCell ref="J2:K2"/>
    <mergeCell ref="A47:A48"/>
    <mergeCell ref="B47:B48"/>
    <mergeCell ref="C47:N47"/>
    <mergeCell ref="A76:Q76"/>
    <mergeCell ref="A77:A78"/>
    <mergeCell ref="B77:B78"/>
    <mergeCell ref="C77:N77"/>
    <mergeCell ref="E171:E172"/>
    <mergeCell ref="F171:F172"/>
    <mergeCell ref="G171:G172"/>
    <mergeCell ref="H171:H172"/>
    <mergeCell ref="A22:M22"/>
    <mergeCell ref="A169:W169"/>
    <mergeCell ref="A170:A172"/>
    <mergeCell ref="B170:B172"/>
    <mergeCell ref="C170:D171"/>
    <mergeCell ref="E170:I170"/>
    <mergeCell ref="J170:J172"/>
    <mergeCell ref="K170:O170"/>
    <mergeCell ref="P170:P172"/>
    <mergeCell ref="Q170:V171"/>
    <mergeCell ref="W170:W171"/>
    <mergeCell ref="O171:O172"/>
  </mergeCells>
  <phoneticPr fontId="5" type="noConversion"/>
  <dataValidations disablePrompts="1" count="12">
    <dataValidation type="list" allowBlank="1" showInputMessage="1" showErrorMessage="1" sqref="A4" xr:uid="{00000000-0002-0000-0500-000000000000}">
      <formula1>"0.25,0.6,1.0,1.6"</formula1>
    </dataValidation>
    <dataValidation type="list" allowBlank="1" showInputMessage="1" showErrorMessage="1" sqref="B4 B49" xr:uid="{00000000-0002-0000-0500-000001000000}">
      <formula1>"300,350,400,450,500,550,600,650,700,800,900,1000,1100,1200,1300,1400,1500,1600,1700,1800,1900,2000"</formula1>
    </dataValidation>
    <dataValidation type="list" allowBlank="1" showInputMessage="1" showErrorMessage="1" sqref="A25" xr:uid="{00000000-0002-0000-0500-000002000000}">
      <formula1>"0.25,0.6,1.0,1.6,2.5,4.0"</formula1>
    </dataValidation>
    <dataValidation type="list" allowBlank="1" showInputMessage="1" showErrorMessage="1" sqref="B25" xr:uid="{00000000-0002-0000-0500-000003000000}">
      <formula1>"300,350,400,450,500,550,600,650,700,800,900,1000,1100,1200,1300,1400,1500,1600,1700,1800,1900,2000,2200,2400,2600,2800,3000"</formula1>
    </dataValidation>
    <dataValidation type="list" allowBlank="1" showInputMessage="1" showErrorMessage="1" sqref="A49 A79" xr:uid="{00000000-0002-0000-0500-000004000000}">
      <formula1>"0.6,1.0,1.6,2.5,4.0,6.4"</formula1>
    </dataValidation>
    <dataValidation type="list" allowBlank="1" showInputMessage="1" showErrorMessage="1" sqref="B79" xr:uid="{00000000-0002-0000-0500-000005000000}">
      <formula1>"300,400,500,600,700,800,900,1000,1100,1200,1300,1400,1500,1600,1700,1800,1900"</formula1>
    </dataValidation>
    <dataValidation type="list" allowBlank="1" showInputMessage="1" showErrorMessage="1" sqref="A106" xr:uid="{00000000-0002-0000-0500-000006000000}">
      <formula1>"0.25,0.6,1.0,1.6,2.5"</formula1>
    </dataValidation>
    <dataValidation type="list" allowBlank="1" showInputMessage="1" showErrorMessage="1" sqref="B106 B127 B173" xr:uid="{00000000-0002-0000-0500-000007000000}">
      <formula1>"10,15,20,25,32,40,50,65,80,100,125,150,200,250,300,350,400,450,500,600,700,800,900,1000,1200,1400,1600,1800,2000"</formula1>
    </dataValidation>
    <dataValidation type="list" allowBlank="1" showInputMessage="1" showErrorMessage="1" sqref="A127" xr:uid="{00000000-0002-0000-0500-000008000000}">
      <formula1>"0.25,0.6,1.0,1.6,2.5,4.0,6.3,10.0,16.0,25.0"</formula1>
    </dataValidation>
    <dataValidation type="list" allowBlank="1" showInputMessage="1" showErrorMessage="1" sqref="A148" xr:uid="{00000000-0002-0000-0500-000009000000}">
      <formula1>"0.6,1.0,1.6,2.5,4.0"</formula1>
    </dataValidation>
    <dataValidation type="list" allowBlank="1" showInputMessage="1" showErrorMessage="1" sqref="B148" xr:uid="{00000000-0002-0000-0500-00000A000000}">
      <formula1>"10,15,20,25,32,40,50,65,80,100,125,150,200,250,300,350,400,450,500,600"</formula1>
    </dataValidation>
    <dataValidation type="list" allowBlank="1" showInputMessage="1" showErrorMessage="1" sqref="A173" xr:uid="{00000000-0002-0000-0500-00000B000000}">
      <formula1>"1.0,1.6,2.5,4.0,6.3,10.0,16.0,25.0"</formula1>
    </dataValidation>
  </dataValidations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73"/>
  <sheetViews>
    <sheetView topLeftCell="N1" workbookViewId="0">
      <selection activeCell="B3" sqref="B3"/>
    </sheetView>
  </sheetViews>
  <sheetFormatPr defaultRowHeight="15.75"/>
  <cols>
    <col min="2" max="2" width="21.625" customWidth="1"/>
    <col min="3" max="3" width="18.5" customWidth="1"/>
    <col min="5" max="5" width="10.25" customWidth="1"/>
    <col min="6" max="7" width="10" customWidth="1"/>
    <col min="8" max="8" width="34.75" customWidth="1"/>
    <col min="12" max="12" width="17" customWidth="1"/>
    <col min="13" max="13" width="15.75" customWidth="1"/>
    <col min="18" max="18" width="20.875" customWidth="1"/>
    <col min="19" max="19" width="17" customWidth="1"/>
    <col min="22" max="22" width="18.125" customWidth="1"/>
    <col min="23" max="23" width="19.5" customWidth="1"/>
  </cols>
  <sheetData>
    <row r="1" spans="2:26">
      <c r="L1" s="146" t="s">
        <v>1271</v>
      </c>
      <c r="M1" s="146" t="s">
        <v>1267</v>
      </c>
      <c r="N1" s="146" t="s">
        <v>1268</v>
      </c>
      <c r="O1" s="157" t="s">
        <v>1498</v>
      </c>
      <c r="P1" s="155"/>
    </row>
    <row r="2" spans="2:26">
      <c r="L2" s="158" t="s">
        <v>1504</v>
      </c>
      <c r="M2" s="1" t="s">
        <v>1499</v>
      </c>
      <c r="N2" s="1">
        <v>3.8</v>
      </c>
      <c r="O2" s="85">
        <v>190</v>
      </c>
      <c r="P2" s="85">
        <v>105</v>
      </c>
    </row>
    <row r="3" spans="2:26">
      <c r="E3" s="66"/>
      <c r="L3" s="158" t="s">
        <v>1505</v>
      </c>
      <c r="M3" s="1" t="s">
        <v>1500</v>
      </c>
      <c r="N3" s="1">
        <v>8.8000000000000007</v>
      </c>
      <c r="O3" s="85">
        <v>220</v>
      </c>
      <c r="P3" s="85">
        <v>140</v>
      </c>
    </row>
    <row r="4" spans="2:26">
      <c r="E4" s="66"/>
      <c r="L4" s="158" t="s">
        <v>1506</v>
      </c>
      <c r="M4" s="1" t="s">
        <v>1501</v>
      </c>
      <c r="N4" s="1">
        <v>8.8000000000000007</v>
      </c>
      <c r="O4" s="85">
        <v>220</v>
      </c>
      <c r="P4" s="85">
        <v>140</v>
      </c>
    </row>
    <row r="5" spans="2:26">
      <c r="E5" s="66"/>
      <c r="L5" s="158" t="s">
        <v>1507</v>
      </c>
      <c r="M5" s="1" t="s">
        <v>1502</v>
      </c>
      <c r="N5" s="1">
        <v>14.3</v>
      </c>
      <c r="O5" s="85">
        <v>260</v>
      </c>
      <c r="P5" s="85">
        <v>180</v>
      </c>
    </row>
    <row r="6" spans="2:26">
      <c r="B6" s="146" t="s">
        <v>1266</v>
      </c>
      <c r="C6" s="146" t="s">
        <v>1267</v>
      </c>
      <c r="D6" s="147" t="s">
        <v>1268</v>
      </c>
      <c r="E6" s="146" t="s">
        <v>1486</v>
      </c>
      <c r="F6" s="146" t="s">
        <v>1485</v>
      </c>
      <c r="G6" s="146" t="s">
        <v>1487</v>
      </c>
      <c r="H6" s="146" t="s">
        <v>1269</v>
      </c>
      <c r="J6" s="146" t="s">
        <v>1270</v>
      </c>
      <c r="L6" s="158" t="s">
        <v>1508</v>
      </c>
      <c r="M6" s="1" t="s">
        <v>1503</v>
      </c>
      <c r="N6" s="1">
        <v>14.3</v>
      </c>
      <c r="O6" s="85">
        <v>260</v>
      </c>
      <c r="P6" s="85">
        <v>180</v>
      </c>
      <c r="R6" s="146" t="s">
        <v>1272</v>
      </c>
      <c r="S6" s="146" t="s">
        <v>1267</v>
      </c>
      <c r="T6" s="146" t="s">
        <v>1268</v>
      </c>
      <c r="U6" s="148" t="s">
        <v>1273</v>
      </c>
      <c r="V6" s="146" t="s">
        <v>1274</v>
      </c>
      <c r="W6" s="146" t="s">
        <v>1267</v>
      </c>
      <c r="X6" s="146" t="s">
        <v>1268</v>
      </c>
      <c r="Y6" s="159" t="s">
        <v>1516</v>
      </c>
    </row>
    <row r="7" spans="2:26">
      <c r="B7" s="1" t="s">
        <v>1275</v>
      </c>
      <c r="C7" s="1" t="s">
        <v>1276</v>
      </c>
      <c r="D7" s="149">
        <v>47</v>
      </c>
      <c r="E7" s="84"/>
      <c r="F7" s="84"/>
      <c r="G7" s="84"/>
      <c r="H7" s="85">
        <v>7</v>
      </c>
      <c r="J7" s="1">
        <v>1</v>
      </c>
      <c r="L7" s="158" t="s">
        <v>1509</v>
      </c>
      <c r="M7" s="1" t="s">
        <v>1277</v>
      </c>
      <c r="N7" s="1">
        <v>19.2</v>
      </c>
      <c r="O7" s="1">
        <v>280</v>
      </c>
      <c r="P7" s="1">
        <v>200</v>
      </c>
      <c r="R7" s="1" t="s">
        <v>1278</v>
      </c>
      <c r="S7" s="1" t="s">
        <v>1279</v>
      </c>
      <c r="T7" s="1">
        <v>1.7</v>
      </c>
      <c r="U7" s="48">
        <v>6</v>
      </c>
      <c r="V7" s="1" t="s">
        <v>1280</v>
      </c>
      <c r="W7" s="1" t="s">
        <v>1281</v>
      </c>
      <c r="X7" s="1">
        <v>8.1999999999999993</v>
      </c>
    </row>
    <row r="8" spans="2:26">
      <c r="B8" s="1" t="s">
        <v>1282</v>
      </c>
      <c r="C8" s="1" t="s">
        <v>1276</v>
      </c>
      <c r="D8" s="149">
        <v>51</v>
      </c>
      <c r="E8" s="84"/>
      <c r="F8" s="84"/>
      <c r="G8" s="84"/>
      <c r="H8" s="85">
        <v>7</v>
      </c>
      <c r="J8" s="1">
        <v>1</v>
      </c>
      <c r="L8" s="158" t="s">
        <v>1510</v>
      </c>
      <c r="M8" s="1" t="s">
        <v>1277</v>
      </c>
      <c r="N8" s="1">
        <v>19.2</v>
      </c>
      <c r="O8" s="1">
        <v>280</v>
      </c>
      <c r="P8" s="1">
        <v>200</v>
      </c>
      <c r="R8" s="1" t="s">
        <v>1283</v>
      </c>
      <c r="S8" s="1" t="s">
        <v>1279</v>
      </c>
      <c r="T8" s="1">
        <v>3</v>
      </c>
      <c r="U8" s="48">
        <v>6</v>
      </c>
      <c r="V8" s="1" t="s">
        <v>1284</v>
      </c>
      <c r="W8" s="1" t="s">
        <v>1281</v>
      </c>
      <c r="X8" s="1">
        <v>15.8</v>
      </c>
    </row>
    <row r="9" spans="2:26">
      <c r="B9" s="1" t="s">
        <v>1285</v>
      </c>
      <c r="C9" s="1" t="s">
        <v>1276</v>
      </c>
      <c r="D9" s="149">
        <v>56</v>
      </c>
      <c r="E9" s="84"/>
      <c r="F9" s="84"/>
      <c r="G9" s="84"/>
      <c r="H9" s="85">
        <v>7</v>
      </c>
      <c r="J9" s="1">
        <v>1</v>
      </c>
      <c r="L9" s="158" t="s">
        <v>1511</v>
      </c>
      <c r="M9" s="1" t="s">
        <v>1277</v>
      </c>
      <c r="N9" s="1">
        <v>25.4</v>
      </c>
      <c r="O9" s="1">
        <v>300</v>
      </c>
      <c r="P9" s="1">
        <v>220</v>
      </c>
      <c r="R9" s="1" t="s">
        <v>1286</v>
      </c>
      <c r="S9" s="1" t="s">
        <v>1279</v>
      </c>
      <c r="T9" s="1">
        <v>6</v>
      </c>
      <c r="U9" s="48">
        <v>8</v>
      </c>
      <c r="V9" s="1" t="s">
        <v>1287</v>
      </c>
      <c r="W9" s="1" t="s">
        <v>1281</v>
      </c>
      <c r="X9" s="1">
        <v>28.9</v>
      </c>
    </row>
    <row r="10" spans="2:26">
      <c r="B10" s="1" t="s">
        <v>1288</v>
      </c>
      <c r="C10" s="1" t="s">
        <v>1276</v>
      </c>
      <c r="D10" s="149">
        <v>74</v>
      </c>
      <c r="E10" s="84"/>
      <c r="F10" s="84"/>
      <c r="G10" s="84"/>
      <c r="H10" s="85">
        <v>9</v>
      </c>
      <c r="J10" s="1">
        <v>1</v>
      </c>
      <c r="L10" s="158" t="s">
        <v>1512</v>
      </c>
      <c r="M10" s="1" t="s">
        <v>1277</v>
      </c>
      <c r="N10" s="1">
        <v>25.4</v>
      </c>
      <c r="O10" s="1">
        <v>300</v>
      </c>
      <c r="P10" s="1">
        <v>220</v>
      </c>
      <c r="R10" s="1" t="s">
        <v>1289</v>
      </c>
      <c r="S10" s="1" t="s">
        <v>1279</v>
      </c>
      <c r="T10" s="1">
        <v>11.1</v>
      </c>
      <c r="U10" s="48">
        <v>8</v>
      </c>
      <c r="V10" s="1" t="s">
        <v>1290</v>
      </c>
      <c r="W10" s="1" t="s">
        <v>1281</v>
      </c>
      <c r="X10" s="1">
        <v>40.299999999999997</v>
      </c>
    </row>
    <row r="11" spans="2:26">
      <c r="B11" s="1" t="s">
        <v>1291</v>
      </c>
      <c r="C11" s="1" t="s">
        <v>1276</v>
      </c>
      <c r="D11" s="149">
        <v>80</v>
      </c>
      <c r="E11" s="84"/>
      <c r="F11" s="84"/>
      <c r="G11" s="84"/>
      <c r="H11" s="85">
        <v>9</v>
      </c>
      <c r="J11" s="1">
        <v>1</v>
      </c>
      <c r="L11" s="158" t="s">
        <v>1513</v>
      </c>
      <c r="M11" s="1" t="s">
        <v>1277</v>
      </c>
      <c r="N11" s="1">
        <v>30.6</v>
      </c>
      <c r="O11" s="1">
        <v>320</v>
      </c>
      <c r="P11" s="1">
        <v>240</v>
      </c>
      <c r="R11" s="1" t="s">
        <v>1292</v>
      </c>
      <c r="S11" s="1" t="s">
        <v>1279</v>
      </c>
      <c r="T11" s="1">
        <v>21.6</v>
      </c>
      <c r="U11" s="48">
        <v>10</v>
      </c>
      <c r="V11" s="1" t="s">
        <v>1293</v>
      </c>
      <c r="W11" s="1" t="s">
        <v>1281</v>
      </c>
      <c r="X11" s="1">
        <v>67.2</v>
      </c>
    </row>
    <row r="12" spans="2:26">
      <c r="B12" s="1" t="s">
        <v>1294</v>
      </c>
      <c r="C12" s="1" t="s">
        <v>1276</v>
      </c>
      <c r="D12" s="149">
        <v>109</v>
      </c>
      <c r="E12" s="84"/>
      <c r="F12" s="84"/>
      <c r="G12" s="84"/>
      <c r="H12" s="85">
        <v>12</v>
      </c>
      <c r="J12" s="1">
        <v>1</v>
      </c>
      <c r="L12" s="158" t="s">
        <v>1514</v>
      </c>
      <c r="M12" s="1" t="s">
        <v>1277</v>
      </c>
      <c r="N12" s="1">
        <v>30.6</v>
      </c>
      <c r="O12" s="1">
        <v>320</v>
      </c>
      <c r="P12" s="1">
        <v>240</v>
      </c>
      <c r="R12" s="1" t="s">
        <v>1295</v>
      </c>
      <c r="S12" s="1" t="s">
        <v>1279</v>
      </c>
      <c r="T12" s="1">
        <v>42.7</v>
      </c>
      <c r="U12" s="48">
        <v>12</v>
      </c>
      <c r="V12" s="1" t="s">
        <v>1296</v>
      </c>
      <c r="W12" s="1" t="s">
        <v>1281</v>
      </c>
      <c r="X12" s="1">
        <v>90.1</v>
      </c>
    </row>
    <row r="13" spans="2:26">
      <c r="B13" s="1" t="s">
        <v>1297</v>
      </c>
      <c r="C13" s="1" t="s">
        <v>1276</v>
      </c>
      <c r="D13" s="149">
        <v>116</v>
      </c>
      <c r="E13" s="84"/>
      <c r="F13" s="84"/>
      <c r="G13" s="84"/>
      <c r="H13" s="85">
        <v>12</v>
      </c>
      <c r="J13" s="1">
        <v>1</v>
      </c>
      <c r="L13" s="158" t="s">
        <v>1515</v>
      </c>
      <c r="M13" s="1" t="s">
        <v>1277</v>
      </c>
      <c r="N13" s="1">
        <v>44.5</v>
      </c>
      <c r="O13" s="1">
        <v>320</v>
      </c>
      <c r="P13" s="1">
        <v>240</v>
      </c>
      <c r="R13" s="1" t="s">
        <v>1298</v>
      </c>
      <c r="S13" s="1" t="s">
        <v>1279</v>
      </c>
      <c r="T13" s="1">
        <v>69.8</v>
      </c>
      <c r="U13" s="48">
        <v>14</v>
      </c>
      <c r="V13" s="158" t="s">
        <v>1517</v>
      </c>
      <c r="W13" s="1" t="s">
        <v>1281</v>
      </c>
      <c r="X13" s="1">
        <v>4.8</v>
      </c>
      <c r="Y13" s="160">
        <v>120</v>
      </c>
      <c r="Z13" s="160">
        <v>6</v>
      </c>
    </row>
    <row r="14" spans="2:26">
      <c r="B14" s="1" t="s">
        <v>1299</v>
      </c>
      <c r="C14" s="1" t="s">
        <v>1276</v>
      </c>
      <c r="D14" s="149">
        <v>122</v>
      </c>
      <c r="E14" s="84"/>
      <c r="F14" s="84"/>
      <c r="G14" s="84"/>
      <c r="H14" s="85">
        <v>12</v>
      </c>
      <c r="J14" s="1">
        <v>1</v>
      </c>
      <c r="L14" s="1" t="s">
        <v>1300</v>
      </c>
      <c r="M14" s="1" t="s">
        <v>1277</v>
      </c>
      <c r="N14" s="1">
        <v>9.8000000000000007</v>
      </c>
      <c r="O14" s="68"/>
      <c r="P14" s="68"/>
      <c r="R14" s="1" t="s">
        <v>1301</v>
      </c>
      <c r="S14" s="1" t="s">
        <v>1279</v>
      </c>
      <c r="T14" s="1">
        <v>123.9</v>
      </c>
      <c r="U14" s="48">
        <v>16</v>
      </c>
      <c r="V14" s="158" t="s">
        <v>1518</v>
      </c>
      <c r="W14" s="1" t="s">
        <v>1281</v>
      </c>
      <c r="X14" s="1">
        <v>6.8</v>
      </c>
      <c r="Y14" s="160">
        <v>150</v>
      </c>
      <c r="Z14" s="160">
        <v>8</v>
      </c>
    </row>
    <row r="15" spans="2:26">
      <c r="B15" s="1" t="s">
        <v>1302</v>
      </c>
      <c r="C15" s="1" t="s">
        <v>1276</v>
      </c>
      <c r="D15" s="149">
        <v>162</v>
      </c>
      <c r="E15" s="84"/>
      <c r="F15" s="84"/>
      <c r="G15" s="84"/>
      <c r="H15" s="85">
        <v>16</v>
      </c>
      <c r="J15" s="1">
        <v>1</v>
      </c>
      <c r="L15" s="1" t="s">
        <v>1303</v>
      </c>
      <c r="M15" s="1" t="s">
        <v>1277</v>
      </c>
      <c r="N15" s="1">
        <v>16.399999999999999</v>
      </c>
      <c r="O15" s="68"/>
      <c r="P15" s="68"/>
      <c r="R15" s="1" t="s">
        <v>1304</v>
      </c>
      <c r="S15" s="1" t="s">
        <v>1279</v>
      </c>
      <c r="T15" s="1">
        <v>2.5</v>
      </c>
      <c r="U15" s="48">
        <v>6</v>
      </c>
      <c r="V15" s="158" t="s">
        <v>1519</v>
      </c>
      <c r="W15" s="1" t="s">
        <v>1281</v>
      </c>
      <c r="X15" s="1">
        <v>13.8</v>
      </c>
      <c r="Y15" s="160">
        <v>220</v>
      </c>
      <c r="Z15" s="160">
        <v>8</v>
      </c>
    </row>
    <row r="16" spans="2:26">
      <c r="B16" s="1" t="s">
        <v>1305</v>
      </c>
      <c r="C16" s="1" t="s">
        <v>1276</v>
      </c>
      <c r="D16" s="149">
        <v>171</v>
      </c>
      <c r="E16" s="84"/>
      <c r="F16" s="84"/>
      <c r="G16" s="84"/>
      <c r="H16" s="85">
        <v>16</v>
      </c>
      <c r="J16" s="1">
        <v>1</v>
      </c>
      <c r="L16" s="1" t="s">
        <v>1306</v>
      </c>
      <c r="M16" s="1" t="s">
        <v>1277</v>
      </c>
      <c r="N16" s="1">
        <v>20.6</v>
      </c>
      <c r="O16" s="68"/>
      <c r="P16" s="68"/>
      <c r="R16" s="1" t="s">
        <v>1307</v>
      </c>
      <c r="S16" s="1" t="s">
        <v>1279</v>
      </c>
      <c r="T16" s="1">
        <v>4.3</v>
      </c>
      <c r="U16" s="48">
        <v>6</v>
      </c>
      <c r="V16" s="158" t="s">
        <v>1520</v>
      </c>
      <c r="W16" s="1" t="s">
        <v>1281</v>
      </c>
      <c r="X16" s="1">
        <v>26.6</v>
      </c>
      <c r="Y16" s="156">
        <v>290</v>
      </c>
      <c r="Z16" s="68">
        <v>10</v>
      </c>
    </row>
    <row r="17" spans="1:26">
      <c r="B17" s="1" t="s">
        <v>1308</v>
      </c>
      <c r="C17" s="1" t="s">
        <v>1276</v>
      </c>
      <c r="D17" s="149">
        <v>160</v>
      </c>
      <c r="E17" s="84"/>
      <c r="F17" s="84"/>
      <c r="G17" s="84"/>
      <c r="H17" s="85">
        <v>17</v>
      </c>
      <c r="J17" s="1">
        <v>1</v>
      </c>
      <c r="L17" s="1" t="s">
        <v>1309</v>
      </c>
      <c r="M17" s="1" t="s">
        <v>1277</v>
      </c>
      <c r="N17" s="1">
        <v>31.9</v>
      </c>
      <c r="O17" s="68"/>
      <c r="P17" s="68"/>
      <c r="R17" s="1" t="s">
        <v>1310</v>
      </c>
      <c r="S17" s="1" t="s">
        <v>1279</v>
      </c>
      <c r="T17" s="1">
        <v>8.3000000000000007</v>
      </c>
      <c r="U17" s="48">
        <v>8</v>
      </c>
      <c r="V17" s="158" t="s">
        <v>1521</v>
      </c>
      <c r="W17" s="1" t="s">
        <v>1281</v>
      </c>
      <c r="X17" s="1">
        <v>47</v>
      </c>
      <c r="Y17" s="156">
        <v>360</v>
      </c>
      <c r="Z17" s="68">
        <v>12</v>
      </c>
    </row>
    <row r="18" spans="1:26">
      <c r="B18" s="1" t="s">
        <v>1311</v>
      </c>
      <c r="C18" s="1" t="s">
        <v>1276</v>
      </c>
      <c r="D18" s="149">
        <v>196</v>
      </c>
      <c r="E18" s="84"/>
      <c r="F18" s="84"/>
      <c r="G18" s="84"/>
      <c r="H18" s="85">
        <v>19</v>
      </c>
      <c r="J18" s="1">
        <v>1</v>
      </c>
      <c r="L18" s="1" t="s">
        <v>1312</v>
      </c>
      <c r="M18" s="1" t="s">
        <v>1277</v>
      </c>
      <c r="N18" s="1">
        <v>43.5</v>
      </c>
      <c r="O18" s="68"/>
      <c r="P18" s="68"/>
      <c r="R18" s="1" t="s">
        <v>1313</v>
      </c>
      <c r="S18" s="1" t="s">
        <v>1279</v>
      </c>
      <c r="T18" s="1">
        <v>15.7</v>
      </c>
      <c r="U18" s="48">
        <v>8</v>
      </c>
      <c r="V18" s="158" t="s">
        <v>1522</v>
      </c>
      <c r="W18" s="1" t="s">
        <v>1281</v>
      </c>
      <c r="X18" s="1">
        <v>67.3</v>
      </c>
      <c r="Y18" s="156">
        <v>420</v>
      </c>
      <c r="Z18" s="68">
        <v>14</v>
      </c>
    </row>
    <row r="19" spans="1:26">
      <c r="B19" s="1" t="s">
        <v>1314</v>
      </c>
      <c r="C19" s="1" t="s">
        <v>1276</v>
      </c>
      <c r="D19" s="149">
        <v>205</v>
      </c>
      <c r="E19" s="84"/>
      <c r="F19" s="84"/>
      <c r="G19" s="84"/>
      <c r="H19" s="85">
        <v>19</v>
      </c>
      <c r="J19" s="1">
        <v>1</v>
      </c>
      <c r="L19" s="1" t="s">
        <v>1315</v>
      </c>
      <c r="M19" s="1" t="s">
        <v>1277</v>
      </c>
      <c r="N19" s="1">
        <v>45</v>
      </c>
      <c r="O19" s="68"/>
      <c r="P19" s="68"/>
      <c r="R19" s="1" t="s">
        <v>1316</v>
      </c>
      <c r="S19" s="1" t="s">
        <v>1279</v>
      </c>
      <c r="T19" s="1">
        <v>28.7</v>
      </c>
      <c r="U19" s="48">
        <v>10</v>
      </c>
      <c r="V19" s="158" t="s">
        <v>1523</v>
      </c>
      <c r="W19" s="1" t="s">
        <v>1281</v>
      </c>
      <c r="X19" s="1">
        <v>95.5</v>
      </c>
      <c r="Y19" s="156">
        <v>490</v>
      </c>
      <c r="Z19" s="68">
        <v>16</v>
      </c>
    </row>
    <row r="20" spans="1:26">
      <c r="B20" s="1" t="s">
        <v>1317</v>
      </c>
      <c r="C20" s="1" t="s">
        <v>1276</v>
      </c>
      <c r="D20" s="149">
        <v>215</v>
      </c>
      <c r="E20" s="84"/>
      <c r="F20" s="84"/>
      <c r="G20" s="84"/>
      <c r="H20" s="85">
        <v>20</v>
      </c>
      <c r="J20" s="1">
        <v>1</v>
      </c>
      <c r="L20" s="1" t="s">
        <v>1318</v>
      </c>
      <c r="M20" s="1" t="s">
        <v>1277</v>
      </c>
      <c r="N20" s="1">
        <v>46.1</v>
      </c>
      <c r="O20" s="68"/>
      <c r="P20" s="68"/>
      <c r="R20" s="1" t="s">
        <v>1319</v>
      </c>
      <c r="S20" s="1" t="s">
        <v>1279</v>
      </c>
      <c r="T20" s="1">
        <v>53.9</v>
      </c>
      <c r="U20" s="48">
        <v>12</v>
      </c>
      <c r="V20" s="158" t="s">
        <v>1524</v>
      </c>
      <c r="W20" s="1" t="s">
        <v>1281</v>
      </c>
      <c r="X20" s="1">
        <v>124.2</v>
      </c>
      <c r="Y20" s="156">
        <v>550</v>
      </c>
      <c r="Z20" s="68">
        <v>18</v>
      </c>
    </row>
    <row r="21" spans="1:26">
      <c r="B21" s="1" t="s">
        <v>1320</v>
      </c>
      <c r="C21" s="1" t="s">
        <v>1276</v>
      </c>
      <c r="D21" s="149">
        <v>234</v>
      </c>
      <c r="E21" s="84"/>
      <c r="F21" s="84"/>
      <c r="G21" s="84"/>
      <c r="H21" s="85">
        <v>23</v>
      </c>
      <c r="J21" s="1">
        <v>1</v>
      </c>
      <c r="L21" s="1" t="s">
        <v>1321</v>
      </c>
      <c r="M21" s="1" t="s">
        <v>1277</v>
      </c>
      <c r="N21" s="1">
        <v>53</v>
      </c>
      <c r="O21" s="68"/>
      <c r="P21" s="68"/>
      <c r="R21" s="1" t="s">
        <v>1322</v>
      </c>
      <c r="S21" s="1" t="s">
        <v>1279</v>
      </c>
      <c r="T21" s="1">
        <v>85.2</v>
      </c>
      <c r="U21" s="48">
        <v>14</v>
      </c>
    </row>
    <row r="22" spans="1:26">
      <c r="B22" s="1" t="s">
        <v>1323</v>
      </c>
      <c r="C22" s="1" t="s">
        <v>1276</v>
      </c>
      <c r="D22" s="149">
        <v>298</v>
      </c>
      <c r="E22" s="84"/>
      <c r="F22" s="84"/>
      <c r="G22" s="84"/>
      <c r="H22" s="85">
        <v>26</v>
      </c>
      <c r="J22" s="1">
        <v>1</v>
      </c>
      <c r="L22" s="1" t="s">
        <v>1324</v>
      </c>
      <c r="M22" s="1" t="s">
        <v>1277</v>
      </c>
      <c r="N22" s="1">
        <v>76.400000000000006</v>
      </c>
      <c r="O22" s="68"/>
      <c r="P22" s="68"/>
      <c r="R22" s="1" t="s">
        <v>1325</v>
      </c>
      <c r="S22" s="1" t="s">
        <v>1279</v>
      </c>
      <c r="T22" s="1">
        <v>146</v>
      </c>
      <c r="U22" s="48">
        <v>16</v>
      </c>
    </row>
    <row r="23" spans="1:26">
      <c r="B23" s="1" t="s">
        <v>1326</v>
      </c>
      <c r="C23" s="1" t="s">
        <v>1276</v>
      </c>
      <c r="D23" s="149">
        <v>324</v>
      </c>
      <c r="E23" s="84"/>
      <c r="F23" s="84"/>
      <c r="G23" s="84"/>
      <c r="H23" s="85">
        <v>28</v>
      </c>
      <c r="J23" s="1">
        <v>1</v>
      </c>
      <c r="L23" s="1" t="s">
        <v>1327</v>
      </c>
      <c r="M23" s="1" t="s">
        <v>1277</v>
      </c>
      <c r="N23" s="1">
        <v>86.5</v>
      </c>
      <c r="O23" s="68"/>
      <c r="P23" s="68"/>
      <c r="R23" s="1" t="s">
        <v>1328</v>
      </c>
      <c r="S23" s="1" t="s">
        <v>1279</v>
      </c>
      <c r="T23" s="1">
        <v>6.2</v>
      </c>
      <c r="U23" s="48">
        <v>6</v>
      </c>
      <c r="V23" s="68"/>
      <c r="W23" s="68"/>
      <c r="X23" s="68"/>
    </row>
    <row r="24" spans="1:26">
      <c r="B24" s="1" t="s">
        <v>1329</v>
      </c>
      <c r="C24" s="1" t="s">
        <v>1276</v>
      </c>
      <c r="D24" s="149">
        <v>462</v>
      </c>
      <c r="E24" s="84"/>
      <c r="F24" s="84"/>
      <c r="G24" s="84"/>
      <c r="H24" s="85">
        <v>34</v>
      </c>
      <c r="J24" s="1">
        <v>1</v>
      </c>
      <c r="L24" s="1" t="s">
        <v>1330</v>
      </c>
      <c r="M24" s="1" t="s">
        <v>1277</v>
      </c>
      <c r="N24" s="1">
        <v>108</v>
      </c>
      <c r="O24" s="68"/>
      <c r="P24" s="68"/>
      <c r="R24" s="1" t="s">
        <v>1331</v>
      </c>
      <c r="S24" s="1" t="s">
        <v>1279</v>
      </c>
      <c r="T24" s="1">
        <v>9</v>
      </c>
      <c r="U24" s="48">
        <v>6</v>
      </c>
      <c r="V24" s="68"/>
      <c r="W24" s="68"/>
      <c r="X24" s="68"/>
    </row>
    <row r="25" spans="1:26">
      <c r="B25" s="1" t="s">
        <v>1332</v>
      </c>
      <c r="C25" s="1" t="s">
        <v>1276</v>
      </c>
      <c r="D25" s="149">
        <v>492</v>
      </c>
      <c r="E25" s="84"/>
      <c r="F25" s="84"/>
      <c r="G25" s="84"/>
      <c r="H25" s="85">
        <v>35</v>
      </c>
      <c r="J25" s="1">
        <v>1</v>
      </c>
      <c r="L25" s="1" t="s">
        <v>1333</v>
      </c>
      <c r="M25" s="1" t="s">
        <v>1277</v>
      </c>
      <c r="N25" s="1">
        <v>113</v>
      </c>
      <c r="O25" s="68"/>
      <c r="P25" s="68"/>
      <c r="R25" s="1" t="s">
        <v>1334</v>
      </c>
      <c r="S25" s="1" t="s">
        <v>1279</v>
      </c>
      <c r="T25" s="1">
        <v>16.100000000000001</v>
      </c>
      <c r="U25" s="48">
        <v>8</v>
      </c>
      <c r="V25" s="68"/>
      <c r="W25" s="68"/>
      <c r="X25" s="68"/>
    </row>
    <row r="26" spans="1:26">
      <c r="B26" s="1" t="s">
        <v>1335</v>
      </c>
      <c r="C26" s="1" t="s">
        <v>1276</v>
      </c>
      <c r="D26" s="149">
        <v>559</v>
      </c>
      <c r="E26" s="84"/>
      <c r="F26" s="84"/>
      <c r="G26" s="84"/>
      <c r="H26" s="85">
        <v>41</v>
      </c>
      <c r="J26" s="1">
        <v>1</v>
      </c>
      <c r="L26" s="1" t="s">
        <v>1336</v>
      </c>
      <c r="M26" s="1" t="s">
        <v>1277</v>
      </c>
      <c r="N26" s="1">
        <v>125</v>
      </c>
      <c r="O26" s="68"/>
      <c r="P26" s="68"/>
      <c r="R26" s="1" t="s">
        <v>1337</v>
      </c>
      <c r="S26" s="1" t="s">
        <v>1279</v>
      </c>
      <c r="T26" s="1">
        <v>28.9</v>
      </c>
      <c r="U26" s="48">
        <v>8</v>
      </c>
      <c r="V26" s="68"/>
      <c r="W26" s="68"/>
      <c r="X26" s="68"/>
    </row>
    <row r="27" spans="1:26">
      <c r="B27" s="1" t="s">
        <v>1338</v>
      </c>
      <c r="C27" s="1" t="s">
        <v>1276</v>
      </c>
      <c r="D27" s="1">
        <v>594</v>
      </c>
      <c r="E27" s="84"/>
      <c r="F27" s="84"/>
      <c r="G27" s="84"/>
      <c r="H27" s="85">
        <v>43</v>
      </c>
      <c r="J27" s="1">
        <v>1</v>
      </c>
      <c r="L27" s="1" t="s">
        <v>1339</v>
      </c>
      <c r="M27" s="1" t="s">
        <v>1277</v>
      </c>
      <c r="N27" s="1">
        <v>147</v>
      </c>
      <c r="O27" s="68"/>
      <c r="P27" s="68"/>
      <c r="R27" s="1" t="s">
        <v>1340</v>
      </c>
      <c r="S27" s="1" t="s">
        <v>1279</v>
      </c>
      <c r="T27" s="1">
        <v>47.8</v>
      </c>
      <c r="U27" s="48">
        <v>10</v>
      </c>
      <c r="V27" s="68"/>
      <c r="W27" s="68"/>
      <c r="X27" s="68"/>
    </row>
    <row r="28" spans="1:26">
      <c r="B28" s="1" t="s">
        <v>1341</v>
      </c>
      <c r="C28" s="1" t="s">
        <v>1276</v>
      </c>
      <c r="D28" s="1">
        <v>650</v>
      </c>
      <c r="E28" s="84"/>
      <c r="F28" s="84"/>
      <c r="G28" s="84"/>
      <c r="H28" s="85">
        <v>47</v>
      </c>
      <c r="J28" s="1">
        <v>1</v>
      </c>
      <c r="L28" s="1" t="s">
        <v>1342</v>
      </c>
      <c r="M28" s="1" t="s">
        <v>1277</v>
      </c>
      <c r="N28" s="1">
        <v>198</v>
      </c>
      <c r="O28" s="68"/>
      <c r="P28" s="68"/>
      <c r="R28" s="1" t="s">
        <v>1343</v>
      </c>
      <c r="S28" s="1" t="s">
        <v>1279</v>
      </c>
      <c r="T28" s="1">
        <v>74.8</v>
      </c>
      <c r="U28" s="48">
        <v>12</v>
      </c>
      <c r="V28" s="68"/>
      <c r="W28" s="68"/>
      <c r="X28" s="68"/>
    </row>
    <row r="29" spans="1:26">
      <c r="A29" s="151"/>
      <c r="B29" s="1" t="s">
        <v>1344</v>
      </c>
      <c r="C29" s="1" t="s">
        <v>1276</v>
      </c>
      <c r="D29" s="1">
        <v>687</v>
      </c>
      <c r="E29" s="84"/>
      <c r="F29" s="84"/>
      <c r="G29" s="84"/>
      <c r="H29" s="85">
        <v>49</v>
      </c>
      <c r="J29" s="1">
        <v>1</v>
      </c>
      <c r="L29" s="1" t="s">
        <v>1345</v>
      </c>
      <c r="M29" s="1" t="s">
        <v>1277</v>
      </c>
      <c r="N29" s="1"/>
      <c r="O29" s="68"/>
      <c r="P29" s="68"/>
      <c r="R29" s="1" t="s">
        <v>1346</v>
      </c>
      <c r="S29" s="1" t="s">
        <v>1279</v>
      </c>
      <c r="T29" s="1">
        <v>114.6</v>
      </c>
      <c r="U29" s="48">
        <v>14</v>
      </c>
      <c r="V29" s="68"/>
      <c r="W29" s="68"/>
      <c r="X29" s="68"/>
    </row>
    <row r="30" spans="1:26">
      <c r="B30" s="1" t="s">
        <v>1347</v>
      </c>
      <c r="C30" s="1" t="s">
        <v>1276</v>
      </c>
      <c r="D30" s="1">
        <v>6</v>
      </c>
      <c r="E30" s="85">
        <v>180</v>
      </c>
      <c r="F30" s="85">
        <v>130</v>
      </c>
      <c r="G30" s="85">
        <v>6</v>
      </c>
      <c r="H30" s="85">
        <v>2</v>
      </c>
      <c r="J30" s="1">
        <v>1</v>
      </c>
      <c r="L30" s="1" t="s">
        <v>1348</v>
      </c>
      <c r="M30" s="1" t="s">
        <v>1277</v>
      </c>
      <c r="N30" s="1"/>
      <c r="O30" s="68"/>
      <c r="P30" s="68"/>
      <c r="R30" s="1" t="s">
        <v>1349</v>
      </c>
      <c r="S30" s="1" t="s">
        <v>1279</v>
      </c>
      <c r="T30" s="1">
        <v>181.3</v>
      </c>
      <c r="U30" s="48">
        <v>16</v>
      </c>
      <c r="V30" s="68"/>
      <c r="W30" s="68"/>
      <c r="X30" s="68"/>
    </row>
    <row r="31" spans="1:26">
      <c r="B31" s="1" t="s">
        <v>1350</v>
      </c>
      <c r="C31" s="1" t="s">
        <v>1276</v>
      </c>
      <c r="D31" s="1">
        <v>7</v>
      </c>
      <c r="E31" s="85">
        <v>250</v>
      </c>
      <c r="F31" s="85">
        <v>150</v>
      </c>
      <c r="G31" s="85">
        <v>6</v>
      </c>
      <c r="H31" s="85">
        <v>2</v>
      </c>
      <c r="J31" s="1">
        <v>1</v>
      </c>
      <c r="L31" s="1" t="s">
        <v>1351</v>
      </c>
      <c r="M31" s="1" t="s">
        <v>1277</v>
      </c>
      <c r="N31" s="1"/>
      <c r="O31" s="68"/>
      <c r="P31" s="68"/>
      <c r="R31" s="150"/>
    </row>
    <row r="32" spans="1:26">
      <c r="B32" s="1" t="s">
        <v>1352</v>
      </c>
      <c r="C32" s="1" t="s">
        <v>1276</v>
      </c>
      <c r="D32" s="1">
        <v>9</v>
      </c>
      <c r="E32" s="85">
        <v>320</v>
      </c>
      <c r="F32" s="85">
        <v>170</v>
      </c>
      <c r="G32" s="85">
        <v>6</v>
      </c>
      <c r="H32" s="85">
        <v>2</v>
      </c>
      <c r="J32" s="1">
        <v>1</v>
      </c>
      <c r="L32" s="1" t="s">
        <v>1353</v>
      </c>
      <c r="M32" s="1" t="s">
        <v>1277</v>
      </c>
      <c r="N32" s="1"/>
      <c r="O32" s="68"/>
      <c r="P32" s="68"/>
    </row>
    <row r="33" spans="2:18">
      <c r="B33" s="1" t="s">
        <v>1354</v>
      </c>
      <c r="C33" s="1" t="s">
        <v>1276</v>
      </c>
      <c r="D33" s="1">
        <v>11</v>
      </c>
      <c r="E33" s="85">
        <v>380</v>
      </c>
      <c r="F33" s="85">
        <v>180</v>
      </c>
      <c r="G33" s="85">
        <v>6</v>
      </c>
      <c r="H33" s="85">
        <v>2</v>
      </c>
      <c r="J33" s="1">
        <v>1</v>
      </c>
      <c r="L33" s="1" t="s">
        <v>1355</v>
      </c>
      <c r="M33" s="1" t="s">
        <v>1277</v>
      </c>
      <c r="N33" s="1"/>
      <c r="O33" s="68"/>
      <c r="P33" s="68"/>
    </row>
    <row r="34" spans="2:18">
      <c r="B34" s="1" t="s">
        <v>1356</v>
      </c>
      <c r="C34" s="1" t="s">
        <v>1276</v>
      </c>
      <c r="D34" s="1">
        <v>13</v>
      </c>
      <c r="E34" s="85">
        <v>440</v>
      </c>
      <c r="F34" s="85">
        <v>200</v>
      </c>
      <c r="G34" s="85">
        <v>6</v>
      </c>
      <c r="H34" s="85">
        <v>3</v>
      </c>
      <c r="J34" s="1">
        <v>1</v>
      </c>
      <c r="L34" s="1" t="s">
        <v>1357</v>
      </c>
      <c r="M34" s="1" t="s">
        <v>1277</v>
      </c>
      <c r="N34" s="1"/>
      <c r="O34" s="68"/>
      <c r="P34" s="68"/>
    </row>
    <row r="35" spans="2:18">
      <c r="B35" s="1" t="s">
        <v>1358</v>
      </c>
      <c r="C35" s="1" t="s">
        <v>1276</v>
      </c>
      <c r="D35" s="1">
        <v>14</v>
      </c>
      <c r="E35" s="85">
        <v>490</v>
      </c>
      <c r="F35" s="85">
        <v>210</v>
      </c>
      <c r="G35" s="85">
        <v>6</v>
      </c>
      <c r="H35" s="85">
        <v>3</v>
      </c>
      <c r="J35" s="1">
        <v>1</v>
      </c>
      <c r="L35" s="1" t="s">
        <v>1359</v>
      </c>
      <c r="M35" s="1" t="s">
        <v>1277</v>
      </c>
      <c r="N35" s="1"/>
      <c r="O35" s="68"/>
      <c r="P35" s="68"/>
    </row>
    <row r="36" spans="2:18">
      <c r="B36" s="1" t="s">
        <v>1360</v>
      </c>
      <c r="C36" s="1" t="s">
        <v>1276</v>
      </c>
      <c r="D36" s="1">
        <v>10</v>
      </c>
      <c r="E36" s="85">
        <v>350</v>
      </c>
      <c r="F36" s="85">
        <v>170</v>
      </c>
      <c r="G36" s="85">
        <v>6</v>
      </c>
      <c r="H36" s="85">
        <v>2</v>
      </c>
      <c r="J36" s="1">
        <v>1</v>
      </c>
      <c r="L36" s="1" t="s">
        <v>1361</v>
      </c>
      <c r="M36" s="1" t="s">
        <v>1277</v>
      </c>
      <c r="N36" s="1"/>
      <c r="O36" s="68"/>
      <c r="P36" s="68"/>
    </row>
    <row r="37" spans="2:18">
      <c r="B37" s="1" t="s">
        <v>1362</v>
      </c>
      <c r="C37" s="1" t="s">
        <v>1276</v>
      </c>
      <c r="D37" s="1">
        <v>12</v>
      </c>
      <c r="E37" s="85">
        <v>410</v>
      </c>
      <c r="F37" s="85">
        <v>190</v>
      </c>
      <c r="G37" s="85">
        <v>6</v>
      </c>
      <c r="H37" s="85">
        <v>3</v>
      </c>
      <c r="J37" s="1">
        <v>1</v>
      </c>
      <c r="L37" s="1" t="s">
        <v>1363</v>
      </c>
      <c r="M37" s="1" t="s">
        <v>1277</v>
      </c>
      <c r="N37" s="1"/>
      <c r="O37" s="68"/>
      <c r="P37" s="68"/>
    </row>
    <row r="38" spans="2:18">
      <c r="B38" s="1" t="s">
        <v>1364</v>
      </c>
      <c r="C38" s="1" t="s">
        <v>1276</v>
      </c>
      <c r="D38" s="1">
        <v>14</v>
      </c>
      <c r="E38" s="85">
        <v>460</v>
      </c>
      <c r="F38" s="85">
        <v>200</v>
      </c>
      <c r="G38" s="85">
        <v>6</v>
      </c>
      <c r="H38" s="85">
        <v>3</v>
      </c>
      <c r="J38" s="1">
        <v>1</v>
      </c>
      <c r="L38" s="1" t="s">
        <v>1365</v>
      </c>
      <c r="M38" s="1" t="s">
        <v>1277</v>
      </c>
      <c r="N38" s="1"/>
      <c r="O38" s="68"/>
      <c r="P38" s="68"/>
    </row>
    <row r="39" spans="2:18">
      <c r="B39" s="1" t="s">
        <v>1366</v>
      </c>
      <c r="C39" s="1" t="s">
        <v>1276</v>
      </c>
      <c r="D39" s="1">
        <v>16</v>
      </c>
      <c r="E39" s="85">
        <v>520</v>
      </c>
      <c r="F39" s="85">
        <v>210</v>
      </c>
      <c r="G39" s="85">
        <v>6</v>
      </c>
      <c r="H39" s="85">
        <v>3</v>
      </c>
      <c r="J39" s="1">
        <v>1</v>
      </c>
      <c r="L39" s="1" t="s">
        <v>1367</v>
      </c>
      <c r="M39" s="1" t="s">
        <v>1277</v>
      </c>
      <c r="N39" s="1"/>
      <c r="O39" s="68"/>
      <c r="P39" s="68"/>
    </row>
    <row r="40" spans="2:18">
      <c r="B40" s="1" t="s">
        <v>1368</v>
      </c>
      <c r="C40" s="1" t="s">
        <v>1276</v>
      </c>
      <c r="D40" s="1">
        <v>21</v>
      </c>
      <c r="E40" s="85">
        <v>580</v>
      </c>
      <c r="F40" s="85">
        <v>230</v>
      </c>
      <c r="G40" s="85">
        <v>6</v>
      </c>
      <c r="H40" s="85">
        <v>4</v>
      </c>
      <c r="J40" s="1">
        <v>1</v>
      </c>
      <c r="L40" s="1" t="s">
        <v>1369</v>
      </c>
      <c r="M40" s="1" t="s">
        <v>1277</v>
      </c>
      <c r="N40" s="1"/>
      <c r="O40" s="68"/>
      <c r="P40" s="68"/>
    </row>
    <row r="41" spans="2:18">
      <c r="B41" s="1" t="s">
        <v>1370</v>
      </c>
      <c r="C41" s="1" t="s">
        <v>1276</v>
      </c>
      <c r="D41" s="1">
        <v>23</v>
      </c>
      <c r="E41" s="85">
        <v>640</v>
      </c>
      <c r="F41" s="85">
        <v>240</v>
      </c>
      <c r="G41" s="85">
        <v>6</v>
      </c>
      <c r="H41" s="85">
        <v>5</v>
      </c>
      <c r="J41" s="1">
        <v>1</v>
      </c>
      <c r="L41" s="1" t="s">
        <v>1371</v>
      </c>
      <c r="M41" s="1" t="s">
        <v>1277</v>
      </c>
      <c r="N41" s="1"/>
      <c r="O41" s="156"/>
      <c r="P41" s="156"/>
      <c r="Q41" s="260">
        <v>225</v>
      </c>
      <c r="R41" s="262">
        <v>300</v>
      </c>
    </row>
    <row r="42" spans="2:18">
      <c r="B42" s="1" t="s">
        <v>1372</v>
      </c>
      <c r="C42" s="1" t="s">
        <v>1276</v>
      </c>
      <c r="D42" s="1">
        <v>25</v>
      </c>
      <c r="E42" s="85">
        <v>700</v>
      </c>
      <c r="F42" s="85">
        <v>250</v>
      </c>
      <c r="G42" s="85">
        <v>6</v>
      </c>
      <c r="H42" s="85">
        <v>5</v>
      </c>
      <c r="J42" s="1">
        <v>1</v>
      </c>
      <c r="L42" s="1" t="s">
        <v>1373</v>
      </c>
      <c r="M42" s="1" t="s">
        <v>1277</v>
      </c>
      <c r="N42" s="1"/>
      <c r="O42" s="156"/>
      <c r="P42" s="156"/>
      <c r="Q42" s="260"/>
      <c r="R42" s="262"/>
    </row>
    <row r="43" spans="2:18">
      <c r="B43" s="1" t="s">
        <v>1374</v>
      </c>
      <c r="C43" s="1" t="s">
        <v>1276</v>
      </c>
      <c r="D43" s="1">
        <v>27</v>
      </c>
      <c r="E43" s="85">
        <v>750</v>
      </c>
      <c r="F43" s="85">
        <v>260</v>
      </c>
      <c r="G43" s="85">
        <v>6</v>
      </c>
      <c r="H43" s="85">
        <v>5</v>
      </c>
      <c r="J43" s="1">
        <v>1</v>
      </c>
      <c r="L43" s="1" t="s">
        <v>1375</v>
      </c>
      <c r="M43" s="1" t="s">
        <v>1277</v>
      </c>
      <c r="N43" s="1"/>
      <c r="O43" s="156"/>
      <c r="P43" s="156"/>
      <c r="Q43" s="260"/>
      <c r="R43" s="262"/>
    </row>
    <row r="44" spans="2:18">
      <c r="B44" s="1" t="s">
        <v>1376</v>
      </c>
      <c r="C44" s="1" t="s">
        <v>1276</v>
      </c>
      <c r="D44" s="1">
        <v>30</v>
      </c>
      <c r="E44" s="85">
        <v>810</v>
      </c>
      <c r="F44" s="85">
        <v>270</v>
      </c>
      <c r="G44" s="85">
        <v>6</v>
      </c>
      <c r="H44" s="85">
        <v>5</v>
      </c>
      <c r="J44" s="1">
        <v>1</v>
      </c>
      <c r="L44" s="1" t="s">
        <v>1377</v>
      </c>
      <c r="M44" s="1" t="s">
        <v>1277</v>
      </c>
      <c r="N44" s="1"/>
      <c r="O44" s="156"/>
      <c r="P44" s="156"/>
      <c r="Q44" s="260">
        <v>250</v>
      </c>
      <c r="R44" s="262">
        <v>350</v>
      </c>
    </row>
    <row r="45" spans="2:18">
      <c r="B45" s="1" t="s">
        <v>1378</v>
      </c>
      <c r="C45" s="1" t="s">
        <v>1276</v>
      </c>
      <c r="D45" s="1">
        <v>38</v>
      </c>
      <c r="E45" s="85">
        <v>930</v>
      </c>
      <c r="F45" s="85">
        <v>280</v>
      </c>
      <c r="G45" s="85">
        <v>6</v>
      </c>
      <c r="H45" s="85">
        <v>7</v>
      </c>
      <c r="J45" s="1">
        <v>1</v>
      </c>
      <c r="L45" s="1" t="s">
        <v>1379</v>
      </c>
      <c r="M45" s="1" t="s">
        <v>1277</v>
      </c>
      <c r="N45" s="1"/>
      <c r="O45" s="156"/>
      <c r="P45" s="156"/>
      <c r="Q45" s="260"/>
      <c r="R45" s="262"/>
    </row>
    <row r="46" spans="2:18">
      <c r="B46" s="1" t="s">
        <v>1380</v>
      </c>
      <c r="C46" s="1" t="s">
        <v>1381</v>
      </c>
      <c r="D46" s="1">
        <v>43</v>
      </c>
      <c r="E46" s="85">
        <v>1040</v>
      </c>
      <c r="F46" s="85">
        <v>300</v>
      </c>
      <c r="G46" s="85">
        <v>6</v>
      </c>
      <c r="H46" s="85">
        <v>8</v>
      </c>
      <c r="J46" s="1">
        <v>1</v>
      </c>
      <c r="L46" s="1" t="s">
        <v>1382</v>
      </c>
      <c r="M46" s="1" t="s">
        <v>1277</v>
      </c>
      <c r="N46" s="1"/>
      <c r="O46" s="156"/>
      <c r="P46" s="156"/>
      <c r="Q46" s="260">
        <v>280</v>
      </c>
      <c r="R46" s="262">
        <v>410</v>
      </c>
    </row>
    <row r="47" spans="2:18">
      <c r="B47" s="1" t="s">
        <v>1383</v>
      </c>
      <c r="C47" s="1" t="s">
        <v>1381</v>
      </c>
      <c r="D47" s="1">
        <v>63</v>
      </c>
      <c r="E47" s="85">
        <v>1160</v>
      </c>
      <c r="F47" s="85">
        <v>330</v>
      </c>
      <c r="G47" s="85">
        <v>8</v>
      </c>
      <c r="H47" s="85">
        <v>9</v>
      </c>
      <c r="J47" s="1">
        <v>1</v>
      </c>
      <c r="L47" s="1" t="s">
        <v>1384</v>
      </c>
      <c r="M47" s="1" t="s">
        <v>1277</v>
      </c>
      <c r="N47" s="1"/>
      <c r="O47" s="156"/>
      <c r="P47" s="156"/>
      <c r="Q47" s="260"/>
      <c r="R47" s="262"/>
    </row>
    <row r="48" spans="2:18">
      <c r="B48" s="1" t="s">
        <v>1385</v>
      </c>
      <c r="C48" s="1" t="s">
        <v>1381</v>
      </c>
      <c r="D48" s="1">
        <v>69</v>
      </c>
      <c r="E48" s="85">
        <v>1280</v>
      </c>
      <c r="F48" s="85">
        <v>350</v>
      </c>
      <c r="G48" s="85">
        <v>8</v>
      </c>
      <c r="H48" s="85">
        <v>9</v>
      </c>
      <c r="J48" s="1">
        <v>1</v>
      </c>
      <c r="L48" s="1" t="s">
        <v>1386</v>
      </c>
      <c r="M48" s="1" t="s">
        <v>1277</v>
      </c>
      <c r="N48" s="1"/>
      <c r="O48" s="156"/>
      <c r="P48" s="156"/>
      <c r="Q48" s="260"/>
      <c r="R48" s="262"/>
    </row>
    <row r="49" spans="2:18">
      <c r="B49" s="1" t="s">
        <v>1387</v>
      </c>
      <c r="C49" s="1" t="s">
        <v>1381</v>
      </c>
      <c r="D49" s="1">
        <v>87</v>
      </c>
      <c r="E49" s="85">
        <v>1390</v>
      </c>
      <c r="F49" s="85">
        <v>370</v>
      </c>
      <c r="G49" s="85">
        <v>8</v>
      </c>
      <c r="H49" s="85">
        <v>12</v>
      </c>
      <c r="J49" s="1">
        <v>1</v>
      </c>
      <c r="L49" s="1" t="s">
        <v>1388</v>
      </c>
      <c r="M49" s="1" t="s">
        <v>1277</v>
      </c>
      <c r="N49" s="1"/>
      <c r="O49" s="68"/>
      <c r="P49" s="68"/>
      <c r="Q49" s="68">
        <v>300</v>
      </c>
      <c r="R49" s="68">
        <v>450</v>
      </c>
    </row>
    <row r="50" spans="2:18">
      <c r="B50" s="1" t="s">
        <v>1389</v>
      </c>
      <c r="C50" s="1" t="s">
        <v>1381</v>
      </c>
      <c r="D50" s="1">
        <v>94</v>
      </c>
      <c r="E50" s="85">
        <v>1510</v>
      </c>
      <c r="F50" s="85">
        <v>380</v>
      </c>
      <c r="G50" s="85">
        <v>8</v>
      </c>
      <c r="H50" s="85">
        <v>12</v>
      </c>
      <c r="J50" s="1">
        <v>1</v>
      </c>
      <c r="L50" s="1" t="s">
        <v>1390</v>
      </c>
      <c r="M50" s="1" t="s">
        <v>1277</v>
      </c>
      <c r="N50" s="1"/>
      <c r="O50" s="68"/>
      <c r="P50" s="68"/>
      <c r="Q50" s="68">
        <v>350</v>
      </c>
      <c r="R50" s="68">
        <v>550</v>
      </c>
    </row>
    <row r="51" spans="2:18">
      <c r="B51" s="1" t="s">
        <v>1391</v>
      </c>
      <c r="C51" s="1" t="s">
        <v>1381</v>
      </c>
      <c r="D51" s="1">
        <v>101</v>
      </c>
      <c r="E51" s="85">
        <v>1620</v>
      </c>
      <c r="F51" s="85">
        <v>400</v>
      </c>
      <c r="G51" s="85">
        <v>8</v>
      </c>
      <c r="H51" s="85">
        <v>13</v>
      </c>
      <c r="J51" s="1">
        <v>1</v>
      </c>
    </row>
    <row r="52" spans="2:18">
      <c r="B52" s="1" t="s">
        <v>1392</v>
      </c>
      <c r="C52" s="1" t="s">
        <v>1381</v>
      </c>
      <c r="D52" s="1">
        <v>155</v>
      </c>
      <c r="E52" s="85">
        <v>1740</v>
      </c>
      <c r="F52" s="85">
        <v>430</v>
      </c>
      <c r="G52" s="85">
        <v>10</v>
      </c>
      <c r="H52" s="85">
        <v>17</v>
      </c>
      <c r="J52" s="1">
        <v>1</v>
      </c>
    </row>
    <row r="53" spans="2:18">
      <c r="B53" s="1" t="s">
        <v>1393</v>
      </c>
      <c r="C53" s="1" t="s">
        <v>1381</v>
      </c>
      <c r="D53" s="1">
        <v>164</v>
      </c>
      <c r="E53" s="85">
        <v>1860</v>
      </c>
      <c r="F53" s="85">
        <v>440</v>
      </c>
      <c r="G53" s="85">
        <v>10</v>
      </c>
      <c r="H53" s="85">
        <v>18</v>
      </c>
      <c r="J53" s="1">
        <v>1</v>
      </c>
    </row>
    <row r="54" spans="2:18">
      <c r="B54" s="1" t="s">
        <v>1394</v>
      </c>
      <c r="C54" s="1" t="s">
        <v>1381</v>
      </c>
      <c r="D54" s="1">
        <v>174</v>
      </c>
      <c r="E54" s="85">
        <v>1970</v>
      </c>
      <c r="F54" s="85">
        <v>450</v>
      </c>
      <c r="G54" s="85">
        <v>10</v>
      </c>
      <c r="H54" s="85">
        <v>19</v>
      </c>
      <c r="J54" s="1">
        <v>1</v>
      </c>
    </row>
    <row r="55" spans="2:18">
      <c r="B55" s="1" t="s">
        <v>1395</v>
      </c>
      <c r="C55" s="1" t="s">
        <v>1381</v>
      </c>
      <c r="D55" s="1">
        <v>204</v>
      </c>
      <c r="E55" s="85">
        <v>2090</v>
      </c>
      <c r="F55" s="85">
        <v>470</v>
      </c>
      <c r="G55" s="85">
        <v>10</v>
      </c>
      <c r="H55" s="85">
        <v>22</v>
      </c>
      <c r="J55" s="1">
        <v>1</v>
      </c>
    </row>
    <row r="56" spans="2:18">
      <c r="B56" s="1" t="s">
        <v>1396</v>
      </c>
      <c r="C56" s="1" t="s">
        <v>1381</v>
      </c>
      <c r="D56" s="1">
        <v>214</v>
      </c>
      <c r="E56" s="85">
        <v>2200</v>
      </c>
      <c r="F56" s="85">
        <v>480</v>
      </c>
      <c r="G56" s="85">
        <v>10</v>
      </c>
      <c r="H56" s="85">
        <v>23</v>
      </c>
      <c r="J56" s="1">
        <v>1</v>
      </c>
    </row>
    <row r="57" spans="2:18">
      <c r="B57" s="1" t="s">
        <v>1397</v>
      </c>
      <c r="C57" s="1" t="s">
        <v>1381</v>
      </c>
      <c r="D57" s="1">
        <v>225</v>
      </c>
      <c r="E57" s="85">
        <v>2320</v>
      </c>
      <c r="F57" s="85">
        <v>490</v>
      </c>
      <c r="G57" s="85">
        <v>10</v>
      </c>
      <c r="H57" s="85">
        <v>24</v>
      </c>
      <c r="J57" s="1">
        <v>1</v>
      </c>
    </row>
    <row r="58" spans="2:18">
      <c r="B58" s="1" t="s">
        <v>1398</v>
      </c>
      <c r="C58" s="1" t="s">
        <v>1381</v>
      </c>
      <c r="D58" s="1">
        <v>300</v>
      </c>
      <c r="E58" s="85">
        <v>2440</v>
      </c>
      <c r="F58" s="85">
        <v>550</v>
      </c>
      <c r="G58" s="85">
        <v>16</v>
      </c>
      <c r="H58" s="85">
        <v>30</v>
      </c>
      <c r="J58" s="1">
        <v>1</v>
      </c>
    </row>
    <row r="59" spans="2:18">
      <c r="B59" s="1" t="s">
        <v>1399</v>
      </c>
      <c r="C59" s="1" t="s">
        <v>1381</v>
      </c>
      <c r="D59" s="1">
        <v>314</v>
      </c>
      <c r="E59" s="85">
        <v>2550</v>
      </c>
      <c r="F59" s="85">
        <v>570</v>
      </c>
      <c r="G59" s="85">
        <v>16</v>
      </c>
      <c r="H59" s="85">
        <v>31</v>
      </c>
      <c r="J59" s="1">
        <v>1</v>
      </c>
    </row>
    <row r="60" spans="2:18">
      <c r="B60" s="1" t="s">
        <v>1400</v>
      </c>
      <c r="C60" s="1" t="s">
        <v>1381</v>
      </c>
      <c r="D60" s="1">
        <v>352</v>
      </c>
      <c r="E60" s="85">
        <v>2670</v>
      </c>
      <c r="F60" s="85">
        <v>580</v>
      </c>
      <c r="G60" s="85">
        <v>16</v>
      </c>
      <c r="H60" s="85">
        <v>37</v>
      </c>
      <c r="J60" s="1">
        <v>1</v>
      </c>
    </row>
    <row r="61" spans="2:18">
      <c r="B61" s="1" t="s">
        <v>1401</v>
      </c>
      <c r="C61" s="1" t="s">
        <v>1381</v>
      </c>
      <c r="D61" s="1">
        <v>365</v>
      </c>
      <c r="E61" s="85">
        <v>2780</v>
      </c>
      <c r="F61" s="85">
        <v>590</v>
      </c>
      <c r="G61" s="85">
        <v>16</v>
      </c>
      <c r="H61" s="85">
        <v>38</v>
      </c>
      <c r="J61" s="1">
        <v>1</v>
      </c>
    </row>
    <row r="62" spans="2:18">
      <c r="B62" s="1" t="s">
        <v>1402</v>
      </c>
      <c r="C62" s="1" t="s">
        <v>1381</v>
      </c>
      <c r="D62" s="1">
        <v>488</v>
      </c>
      <c r="E62" s="85">
        <v>3020</v>
      </c>
      <c r="F62" s="85">
        <v>630</v>
      </c>
      <c r="G62" s="85">
        <v>18</v>
      </c>
      <c r="H62" s="85">
        <v>47</v>
      </c>
      <c r="J62" s="1">
        <v>1</v>
      </c>
    </row>
    <row r="63" spans="2:18">
      <c r="B63" s="1" t="s">
        <v>1403</v>
      </c>
      <c r="C63" s="1" t="s">
        <v>1381</v>
      </c>
      <c r="D63" s="1">
        <v>528</v>
      </c>
      <c r="E63" s="85">
        <v>3250</v>
      </c>
      <c r="F63" s="85">
        <v>660</v>
      </c>
      <c r="G63" s="85">
        <v>18</v>
      </c>
      <c r="H63" s="85">
        <v>49</v>
      </c>
      <c r="J63" s="1">
        <v>1</v>
      </c>
    </row>
    <row r="64" spans="2:18">
      <c r="B64" s="1" t="s">
        <v>1404</v>
      </c>
      <c r="C64" s="1" t="s">
        <v>1381</v>
      </c>
      <c r="D64" s="1">
        <v>692</v>
      </c>
      <c r="E64" s="85">
        <v>3480</v>
      </c>
      <c r="F64" s="85">
        <v>710</v>
      </c>
      <c r="G64" s="85">
        <v>22</v>
      </c>
      <c r="H64" s="85">
        <v>65</v>
      </c>
      <c r="J64" s="1">
        <v>1</v>
      </c>
    </row>
    <row r="65" spans="1:10">
      <c r="B65" s="1" t="s">
        <v>1405</v>
      </c>
      <c r="C65" s="1" t="s">
        <v>1381</v>
      </c>
      <c r="D65" s="1">
        <v>743</v>
      </c>
      <c r="E65" s="85">
        <v>3710</v>
      </c>
      <c r="F65" s="85">
        <v>740</v>
      </c>
      <c r="G65" s="85">
        <v>22</v>
      </c>
      <c r="H65" s="85">
        <v>67</v>
      </c>
      <c r="J65" s="1">
        <v>1</v>
      </c>
    </row>
    <row r="66" spans="1:10">
      <c r="B66" s="1" t="s">
        <v>1406</v>
      </c>
      <c r="C66" s="1" t="s">
        <v>1381</v>
      </c>
      <c r="D66" s="1">
        <v>856</v>
      </c>
      <c r="E66" s="85">
        <v>3940</v>
      </c>
      <c r="F66" s="85">
        <v>770</v>
      </c>
      <c r="G66" s="85">
        <v>22</v>
      </c>
      <c r="H66" s="85">
        <v>75</v>
      </c>
      <c r="J66" s="1">
        <v>1</v>
      </c>
    </row>
    <row r="67" spans="1:10">
      <c r="B67" s="1" t="s">
        <v>1407</v>
      </c>
      <c r="C67" s="1" t="s">
        <v>1381</v>
      </c>
      <c r="D67" s="1">
        <v>912</v>
      </c>
      <c r="E67" s="85"/>
      <c r="F67" s="85"/>
      <c r="G67" s="85"/>
      <c r="H67" s="85">
        <v>78</v>
      </c>
      <c r="J67" s="1">
        <v>1</v>
      </c>
    </row>
    <row r="68" spans="1:10">
      <c r="B68" s="1" t="s">
        <v>1408</v>
      </c>
      <c r="C68" s="1" t="s">
        <v>1381</v>
      </c>
      <c r="D68" s="1">
        <v>1045</v>
      </c>
      <c r="E68" s="85"/>
      <c r="F68" s="85"/>
      <c r="G68" s="85"/>
      <c r="H68" s="85">
        <v>90</v>
      </c>
      <c r="J68" s="1">
        <v>1</v>
      </c>
    </row>
    <row r="69" spans="1:10">
      <c r="A69" s="151"/>
      <c r="B69" s="1" t="s">
        <v>1409</v>
      </c>
      <c r="C69" s="1" t="s">
        <v>1381</v>
      </c>
      <c r="D69" s="1">
        <v>1108</v>
      </c>
      <c r="E69" s="85"/>
      <c r="F69" s="85"/>
      <c r="G69" s="85"/>
      <c r="H69" s="85">
        <v>94</v>
      </c>
      <c r="J69" s="1">
        <v>1</v>
      </c>
    </row>
    <row r="70" spans="1:10">
      <c r="B70" s="1" t="s">
        <v>1410</v>
      </c>
      <c r="C70" s="1" t="s">
        <v>1381</v>
      </c>
      <c r="D70" s="1">
        <v>86</v>
      </c>
      <c r="E70" s="85"/>
      <c r="F70" s="85"/>
      <c r="G70" s="85"/>
      <c r="H70" s="85">
        <v>13</v>
      </c>
      <c r="J70" s="1">
        <v>1</v>
      </c>
    </row>
    <row r="71" spans="1:10">
      <c r="B71" s="1" t="s">
        <v>1411</v>
      </c>
      <c r="C71" s="1" t="s">
        <v>1381</v>
      </c>
      <c r="D71" s="1">
        <v>92</v>
      </c>
      <c r="E71" s="85"/>
      <c r="F71" s="85"/>
      <c r="G71" s="85"/>
      <c r="H71" s="85">
        <v>14</v>
      </c>
      <c r="J71" s="1">
        <v>1</v>
      </c>
    </row>
    <row r="72" spans="1:10">
      <c r="B72" s="1" t="s">
        <v>1412</v>
      </c>
      <c r="C72" s="1" t="s">
        <v>1381</v>
      </c>
      <c r="D72" s="1">
        <v>98</v>
      </c>
      <c r="E72" s="85"/>
      <c r="F72" s="85"/>
      <c r="G72" s="85"/>
      <c r="H72" s="85">
        <v>15</v>
      </c>
      <c r="J72" s="1">
        <v>1</v>
      </c>
    </row>
    <row r="73" spans="1:10">
      <c r="B73" s="1" t="s">
        <v>1413</v>
      </c>
      <c r="C73" s="1" t="s">
        <v>1381</v>
      </c>
      <c r="D73" s="1">
        <v>105</v>
      </c>
      <c r="E73" s="85"/>
      <c r="F73" s="85"/>
      <c r="G73" s="85"/>
      <c r="H73" s="85">
        <v>15</v>
      </c>
      <c r="J73" s="1">
        <v>1</v>
      </c>
    </row>
    <row r="74" spans="1:10">
      <c r="B74" s="1" t="s">
        <v>1414</v>
      </c>
      <c r="C74" s="1" t="s">
        <v>1381</v>
      </c>
      <c r="D74" s="1">
        <v>112</v>
      </c>
      <c r="E74" s="85"/>
      <c r="F74" s="85"/>
      <c r="G74" s="85"/>
      <c r="H74" s="85">
        <v>16</v>
      </c>
      <c r="J74" s="1">
        <v>1</v>
      </c>
    </row>
    <row r="75" spans="1:10">
      <c r="B75" s="1" t="s">
        <v>1415</v>
      </c>
      <c r="C75" s="1" t="s">
        <v>1381</v>
      </c>
      <c r="D75" s="1">
        <v>184</v>
      </c>
      <c r="E75" s="85"/>
      <c r="F75" s="85"/>
      <c r="G75" s="85"/>
      <c r="H75" s="85">
        <v>18</v>
      </c>
      <c r="J75" s="1">
        <v>1</v>
      </c>
    </row>
    <row r="76" spans="1:10">
      <c r="B76" s="1" t="s">
        <v>1416</v>
      </c>
      <c r="C76" s="1" t="s">
        <v>1381</v>
      </c>
      <c r="D76" s="1">
        <v>196</v>
      </c>
      <c r="E76" s="85"/>
      <c r="F76" s="85"/>
      <c r="G76" s="85"/>
      <c r="H76" s="85">
        <v>19</v>
      </c>
      <c r="J76" s="1">
        <v>1</v>
      </c>
    </row>
    <row r="77" spans="1:10">
      <c r="B77" s="1" t="s">
        <v>1417</v>
      </c>
      <c r="C77" s="1" t="s">
        <v>1381</v>
      </c>
      <c r="D77" s="1">
        <v>208</v>
      </c>
      <c r="E77" s="85"/>
      <c r="F77" s="85"/>
      <c r="G77" s="85"/>
      <c r="H77" s="85">
        <v>20</v>
      </c>
      <c r="J77" s="1">
        <v>1</v>
      </c>
    </row>
    <row r="78" spans="1:10">
      <c r="B78" s="1" t="s">
        <v>1418</v>
      </c>
      <c r="C78" s="1" t="s">
        <v>1381</v>
      </c>
      <c r="D78" s="1">
        <v>253</v>
      </c>
      <c r="E78" s="85"/>
      <c r="F78" s="85"/>
      <c r="G78" s="85"/>
      <c r="H78" s="85">
        <v>25</v>
      </c>
      <c r="J78" s="1">
        <v>1</v>
      </c>
    </row>
    <row r="79" spans="1:10">
      <c r="B79" s="1" t="s">
        <v>1419</v>
      </c>
      <c r="C79" s="1" t="s">
        <v>1381</v>
      </c>
      <c r="D79" s="1">
        <v>266</v>
      </c>
      <c r="E79" s="85"/>
      <c r="F79" s="85"/>
      <c r="G79" s="85"/>
      <c r="H79" s="85">
        <v>26</v>
      </c>
      <c r="J79" s="1">
        <v>1</v>
      </c>
    </row>
    <row r="80" spans="1:10">
      <c r="B80" s="1" t="s">
        <v>1420</v>
      </c>
      <c r="C80" s="1" t="s">
        <v>1381</v>
      </c>
      <c r="D80" s="1">
        <v>279</v>
      </c>
      <c r="E80" s="85"/>
      <c r="F80" s="85"/>
      <c r="G80" s="85"/>
      <c r="H80" s="85">
        <v>27</v>
      </c>
      <c r="J80" s="1">
        <v>1</v>
      </c>
    </row>
    <row r="81" spans="2:10">
      <c r="B81" s="1" t="s">
        <v>1421</v>
      </c>
      <c r="C81" s="1" t="s">
        <v>1381</v>
      </c>
      <c r="D81" s="1">
        <v>367</v>
      </c>
      <c r="E81" s="85"/>
      <c r="F81" s="85"/>
      <c r="G81" s="85"/>
      <c r="H81" s="85">
        <v>33</v>
      </c>
      <c r="J81" s="1">
        <v>1</v>
      </c>
    </row>
    <row r="82" spans="2:10">
      <c r="B82" s="1" t="s">
        <v>1422</v>
      </c>
      <c r="C82" s="1" t="s">
        <v>1381</v>
      </c>
      <c r="D82" s="1">
        <v>384</v>
      </c>
      <c r="E82" s="85"/>
      <c r="F82" s="85"/>
      <c r="G82" s="85"/>
      <c r="H82" s="85">
        <v>34</v>
      </c>
      <c r="J82" s="1">
        <v>1</v>
      </c>
    </row>
    <row r="83" spans="2:10">
      <c r="B83" s="1" t="s">
        <v>1423</v>
      </c>
      <c r="C83" s="1" t="s">
        <v>1381</v>
      </c>
      <c r="D83" s="1">
        <v>430</v>
      </c>
      <c r="E83" s="85"/>
      <c r="F83" s="85"/>
      <c r="G83" s="85"/>
      <c r="H83" s="85">
        <v>40</v>
      </c>
      <c r="J83" s="1">
        <v>1</v>
      </c>
    </row>
    <row r="84" spans="2:10">
      <c r="B84" s="1" t="s">
        <v>1424</v>
      </c>
      <c r="C84" s="1" t="s">
        <v>1381</v>
      </c>
      <c r="D84" s="1">
        <v>449</v>
      </c>
      <c r="E84" s="85"/>
      <c r="F84" s="85"/>
      <c r="G84" s="85"/>
      <c r="H84" s="85">
        <v>41</v>
      </c>
      <c r="J84" s="1">
        <v>1</v>
      </c>
    </row>
    <row r="85" spans="2:10">
      <c r="B85" s="1" t="s">
        <v>1425</v>
      </c>
      <c r="C85" s="1" t="s">
        <v>1381</v>
      </c>
      <c r="D85" s="1">
        <v>594</v>
      </c>
      <c r="E85" s="85"/>
      <c r="F85" s="85"/>
      <c r="G85" s="85"/>
      <c r="H85" s="85">
        <v>51</v>
      </c>
      <c r="J85" s="1">
        <v>1</v>
      </c>
    </row>
    <row r="86" spans="2:10">
      <c r="B86" s="1" t="s">
        <v>1426</v>
      </c>
      <c r="C86" s="1" t="s">
        <v>1381</v>
      </c>
      <c r="D86" s="1">
        <v>642</v>
      </c>
      <c r="E86" s="85"/>
      <c r="F86" s="85"/>
      <c r="G86" s="85"/>
      <c r="H86" s="85">
        <v>53</v>
      </c>
      <c r="J86" s="1">
        <v>1</v>
      </c>
    </row>
    <row r="87" spans="2:10">
      <c r="B87" s="1" t="s">
        <v>1427</v>
      </c>
      <c r="C87" s="1" t="s">
        <v>1381</v>
      </c>
      <c r="D87" s="1">
        <v>844</v>
      </c>
      <c r="E87" s="85"/>
      <c r="F87" s="85"/>
      <c r="G87" s="85"/>
      <c r="H87" s="85">
        <v>69</v>
      </c>
      <c r="J87" s="1">
        <v>1</v>
      </c>
    </row>
    <row r="88" spans="2:10">
      <c r="B88" s="1" t="s">
        <v>1428</v>
      </c>
      <c r="C88" s="1" t="s">
        <v>1381</v>
      </c>
      <c r="D88" s="1">
        <v>900</v>
      </c>
      <c r="E88" s="85"/>
      <c r="F88" s="85"/>
      <c r="G88" s="85"/>
      <c r="H88" s="85">
        <v>71</v>
      </c>
      <c r="J88" s="1">
        <v>1</v>
      </c>
    </row>
    <row r="89" spans="2:10">
      <c r="B89" s="1" t="s">
        <v>1429</v>
      </c>
      <c r="C89" s="1" t="s">
        <v>1381</v>
      </c>
      <c r="D89" s="1">
        <v>1037</v>
      </c>
      <c r="E89" s="85"/>
      <c r="F89" s="85"/>
      <c r="G89" s="85"/>
      <c r="H89" s="85">
        <v>79</v>
      </c>
      <c r="J89" s="1">
        <v>1</v>
      </c>
    </row>
    <row r="90" spans="2:10">
      <c r="B90" s="1" t="s">
        <v>1430</v>
      </c>
      <c r="C90" s="1" t="s">
        <v>1381</v>
      </c>
      <c r="D90" s="1">
        <v>1103</v>
      </c>
      <c r="E90" s="85"/>
      <c r="F90" s="85"/>
      <c r="G90" s="85"/>
      <c r="H90" s="85">
        <v>82</v>
      </c>
      <c r="J90" s="1">
        <v>1</v>
      </c>
    </row>
    <row r="91" spans="2:10">
      <c r="B91" s="1" t="s">
        <v>1431</v>
      </c>
      <c r="C91" s="1" t="s">
        <v>1381</v>
      </c>
      <c r="D91" s="1">
        <v>1261</v>
      </c>
      <c r="E91" s="85"/>
      <c r="F91" s="85"/>
      <c r="G91" s="85"/>
      <c r="H91" s="85">
        <v>96</v>
      </c>
      <c r="J91" s="1">
        <v>1</v>
      </c>
    </row>
    <row r="92" spans="2:10">
      <c r="B92" s="1" t="s">
        <v>1432</v>
      </c>
      <c r="C92" s="1" t="s">
        <v>1381</v>
      </c>
      <c r="D92" s="1">
        <v>1334</v>
      </c>
      <c r="E92" s="85"/>
      <c r="F92" s="85"/>
      <c r="G92" s="85"/>
      <c r="H92" s="85">
        <v>99</v>
      </c>
      <c r="J92" s="1">
        <v>1</v>
      </c>
    </row>
    <row r="93" spans="2:10">
      <c r="B93" s="1" t="s">
        <v>1433</v>
      </c>
      <c r="C93" s="1" t="s">
        <v>1276</v>
      </c>
      <c r="D93" s="1">
        <v>6</v>
      </c>
      <c r="J93" s="1">
        <v>1</v>
      </c>
    </row>
    <row r="94" spans="2:10">
      <c r="B94" s="1" t="s">
        <v>1434</v>
      </c>
      <c r="C94" s="1" t="s">
        <v>1276</v>
      </c>
      <c r="D94" s="1">
        <v>7</v>
      </c>
      <c r="J94" s="1">
        <v>1</v>
      </c>
    </row>
    <row r="95" spans="2:10">
      <c r="B95" s="1" t="s">
        <v>1435</v>
      </c>
      <c r="C95" s="1" t="s">
        <v>1276</v>
      </c>
      <c r="D95" s="1">
        <v>9</v>
      </c>
      <c r="J95" s="1">
        <v>1</v>
      </c>
    </row>
    <row r="96" spans="2:10">
      <c r="B96" s="1" t="s">
        <v>1436</v>
      </c>
      <c r="C96" s="1" t="s">
        <v>1276</v>
      </c>
      <c r="D96" s="1">
        <v>11</v>
      </c>
      <c r="J96" s="1">
        <v>1</v>
      </c>
    </row>
    <row r="97" spans="2:10">
      <c r="B97" s="1" t="s">
        <v>1437</v>
      </c>
      <c r="C97" s="1" t="s">
        <v>1276</v>
      </c>
      <c r="D97" s="1">
        <v>13</v>
      </c>
      <c r="J97" s="1">
        <v>1</v>
      </c>
    </row>
    <row r="98" spans="2:10">
      <c r="B98" s="1" t="s">
        <v>1438</v>
      </c>
      <c r="C98" s="1" t="s">
        <v>1276</v>
      </c>
      <c r="D98" s="1">
        <v>14</v>
      </c>
      <c r="J98" s="1">
        <v>1</v>
      </c>
    </row>
    <row r="99" spans="2:10">
      <c r="B99" s="1" t="s">
        <v>1439</v>
      </c>
      <c r="C99" s="1" t="s">
        <v>1276</v>
      </c>
      <c r="D99" s="1">
        <v>10</v>
      </c>
      <c r="J99" s="1">
        <v>1</v>
      </c>
    </row>
    <row r="100" spans="2:10">
      <c r="B100" s="1" t="s">
        <v>1440</v>
      </c>
      <c r="C100" s="1" t="s">
        <v>1276</v>
      </c>
      <c r="D100" s="1">
        <v>12</v>
      </c>
      <c r="J100" s="1">
        <v>1</v>
      </c>
    </row>
    <row r="101" spans="2:10">
      <c r="B101" s="1" t="s">
        <v>1441</v>
      </c>
      <c r="C101" s="1" t="s">
        <v>1276</v>
      </c>
      <c r="D101" s="1">
        <v>14</v>
      </c>
      <c r="J101" s="1">
        <v>1</v>
      </c>
    </row>
    <row r="102" spans="2:10">
      <c r="B102" s="1" t="s">
        <v>1442</v>
      </c>
      <c r="C102" s="1" t="s">
        <v>1276</v>
      </c>
      <c r="D102" s="1">
        <v>16</v>
      </c>
      <c r="J102" s="1">
        <v>1</v>
      </c>
    </row>
    <row r="103" spans="2:10">
      <c r="B103" s="1" t="s">
        <v>1443</v>
      </c>
      <c r="C103" s="1" t="s">
        <v>1276</v>
      </c>
      <c r="D103" s="1">
        <v>21</v>
      </c>
      <c r="J103" s="1">
        <v>1</v>
      </c>
    </row>
    <row r="104" spans="2:10">
      <c r="B104" s="1" t="s">
        <v>1444</v>
      </c>
      <c r="C104" s="1" t="s">
        <v>1276</v>
      </c>
      <c r="D104" s="1">
        <v>23</v>
      </c>
      <c r="J104" s="1">
        <v>1</v>
      </c>
    </row>
    <row r="105" spans="2:10">
      <c r="B105" s="1" t="s">
        <v>1445</v>
      </c>
      <c r="C105" s="1" t="s">
        <v>1276</v>
      </c>
      <c r="D105" s="1">
        <v>25</v>
      </c>
      <c r="J105" s="1">
        <v>1</v>
      </c>
    </row>
    <row r="106" spans="2:10">
      <c r="B106" s="1" t="s">
        <v>1446</v>
      </c>
      <c r="C106" s="1" t="s">
        <v>1276</v>
      </c>
      <c r="D106" s="1">
        <v>27</v>
      </c>
      <c r="J106" s="1">
        <v>1</v>
      </c>
    </row>
    <row r="107" spans="2:10">
      <c r="B107" s="1" t="s">
        <v>1447</v>
      </c>
      <c r="C107" s="1" t="s">
        <v>1276</v>
      </c>
      <c r="D107" s="1">
        <v>30</v>
      </c>
      <c r="J107" s="1">
        <v>1</v>
      </c>
    </row>
    <row r="108" spans="2:10">
      <c r="B108" s="1" t="s">
        <v>1448</v>
      </c>
      <c r="C108" s="1" t="s">
        <v>1276</v>
      </c>
      <c r="D108" s="1">
        <v>38</v>
      </c>
      <c r="J108" s="1">
        <v>1</v>
      </c>
    </row>
    <row r="109" spans="2:10">
      <c r="B109" s="1" t="s">
        <v>1449</v>
      </c>
      <c r="C109" s="1" t="s">
        <v>1381</v>
      </c>
      <c r="D109" s="1">
        <v>43</v>
      </c>
      <c r="J109" s="1">
        <v>1</v>
      </c>
    </row>
    <row r="110" spans="2:10">
      <c r="B110" s="1" t="s">
        <v>1450</v>
      </c>
      <c r="C110" s="1" t="s">
        <v>1276</v>
      </c>
      <c r="D110" s="85">
        <v>4</v>
      </c>
      <c r="J110" s="1">
        <v>1</v>
      </c>
    </row>
    <row r="111" spans="2:10">
      <c r="B111" s="1" t="s">
        <v>1451</v>
      </c>
      <c r="C111" s="1" t="s">
        <v>1276</v>
      </c>
      <c r="D111" s="85">
        <v>5</v>
      </c>
      <c r="J111" s="1">
        <v>1</v>
      </c>
    </row>
    <row r="112" spans="2:10">
      <c r="B112" s="1" t="s">
        <v>1452</v>
      </c>
      <c r="C112" s="1" t="s">
        <v>1276</v>
      </c>
      <c r="D112" s="85">
        <v>7</v>
      </c>
      <c r="J112" s="1">
        <v>1</v>
      </c>
    </row>
    <row r="113" spans="2:10">
      <c r="B113" s="1" t="s">
        <v>1453</v>
      </c>
      <c r="C113" s="1" t="s">
        <v>1276</v>
      </c>
      <c r="D113" s="85">
        <v>7</v>
      </c>
      <c r="J113" s="1">
        <v>1</v>
      </c>
    </row>
    <row r="114" spans="2:10">
      <c r="B114" s="1" t="s">
        <v>1454</v>
      </c>
      <c r="C114" s="1" t="s">
        <v>1276</v>
      </c>
      <c r="D114" s="85">
        <v>9</v>
      </c>
      <c r="J114" s="1">
        <v>1</v>
      </c>
    </row>
    <row r="115" spans="2:10">
      <c r="B115" s="1" t="s">
        <v>1455</v>
      </c>
      <c r="C115" s="1" t="s">
        <v>1276</v>
      </c>
      <c r="D115" s="85">
        <v>9</v>
      </c>
      <c r="J115" s="1">
        <v>1</v>
      </c>
    </row>
    <row r="116" spans="2:10">
      <c r="B116" s="1" t="s">
        <v>1456</v>
      </c>
      <c r="C116" s="1" t="s">
        <v>1276</v>
      </c>
      <c r="D116" s="85">
        <v>8</v>
      </c>
      <c r="J116" s="1">
        <v>1</v>
      </c>
    </row>
    <row r="117" spans="2:10">
      <c r="B117" s="1" t="s">
        <v>1457</v>
      </c>
      <c r="C117" s="1" t="s">
        <v>1276</v>
      </c>
      <c r="D117" s="85">
        <v>8</v>
      </c>
      <c r="J117" s="1">
        <v>1</v>
      </c>
    </row>
    <row r="118" spans="2:10">
      <c r="B118" s="1" t="s">
        <v>1458</v>
      </c>
      <c r="C118" s="1" t="s">
        <v>1276</v>
      </c>
      <c r="D118" s="85">
        <v>9</v>
      </c>
      <c r="J118" s="1">
        <v>1</v>
      </c>
    </row>
    <row r="119" spans="2:10">
      <c r="B119" s="1" t="s">
        <v>1459</v>
      </c>
      <c r="C119" s="1" t="s">
        <v>1276</v>
      </c>
      <c r="D119" s="85">
        <v>10</v>
      </c>
      <c r="J119" s="1">
        <v>1</v>
      </c>
    </row>
    <row r="120" spans="2:10">
      <c r="B120" s="1" t="s">
        <v>1460</v>
      </c>
      <c r="C120" s="1" t="s">
        <v>1276</v>
      </c>
      <c r="D120" s="85">
        <v>15</v>
      </c>
      <c r="J120" s="1">
        <v>1</v>
      </c>
    </row>
    <row r="121" spans="2:10">
      <c r="B121" s="1" t="s">
        <v>1461</v>
      </c>
      <c r="C121" s="1" t="s">
        <v>1276</v>
      </c>
      <c r="D121" s="85">
        <v>17</v>
      </c>
      <c r="J121" s="1">
        <v>1</v>
      </c>
    </row>
    <row r="122" spans="2:10">
      <c r="B122" s="1" t="s">
        <v>1462</v>
      </c>
      <c r="C122" s="1" t="s">
        <v>1276</v>
      </c>
      <c r="D122" s="85">
        <v>18</v>
      </c>
      <c r="J122" s="1">
        <v>1</v>
      </c>
    </row>
    <row r="123" spans="2:10">
      <c r="B123" s="1" t="s">
        <v>1463</v>
      </c>
      <c r="C123" s="1" t="s">
        <v>1276</v>
      </c>
      <c r="D123" s="85">
        <v>19</v>
      </c>
      <c r="J123" s="1">
        <v>1</v>
      </c>
    </row>
    <row r="124" spans="2:10">
      <c r="B124" s="1" t="s">
        <v>1464</v>
      </c>
      <c r="C124" s="1" t="s">
        <v>1276</v>
      </c>
      <c r="D124" s="85">
        <v>21</v>
      </c>
      <c r="J124" s="1">
        <v>1</v>
      </c>
    </row>
    <row r="125" spans="2:10">
      <c r="B125" s="1" t="s">
        <v>1465</v>
      </c>
      <c r="C125" s="1" t="s">
        <v>1276</v>
      </c>
      <c r="D125" s="85">
        <v>27</v>
      </c>
      <c r="J125" s="1">
        <v>1</v>
      </c>
    </row>
    <row r="126" spans="2:10">
      <c r="B126" s="1" t="s">
        <v>1466</v>
      </c>
      <c r="C126" s="1" t="s">
        <v>1381</v>
      </c>
      <c r="D126" s="85">
        <v>30</v>
      </c>
      <c r="J126" s="1">
        <v>1</v>
      </c>
    </row>
    <row r="127" spans="2:10">
      <c r="B127" s="1" t="s">
        <v>1467</v>
      </c>
      <c r="C127" s="1" t="s">
        <v>1276</v>
      </c>
      <c r="D127" s="1">
        <v>6</v>
      </c>
      <c r="J127" s="1">
        <v>1</v>
      </c>
    </row>
    <row r="128" spans="2:10">
      <c r="B128" s="1" t="s">
        <v>1468</v>
      </c>
      <c r="C128" s="1" t="s">
        <v>1276</v>
      </c>
      <c r="D128" s="1">
        <v>7</v>
      </c>
      <c r="J128" s="1">
        <v>1</v>
      </c>
    </row>
    <row r="129" spans="2:10">
      <c r="B129" s="1" t="s">
        <v>1469</v>
      </c>
      <c r="C129" s="1" t="s">
        <v>1276</v>
      </c>
      <c r="D129" s="1">
        <v>9</v>
      </c>
      <c r="J129" s="1">
        <v>1</v>
      </c>
    </row>
    <row r="130" spans="2:10">
      <c r="B130" s="1" t="s">
        <v>1470</v>
      </c>
      <c r="C130" s="1" t="s">
        <v>1276</v>
      </c>
      <c r="D130" s="1">
        <v>11</v>
      </c>
      <c r="J130" s="1">
        <v>1</v>
      </c>
    </row>
    <row r="131" spans="2:10">
      <c r="B131" s="1" t="s">
        <v>1471</v>
      </c>
      <c r="C131" s="1" t="s">
        <v>1276</v>
      </c>
      <c r="D131" s="1">
        <v>13</v>
      </c>
      <c r="J131" s="1">
        <v>1</v>
      </c>
    </row>
    <row r="132" spans="2:10">
      <c r="B132" s="1" t="s">
        <v>1472</v>
      </c>
      <c r="C132" s="1" t="s">
        <v>1276</v>
      </c>
      <c r="D132" s="1">
        <v>14</v>
      </c>
      <c r="J132" s="1">
        <v>1</v>
      </c>
    </row>
    <row r="133" spans="2:10">
      <c r="B133" s="1" t="s">
        <v>1473</v>
      </c>
      <c r="C133" s="1" t="s">
        <v>1276</v>
      </c>
      <c r="D133" s="1">
        <v>10</v>
      </c>
      <c r="J133" s="1">
        <v>1</v>
      </c>
    </row>
    <row r="134" spans="2:10">
      <c r="B134" s="1" t="s">
        <v>1474</v>
      </c>
      <c r="C134" s="1" t="s">
        <v>1276</v>
      </c>
      <c r="D134" s="1">
        <v>12</v>
      </c>
      <c r="J134" s="1">
        <v>1</v>
      </c>
    </row>
    <row r="135" spans="2:10">
      <c r="B135" s="1" t="s">
        <v>1475</v>
      </c>
      <c r="C135" s="1" t="s">
        <v>1276</v>
      </c>
      <c r="D135" s="1">
        <v>14</v>
      </c>
      <c r="J135" s="1">
        <v>1</v>
      </c>
    </row>
    <row r="136" spans="2:10">
      <c r="B136" s="1" t="s">
        <v>1476</v>
      </c>
      <c r="C136" s="1" t="s">
        <v>1276</v>
      </c>
      <c r="D136" s="1">
        <v>16</v>
      </c>
      <c r="J136" s="1">
        <v>1</v>
      </c>
    </row>
    <row r="137" spans="2:10">
      <c r="B137" s="1" t="s">
        <v>1477</v>
      </c>
      <c r="C137" s="1" t="s">
        <v>1276</v>
      </c>
      <c r="D137" s="1">
        <v>21</v>
      </c>
      <c r="J137" s="1">
        <v>1</v>
      </c>
    </row>
    <row r="138" spans="2:10">
      <c r="B138" s="1" t="s">
        <v>1478</v>
      </c>
      <c r="C138" s="1" t="s">
        <v>1276</v>
      </c>
      <c r="D138" s="1">
        <v>23</v>
      </c>
      <c r="J138" s="1">
        <v>1</v>
      </c>
    </row>
    <row r="139" spans="2:10">
      <c r="B139" s="1" t="s">
        <v>1479</v>
      </c>
      <c r="C139" s="1" t="s">
        <v>1276</v>
      </c>
      <c r="D139" s="1">
        <v>25</v>
      </c>
      <c r="J139" s="1">
        <v>1</v>
      </c>
    </row>
    <row r="140" spans="2:10">
      <c r="B140" s="1" t="s">
        <v>1480</v>
      </c>
      <c r="C140" s="1" t="s">
        <v>1276</v>
      </c>
      <c r="D140" s="1">
        <v>27</v>
      </c>
      <c r="J140" s="1">
        <v>1</v>
      </c>
    </row>
    <row r="141" spans="2:10">
      <c r="B141" s="1" t="s">
        <v>1481</v>
      </c>
      <c r="C141" s="1" t="s">
        <v>1276</v>
      </c>
      <c r="D141" s="1">
        <v>30</v>
      </c>
      <c r="J141" s="1">
        <v>1</v>
      </c>
    </row>
    <row r="142" spans="2:10">
      <c r="B142" s="1" t="s">
        <v>1482</v>
      </c>
      <c r="C142" s="1" t="s">
        <v>1276</v>
      </c>
      <c r="D142" s="1">
        <v>38</v>
      </c>
      <c r="J142" s="1">
        <v>1</v>
      </c>
    </row>
    <row r="143" spans="2:10">
      <c r="B143" s="1" t="s">
        <v>1483</v>
      </c>
      <c r="C143" s="1" t="s">
        <v>1381</v>
      </c>
      <c r="D143" s="1">
        <v>43</v>
      </c>
      <c r="J143" s="1">
        <v>1</v>
      </c>
    </row>
    <row r="144" spans="2:10">
      <c r="J144" s="1">
        <v>1</v>
      </c>
    </row>
    <row r="145" spans="10:10">
      <c r="J145" s="1">
        <v>1</v>
      </c>
    </row>
    <row r="146" spans="10:10">
      <c r="J146" s="1">
        <v>1</v>
      </c>
    </row>
    <row r="147" spans="10:10">
      <c r="J147" s="1">
        <v>1</v>
      </c>
    </row>
    <row r="148" spans="10:10">
      <c r="J148" s="1">
        <v>1</v>
      </c>
    </row>
    <row r="149" spans="10:10">
      <c r="J149" s="1">
        <v>1</v>
      </c>
    </row>
    <row r="150" spans="10:10">
      <c r="J150" s="1">
        <v>1</v>
      </c>
    </row>
    <row r="151" spans="10:10">
      <c r="J151" s="1">
        <v>1</v>
      </c>
    </row>
    <row r="152" spans="10:10">
      <c r="J152" s="1">
        <v>1</v>
      </c>
    </row>
    <row r="153" spans="10:10">
      <c r="J153" s="1">
        <v>1</v>
      </c>
    </row>
    <row r="154" spans="10:10">
      <c r="J154" s="1">
        <v>1</v>
      </c>
    </row>
    <row r="155" spans="10:10">
      <c r="J155" s="1">
        <v>1</v>
      </c>
    </row>
    <row r="156" spans="10:10">
      <c r="J156" s="1">
        <v>1</v>
      </c>
    </row>
    <row r="157" spans="10:10">
      <c r="J157" s="1">
        <v>1</v>
      </c>
    </row>
    <row r="158" spans="10:10">
      <c r="J158" s="1">
        <v>1</v>
      </c>
    </row>
    <row r="159" spans="10:10">
      <c r="J159" s="1">
        <v>1</v>
      </c>
    </row>
    <row r="160" spans="10:10">
      <c r="J160" s="1">
        <v>1</v>
      </c>
    </row>
    <row r="161" spans="10:10">
      <c r="J161" s="1">
        <v>1</v>
      </c>
    </row>
    <row r="162" spans="10:10">
      <c r="J162" s="1">
        <v>1</v>
      </c>
    </row>
    <row r="163" spans="10:10">
      <c r="J163" s="1">
        <v>1</v>
      </c>
    </row>
    <row r="164" spans="10:10">
      <c r="J164" s="1">
        <v>1</v>
      </c>
    </row>
    <row r="165" spans="10:10">
      <c r="J165" s="1">
        <v>1</v>
      </c>
    </row>
    <row r="166" spans="10:10">
      <c r="J166" s="1">
        <v>1</v>
      </c>
    </row>
    <row r="167" spans="10:10">
      <c r="J167" s="1">
        <v>1</v>
      </c>
    </row>
    <row r="168" spans="10:10">
      <c r="J168" s="1">
        <v>1</v>
      </c>
    </row>
    <row r="169" spans="10:10">
      <c r="J169" s="1">
        <v>1</v>
      </c>
    </row>
    <row r="170" spans="10:10">
      <c r="J170" s="1">
        <v>1</v>
      </c>
    </row>
    <row r="171" spans="10:10">
      <c r="J171" s="1">
        <v>1</v>
      </c>
    </row>
    <row r="172" spans="10:10">
      <c r="J172" s="1">
        <v>1</v>
      </c>
    </row>
    <row r="173" spans="10:10">
      <c r="J173" s="1">
        <v>1</v>
      </c>
    </row>
  </sheetData>
  <mergeCells count="6">
    <mergeCell ref="Q41:Q43"/>
    <mergeCell ref="R41:R43"/>
    <mergeCell ref="Q44:Q45"/>
    <mergeCell ref="R44:R45"/>
    <mergeCell ref="Q46:Q48"/>
    <mergeCell ref="R46:R48"/>
  </mergeCells>
  <phoneticPr fontId="37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S1015"/>
  <sheetViews>
    <sheetView topLeftCell="A349" workbookViewId="0">
      <selection activeCell="O287" sqref="O287"/>
    </sheetView>
  </sheetViews>
  <sheetFormatPr defaultRowHeight="15.75"/>
  <cols>
    <col min="1" max="1" width="9.875" customWidth="1"/>
    <col min="2" max="2" width="9.5" customWidth="1"/>
    <col min="3" max="11" width="5.625" customWidth="1"/>
    <col min="12" max="12" width="10.25" customWidth="1"/>
    <col min="13" max="16" width="5.625" customWidth="1"/>
    <col min="17" max="17" width="9.625" customWidth="1"/>
    <col min="18" max="40" width="5.625" customWidth="1"/>
  </cols>
  <sheetData>
    <row r="1" spans="1:11" ht="24.95" customHeight="1">
      <c r="A1" s="263" t="s">
        <v>173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</row>
    <row r="2" spans="1:11">
      <c r="A2" s="251" t="s">
        <v>174</v>
      </c>
      <c r="B2" s="251" t="s">
        <v>175</v>
      </c>
      <c r="C2" s="204" t="s">
        <v>176</v>
      </c>
      <c r="D2" s="204"/>
      <c r="E2" s="204"/>
      <c r="F2" s="204"/>
      <c r="G2" s="204"/>
      <c r="H2" s="204"/>
      <c r="I2" s="204"/>
      <c r="J2" s="204" t="s">
        <v>177</v>
      </c>
      <c r="K2" s="204"/>
    </row>
    <row r="3" spans="1:11" ht="17.649999999999999">
      <c r="A3" s="204"/>
      <c r="B3" s="204"/>
      <c r="C3" s="20" t="s">
        <v>178</v>
      </c>
      <c r="D3" s="20" t="s">
        <v>179</v>
      </c>
      <c r="E3" s="20" t="s">
        <v>180</v>
      </c>
      <c r="F3" s="20" t="s">
        <v>181</v>
      </c>
      <c r="G3" s="20" t="s">
        <v>182</v>
      </c>
      <c r="H3" s="20" t="s">
        <v>183</v>
      </c>
      <c r="I3" s="20" t="s">
        <v>184</v>
      </c>
      <c r="J3" s="1" t="s">
        <v>185</v>
      </c>
      <c r="K3" s="1" t="s">
        <v>186</v>
      </c>
    </row>
    <row r="4" spans="1:11">
      <c r="A4" s="64">
        <v>0.25</v>
      </c>
      <c r="B4" s="64">
        <v>700</v>
      </c>
      <c r="C4" s="64">
        <v>815</v>
      </c>
      <c r="D4" s="64">
        <v>780</v>
      </c>
      <c r="E4" s="64">
        <v>750</v>
      </c>
      <c r="F4" s="64">
        <v>740</v>
      </c>
      <c r="G4" s="64">
        <v>737</v>
      </c>
      <c r="H4" s="64">
        <v>36</v>
      </c>
      <c r="I4" s="64">
        <v>18</v>
      </c>
      <c r="J4" s="64">
        <v>16</v>
      </c>
      <c r="K4" s="64">
        <v>28</v>
      </c>
    </row>
    <row r="5" spans="1:11">
      <c r="A5" s="64">
        <v>0.25</v>
      </c>
      <c r="B5" s="64">
        <v>800</v>
      </c>
      <c r="C5" s="64">
        <v>915</v>
      </c>
      <c r="D5" s="64">
        <v>880</v>
      </c>
      <c r="E5" s="64">
        <v>850</v>
      </c>
      <c r="F5" s="64">
        <v>840</v>
      </c>
      <c r="G5" s="64">
        <v>837</v>
      </c>
      <c r="H5" s="64">
        <v>36</v>
      </c>
      <c r="I5" s="64">
        <v>18</v>
      </c>
      <c r="J5" s="64">
        <v>16</v>
      </c>
      <c r="K5" s="64">
        <v>32</v>
      </c>
    </row>
    <row r="6" spans="1:11">
      <c r="A6" s="64">
        <v>0.25</v>
      </c>
      <c r="B6" s="64">
        <v>900</v>
      </c>
      <c r="C6" s="64">
        <v>1015</v>
      </c>
      <c r="D6" s="64">
        <v>980</v>
      </c>
      <c r="E6" s="64">
        <v>950</v>
      </c>
      <c r="F6" s="64">
        <v>940</v>
      </c>
      <c r="G6" s="64">
        <v>937</v>
      </c>
      <c r="H6" s="64">
        <v>40</v>
      </c>
      <c r="I6" s="64">
        <v>18</v>
      </c>
      <c r="J6" s="64">
        <v>16</v>
      </c>
      <c r="K6" s="64">
        <v>36</v>
      </c>
    </row>
    <row r="7" spans="1:11">
      <c r="A7" s="64">
        <v>0.25</v>
      </c>
      <c r="B7" s="64">
        <v>1000</v>
      </c>
      <c r="C7" s="64">
        <v>1130</v>
      </c>
      <c r="D7" s="64">
        <v>1090</v>
      </c>
      <c r="E7" s="64">
        <v>1055</v>
      </c>
      <c r="F7" s="64">
        <v>1045</v>
      </c>
      <c r="G7" s="64">
        <v>1042</v>
      </c>
      <c r="H7" s="64">
        <v>40</v>
      </c>
      <c r="I7" s="64">
        <v>23</v>
      </c>
      <c r="J7" s="64">
        <v>20</v>
      </c>
      <c r="K7" s="64">
        <v>32</v>
      </c>
    </row>
    <row r="8" spans="1:11">
      <c r="A8" s="64">
        <v>0.25</v>
      </c>
      <c r="B8" s="64">
        <v>1100</v>
      </c>
      <c r="C8" s="64">
        <v>1230</v>
      </c>
      <c r="D8" s="64">
        <v>1190</v>
      </c>
      <c r="E8" s="64">
        <v>1155</v>
      </c>
      <c r="F8" s="64">
        <v>1141</v>
      </c>
      <c r="G8" s="64">
        <v>1138</v>
      </c>
      <c r="H8" s="64">
        <v>40</v>
      </c>
      <c r="I8" s="64">
        <v>23</v>
      </c>
      <c r="J8" s="64">
        <v>20</v>
      </c>
      <c r="K8" s="64">
        <v>32</v>
      </c>
    </row>
    <row r="9" spans="1:11">
      <c r="A9" s="64">
        <v>0.25</v>
      </c>
      <c r="B9" s="64">
        <v>1200</v>
      </c>
      <c r="C9" s="64">
        <v>1330</v>
      </c>
      <c r="D9" s="64">
        <v>1290</v>
      </c>
      <c r="E9" s="64">
        <v>1255</v>
      </c>
      <c r="F9" s="64">
        <v>1241</v>
      </c>
      <c r="G9" s="64">
        <v>1238</v>
      </c>
      <c r="H9" s="64">
        <v>44</v>
      </c>
      <c r="I9" s="64">
        <v>23</v>
      </c>
      <c r="J9" s="64">
        <v>20</v>
      </c>
      <c r="K9" s="64">
        <v>36</v>
      </c>
    </row>
    <row r="10" spans="1:11">
      <c r="A10" s="64">
        <v>0.25</v>
      </c>
      <c r="B10" s="64">
        <v>1300</v>
      </c>
      <c r="C10" s="64">
        <v>1430</v>
      </c>
      <c r="D10" s="64">
        <v>1390</v>
      </c>
      <c r="E10" s="64">
        <v>1355</v>
      </c>
      <c r="F10" s="64">
        <v>1341</v>
      </c>
      <c r="G10" s="64">
        <v>1338</v>
      </c>
      <c r="H10" s="64">
        <v>46</v>
      </c>
      <c r="I10" s="64">
        <v>23</v>
      </c>
      <c r="J10" s="64">
        <v>20</v>
      </c>
      <c r="K10" s="64">
        <v>40</v>
      </c>
    </row>
    <row r="11" spans="1:11">
      <c r="A11" s="64">
        <v>0.25</v>
      </c>
      <c r="B11" s="64">
        <v>1400</v>
      </c>
      <c r="C11" s="64">
        <v>1530</v>
      </c>
      <c r="D11" s="64">
        <v>1490</v>
      </c>
      <c r="E11" s="64">
        <v>1455</v>
      </c>
      <c r="F11" s="64">
        <v>1441</v>
      </c>
      <c r="G11" s="64">
        <v>1438</v>
      </c>
      <c r="H11" s="64">
        <v>46</v>
      </c>
      <c r="I11" s="64">
        <v>23</v>
      </c>
      <c r="J11" s="64">
        <v>20</v>
      </c>
      <c r="K11" s="64">
        <v>40</v>
      </c>
    </row>
    <row r="12" spans="1:11">
      <c r="A12" s="64">
        <v>0.25</v>
      </c>
      <c r="B12" s="64">
        <v>1500</v>
      </c>
      <c r="C12" s="64">
        <v>1630</v>
      </c>
      <c r="D12" s="64">
        <v>1590</v>
      </c>
      <c r="E12" s="64">
        <v>1555</v>
      </c>
      <c r="F12" s="64">
        <v>1541</v>
      </c>
      <c r="G12" s="64">
        <v>1538</v>
      </c>
      <c r="H12" s="64">
        <v>48</v>
      </c>
      <c r="I12" s="64">
        <v>23</v>
      </c>
      <c r="J12" s="64">
        <v>20</v>
      </c>
      <c r="K12" s="64">
        <v>44</v>
      </c>
    </row>
    <row r="13" spans="1:11">
      <c r="A13" s="64">
        <v>0.25</v>
      </c>
      <c r="B13" s="64">
        <v>1600</v>
      </c>
      <c r="C13" s="64">
        <v>1730</v>
      </c>
      <c r="D13" s="64">
        <v>1690</v>
      </c>
      <c r="E13" s="64">
        <v>1655</v>
      </c>
      <c r="F13" s="64">
        <v>1641</v>
      </c>
      <c r="G13" s="64">
        <v>1638</v>
      </c>
      <c r="H13" s="64">
        <v>50</v>
      </c>
      <c r="I13" s="64">
        <v>23</v>
      </c>
      <c r="J13" s="64">
        <v>20</v>
      </c>
      <c r="K13" s="64">
        <v>48</v>
      </c>
    </row>
    <row r="14" spans="1:11">
      <c r="A14" s="64">
        <v>0.25</v>
      </c>
      <c r="B14" s="64">
        <v>1700</v>
      </c>
      <c r="C14" s="64">
        <v>1830</v>
      </c>
      <c r="D14" s="64">
        <v>1790</v>
      </c>
      <c r="E14" s="64">
        <v>1755</v>
      </c>
      <c r="F14" s="64">
        <v>1741</v>
      </c>
      <c r="G14" s="64">
        <v>1738</v>
      </c>
      <c r="H14" s="64">
        <v>52</v>
      </c>
      <c r="I14" s="64">
        <v>23</v>
      </c>
      <c r="J14" s="64">
        <v>20</v>
      </c>
      <c r="K14" s="64">
        <v>52</v>
      </c>
    </row>
    <row r="15" spans="1:11">
      <c r="A15" s="64">
        <v>0.25</v>
      </c>
      <c r="B15" s="64">
        <v>1800</v>
      </c>
      <c r="C15" s="64">
        <v>1930</v>
      </c>
      <c r="D15" s="64">
        <v>1890</v>
      </c>
      <c r="E15" s="64">
        <v>1855</v>
      </c>
      <c r="F15" s="64">
        <v>1841</v>
      </c>
      <c r="G15" s="64">
        <v>1838</v>
      </c>
      <c r="H15" s="64">
        <v>56</v>
      </c>
      <c r="I15" s="64">
        <v>23</v>
      </c>
      <c r="J15" s="64">
        <v>20</v>
      </c>
      <c r="K15" s="64">
        <v>52</v>
      </c>
    </row>
    <row r="16" spans="1:11">
      <c r="A16" s="64">
        <v>0.25</v>
      </c>
      <c r="B16" s="64">
        <v>1900</v>
      </c>
      <c r="C16" s="64">
        <v>2030</v>
      </c>
      <c r="D16" s="64">
        <v>1990</v>
      </c>
      <c r="E16" s="64">
        <v>1955</v>
      </c>
      <c r="F16" s="64">
        <v>1941</v>
      </c>
      <c r="G16" s="64">
        <v>1938</v>
      </c>
      <c r="H16" s="64">
        <v>56</v>
      </c>
      <c r="I16" s="64">
        <v>23</v>
      </c>
      <c r="J16" s="64">
        <v>20</v>
      </c>
      <c r="K16" s="64">
        <v>56</v>
      </c>
    </row>
    <row r="17" spans="1:11">
      <c r="A17" s="64">
        <v>0.25</v>
      </c>
      <c r="B17" s="64">
        <v>2000</v>
      </c>
      <c r="C17" s="64">
        <v>2130</v>
      </c>
      <c r="D17" s="64">
        <v>2090</v>
      </c>
      <c r="E17" s="64">
        <v>2055</v>
      </c>
      <c r="F17" s="64">
        <v>2041</v>
      </c>
      <c r="G17" s="64">
        <v>2038</v>
      </c>
      <c r="H17" s="64">
        <v>60</v>
      </c>
      <c r="I17" s="64">
        <v>23</v>
      </c>
      <c r="J17" s="64">
        <v>20</v>
      </c>
      <c r="K17" s="64">
        <v>60</v>
      </c>
    </row>
    <row r="18" spans="1:11">
      <c r="A18" s="64">
        <v>0.6</v>
      </c>
      <c r="B18" s="64">
        <v>450</v>
      </c>
      <c r="C18" s="64">
        <v>565</v>
      </c>
      <c r="D18" s="64">
        <v>530</v>
      </c>
      <c r="E18" s="64">
        <v>500</v>
      </c>
      <c r="F18" s="64">
        <v>490</v>
      </c>
      <c r="G18" s="64">
        <v>487</v>
      </c>
      <c r="H18" s="64">
        <v>30</v>
      </c>
      <c r="I18" s="64">
        <v>18</v>
      </c>
      <c r="J18" s="64">
        <v>16</v>
      </c>
      <c r="K18" s="64">
        <v>20</v>
      </c>
    </row>
    <row r="19" spans="1:11">
      <c r="A19" s="64">
        <v>0.6</v>
      </c>
      <c r="B19" s="64">
        <v>500</v>
      </c>
      <c r="C19" s="64">
        <v>615</v>
      </c>
      <c r="D19" s="64">
        <v>580</v>
      </c>
      <c r="E19" s="64">
        <v>550</v>
      </c>
      <c r="F19" s="64">
        <v>540</v>
      </c>
      <c r="G19" s="64">
        <v>537</v>
      </c>
      <c r="H19" s="64">
        <v>30</v>
      </c>
      <c r="I19" s="64">
        <v>18</v>
      </c>
      <c r="J19" s="64">
        <v>16</v>
      </c>
      <c r="K19" s="64">
        <v>20</v>
      </c>
    </row>
    <row r="20" spans="1:11">
      <c r="A20" s="64">
        <v>0.6</v>
      </c>
      <c r="B20" s="64">
        <v>550</v>
      </c>
      <c r="C20" s="64">
        <v>665</v>
      </c>
      <c r="D20" s="64">
        <v>630</v>
      </c>
      <c r="E20" s="64">
        <v>600</v>
      </c>
      <c r="F20" s="64">
        <v>590</v>
      </c>
      <c r="G20" s="64">
        <v>587</v>
      </c>
      <c r="H20" s="64">
        <v>32</v>
      </c>
      <c r="I20" s="64">
        <v>18</v>
      </c>
      <c r="J20" s="64">
        <v>16</v>
      </c>
      <c r="K20" s="64">
        <v>24</v>
      </c>
    </row>
    <row r="21" spans="1:11">
      <c r="A21" s="64">
        <v>0.6</v>
      </c>
      <c r="B21" s="64">
        <v>600</v>
      </c>
      <c r="C21" s="64">
        <v>715</v>
      </c>
      <c r="D21" s="64">
        <v>680</v>
      </c>
      <c r="E21" s="64">
        <v>650</v>
      </c>
      <c r="F21" s="64">
        <v>640</v>
      </c>
      <c r="G21" s="64">
        <v>637</v>
      </c>
      <c r="H21" s="64">
        <v>32</v>
      </c>
      <c r="I21" s="64">
        <v>18</v>
      </c>
      <c r="J21" s="64">
        <v>16</v>
      </c>
      <c r="K21" s="64">
        <v>24</v>
      </c>
    </row>
    <row r="22" spans="1:11">
      <c r="A22" s="64">
        <v>0.6</v>
      </c>
      <c r="B22" s="64">
        <v>650</v>
      </c>
      <c r="C22" s="64">
        <v>765</v>
      </c>
      <c r="D22" s="64">
        <v>730</v>
      </c>
      <c r="E22" s="64">
        <v>700</v>
      </c>
      <c r="F22" s="64">
        <v>690</v>
      </c>
      <c r="G22" s="64">
        <v>687</v>
      </c>
      <c r="H22" s="64">
        <v>36</v>
      </c>
      <c r="I22" s="64">
        <v>18</v>
      </c>
      <c r="J22" s="64">
        <v>16</v>
      </c>
      <c r="K22" s="64">
        <v>28</v>
      </c>
    </row>
    <row r="23" spans="1:11">
      <c r="A23" s="64">
        <v>0.6</v>
      </c>
      <c r="B23" s="64">
        <v>700</v>
      </c>
      <c r="C23" s="64">
        <v>830</v>
      </c>
      <c r="D23" s="64">
        <v>790</v>
      </c>
      <c r="E23" s="64">
        <v>755</v>
      </c>
      <c r="F23" s="64">
        <v>745</v>
      </c>
      <c r="G23" s="64">
        <v>742</v>
      </c>
      <c r="H23" s="64">
        <v>36</v>
      </c>
      <c r="I23" s="64">
        <v>23</v>
      </c>
      <c r="J23" s="64">
        <v>20</v>
      </c>
      <c r="K23" s="64">
        <v>24</v>
      </c>
    </row>
    <row r="24" spans="1:11">
      <c r="A24" s="64">
        <v>0.6</v>
      </c>
      <c r="B24" s="64">
        <v>800</v>
      </c>
      <c r="C24" s="64">
        <v>930</v>
      </c>
      <c r="D24" s="64">
        <v>890</v>
      </c>
      <c r="E24" s="64">
        <v>855</v>
      </c>
      <c r="F24" s="64">
        <v>845</v>
      </c>
      <c r="G24" s="64">
        <v>842</v>
      </c>
      <c r="H24" s="64">
        <v>40</v>
      </c>
      <c r="I24" s="64">
        <v>23</v>
      </c>
      <c r="J24" s="64">
        <v>20</v>
      </c>
      <c r="K24" s="64">
        <v>24</v>
      </c>
    </row>
    <row r="25" spans="1:11">
      <c r="A25" s="64">
        <v>0.6</v>
      </c>
      <c r="B25" s="64">
        <v>900</v>
      </c>
      <c r="C25" s="64">
        <v>1030</v>
      </c>
      <c r="D25" s="64">
        <v>990</v>
      </c>
      <c r="E25" s="64">
        <v>955</v>
      </c>
      <c r="F25" s="64">
        <v>945</v>
      </c>
      <c r="G25" s="64">
        <v>942</v>
      </c>
      <c r="H25" s="64">
        <v>44</v>
      </c>
      <c r="I25" s="64">
        <v>23</v>
      </c>
      <c r="J25" s="64">
        <v>20</v>
      </c>
      <c r="K25" s="64">
        <v>32</v>
      </c>
    </row>
    <row r="26" spans="1:11">
      <c r="A26" s="64">
        <v>0.6</v>
      </c>
      <c r="B26" s="64">
        <v>1000</v>
      </c>
      <c r="C26" s="64">
        <v>1130</v>
      </c>
      <c r="D26" s="64">
        <v>1090</v>
      </c>
      <c r="E26" s="64">
        <v>1055</v>
      </c>
      <c r="F26" s="64">
        <v>1045</v>
      </c>
      <c r="G26" s="64">
        <v>1042</v>
      </c>
      <c r="H26" s="64">
        <v>48</v>
      </c>
      <c r="I26" s="64">
        <v>23</v>
      </c>
      <c r="J26" s="64">
        <v>20</v>
      </c>
      <c r="K26" s="64">
        <v>36</v>
      </c>
    </row>
    <row r="27" spans="1:11">
      <c r="A27" s="64">
        <v>0.6</v>
      </c>
      <c r="B27" s="64">
        <v>1100</v>
      </c>
      <c r="C27" s="64">
        <v>1230</v>
      </c>
      <c r="D27" s="64">
        <v>1190</v>
      </c>
      <c r="E27" s="64">
        <v>1155</v>
      </c>
      <c r="F27" s="64">
        <v>1141</v>
      </c>
      <c r="G27" s="64">
        <v>1138</v>
      </c>
      <c r="H27" s="64">
        <v>55</v>
      </c>
      <c r="I27" s="64">
        <v>23</v>
      </c>
      <c r="J27" s="64">
        <v>20</v>
      </c>
      <c r="K27" s="64">
        <v>44</v>
      </c>
    </row>
    <row r="28" spans="1:11">
      <c r="A28" s="64">
        <v>0.6</v>
      </c>
      <c r="B28" s="64">
        <v>1200</v>
      </c>
      <c r="C28" s="64">
        <v>1330</v>
      </c>
      <c r="D28" s="64">
        <v>1290</v>
      </c>
      <c r="E28" s="64">
        <v>1255</v>
      </c>
      <c r="F28" s="64">
        <v>1241</v>
      </c>
      <c r="G28" s="64">
        <v>1238</v>
      </c>
      <c r="H28" s="64">
        <v>60</v>
      </c>
      <c r="I28" s="64">
        <v>23</v>
      </c>
      <c r="J28" s="64">
        <v>20</v>
      </c>
      <c r="K28" s="64">
        <v>52</v>
      </c>
    </row>
    <row r="29" spans="1:11">
      <c r="A29" s="65">
        <v>1</v>
      </c>
      <c r="B29" s="64">
        <v>300</v>
      </c>
      <c r="C29" s="64">
        <v>415</v>
      </c>
      <c r="D29" s="64">
        <v>380</v>
      </c>
      <c r="E29" s="64">
        <v>350</v>
      </c>
      <c r="F29" s="64">
        <v>340</v>
      </c>
      <c r="G29" s="64">
        <v>337</v>
      </c>
      <c r="H29" s="64">
        <v>26</v>
      </c>
      <c r="I29" s="64">
        <v>18</v>
      </c>
      <c r="J29" s="64">
        <v>16</v>
      </c>
      <c r="K29" s="64">
        <v>16</v>
      </c>
    </row>
    <row r="30" spans="1:11">
      <c r="A30" s="65">
        <v>1</v>
      </c>
      <c r="B30" s="64">
        <v>350</v>
      </c>
      <c r="C30" s="64">
        <v>465</v>
      </c>
      <c r="D30" s="64">
        <v>430</v>
      </c>
      <c r="E30" s="64">
        <v>400</v>
      </c>
      <c r="F30" s="64">
        <v>390</v>
      </c>
      <c r="G30" s="64">
        <v>387</v>
      </c>
      <c r="H30" s="64">
        <v>26</v>
      </c>
      <c r="I30" s="64">
        <v>18</v>
      </c>
      <c r="J30" s="64">
        <v>16</v>
      </c>
      <c r="K30" s="64">
        <v>16</v>
      </c>
    </row>
    <row r="31" spans="1:11">
      <c r="A31" s="65">
        <v>1</v>
      </c>
      <c r="B31" s="64">
        <v>400</v>
      </c>
      <c r="C31" s="64">
        <v>515</v>
      </c>
      <c r="D31" s="64">
        <v>480</v>
      </c>
      <c r="E31" s="64">
        <v>450</v>
      </c>
      <c r="F31" s="64">
        <v>440</v>
      </c>
      <c r="G31" s="64">
        <v>437</v>
      </c>
      <c r="H31" s="64">
        <v>30</v>
      </c>
      <c r="I31" s="64">
        <v>18</v>
      </c>
      <c r="J31" s="64">
        <v>16</v>
      </c>
      <c r="K31" s="64">
        <v>20</v>
      </c>
    </row>
    <row r="32" spans="1:11">
      <c r="A32" s="65">
        <v>1</v>
      </c>
      <c r="B32" s="64">
        <v>450</v>
      </c>
      <c r="C32" s="64">
        <v>565</v>
      </c>
      <c r="D32" s="64">
        <v>530</v>
      </c>
      <c r="E32" s="64">
        <v>500</v>
      </c>
      <c r="F32" s="64">
        <v>490</v>
      </c>
      <c r="G32" s="64">
        <v>487</v>
      </c>
      <c r="H32" s="64">
        <v>34</v>
      </c>
      <c r="I32" s="64">
        <v>18</v>
      </c>
      <c r="J32" s="64">
        <v>16</v>
      </c>
      <c r="K32" s="64">
        <v>24</v>
      </c>
    </row>
    <row r="33" spans="1:13">
      <c r="A33" s="65">
        <v>1</v>
      </c>
      <c r="B33" s="64">
        <v>500</v>
      </c>
      <c r="C33" s="64">
        <v>630</v>
      </c>
      <c r="D33" s="64">
        <v>590</v>
      </c>
      <c r="E33" s="64">
        <v>555</v>
      </c>
      <c r="F33" s="64">
        <v>545</v>
      </c>
      <c r="G33" s="64">
        <v>542</v>
      </c>
      <c r="H33" s="64">
        <v>34</v>
      </c>
      <c r="I33" s="64">
        <v>23</v>
      </c>
      <c r="J33" s="64">
        <v>20</v>
      </c>
      <c r="K33" s="64">
        <v>20</v>
      </c>
    </row>
    <row r="34" spans="1:13">
      <c r="A34" s="65">
        <v>1</v>
      </c>
      <c r="B34" s="64">
        <v>550</v>
      </c>
      <c r="C34" s="64">
        <v>680</v>
      </c>
      <c r="D34" s="64">
        <v>640</v>
      </c>
      <c r="E34" s="64">
        <v>605</v>
      </c>
      <c r="F34" s="64">
        <v>595</v>
      </c>
      <c r="G34" s="64">
        <v>592</v>
      </c>
      <c r="H34" s="64">
        <v>38</v>
      </c>
      <c r="I34" s="64">
        <v>23</v>
      </c>
      <c r="J34" s="64">
        <v>20</v>
      </c>
      <c r="K34" s="64">
        <v>24</v>
      </c>
    </row>
    <row r="35" spans="1:13">
      <c r="A35" s="65">
        <v>1</v>
      </c>
      <c r="B35" s="64">
        <v>600</v>
      </c>
      <c r="C35" s="64">
        <v>730</v>
      </c>
      <c r="D35" s="64">
        <v>690</v>
      </c>
      <c r="E35" s="64">
        <v>655</v>
      </c>
      <c r="F35" s="64">
        <v>645</v>
      </c>
      <c r="G35" s="64">
        <v>642</v>
      </c>
      <c r="H35" s="64">
        <v>40</v>
      </c>
      <c r="I35" s="64">
        <v>23</v>
      </c>
      <c r="J35" s="64">
        <v>20</v>
      </c>
      <c r="K35" s="64">
        <v>24</v>
      </c>
    </row>
    <row r="36" spans="1:13">
      <c r="A36" s="65">
        <v>1</v>
      </c>
      <c r="B36" s="64">
        <v>650</v>
      </c>
      <c r="C36" s="64">
        <v>780</v>
      </c>
      <c r="D36" s="64">
        <v>740</v>
      </c>
      <c r="E36" s="64">
        <v>705</v>
      </c>
      <c r="F36" s="64">
        <v>695</v>
      </c>
      <c r="G36" s="64">
        <v>692</v>
      </c>
      <c r="H36" s="64">
        <v>44</v>
      </c>
      <c r="I36" s="64">
        <v>23</v>
      </c>
      <c r="J36" s="64">
        <v>20</v>
      </c>
      <c r="K36" s="64">
        <v>28</v>
      </c>
    </row>
    <row r="37" spans="1:13">
      <c r="A37" s="65">
        <v>1</v>
      </c>
      <c r="B37" s="64">
        <v>700</v>
      </c>
      <c r="C37" s="64">
        <v>830</v>
      </c>
      <c r="D37" s="64">
        <v>790</v>
      </c>
      <c r="E37" s="64">
        <v>755</v>
      </c>
      <c r="F37" s="64">
        <v>745</v>
      </c>
      <c r="G37" s="64">
        <v>742</v>
      </c>
      <c r="H37" s="64">
        <v>46</v>
      </c>
      <c r="I37" s="64">
        <v>23</v>
      </c>
      <c r="J37" s="64">
        <v>20</v>
      </c>
      <c r="K37" s="64">
        <v>32</v>
      </c>
    </row>
    <row r="38" spans="1:13">
      <c r="A38" s="65">
        <v>1</v>
      </c>
      <c r="B38" s="64">
        <v>800</v>
      </c>
      <c r="C38" s="64">
        <v>930</v>
      </c>
      <c r="D38" s="64">
        <v>890</v>
      </c>
      <c r="E38" s="64">
        <v>855</v>
      </c>
      <c r="F38" s="64">
        <v>845</v>
      </c>
      <c r="G38" s="64">
        <v>842</v>
      </c>
      <c r="H38" s="64">
        <v>54</v>
      </c>
      <c r="I38" s="64">
        <v>23</v>
      </c>
      <c r="J38" s="64">
        <v>20</v>
      </c>
      <c r="K38" s="64">
        <v>40</v>
      </c>
    </row>
    <row r="39" spans="1:13">
      <c r="A39" s="65">
        <v>1</v>
      </c>
      <c r="B39" s="64">
        <v>900</v>
      </c>
      <c r="C39" s="64">
        <v>1030</v>
      </c>
      <c r="D39" s="64">
        <v>990</v>
      </c>
      <c r="E39" s="64">
        <v>955</v>
      </c>
      <c r="F39" s="64">
        <v>945</v>
      </c>
      <c r="G39" s="64">
        <v>942</v>
      </c>
      <c r="H39" s="64">
        <v>60</v>
      </c>
      <c r="I39" s="64">
        <v>23</v>
      </c>
      <c r="J39" s="64">
        <v>20</v>
      </c>
      <c r="K39" s="64">
        <v>48</v>
      </c>
    </row>
    <row r="40" spans="1:13">
      <c r="A40" s="64">
        <v>1.6</v>
      </c>
      <c r="B40" s="64">
        <v>300</v>
      </c>
      <c r="C40" s="64">
        <v>430</v>
      </c>
      <c r="D40" s="64">
        <v>390</v>
      </c>
      <c r="E40" s="64">
        <v>355</v>
      </c>
      <c r="F40" s="64">
        <v>345</v>
      </c>
      <c r="G40" s="64">
        <v>342</v>
      </c>
      <c r="H40" s="64">
        <v>30</v>
      </c>
      <c r="I40" s="64">
        <v>23</v>
      </c>
      <c r="J40" s="64">
        <v>20</v>
      </c>
      <c r="K40" s="64">
        <v>16</v>
      </c>
    </row>
    <row r="41" spans="1:13">
      <c r="A41" s="64">
        <v>1.6</v>
      </c>
      <c r="B41" s="64">
        <v>350</v>
      </c>
      <c r="C41" s="64">
        <v>480</v>
      </c>
      <c r="D41" s="64">
        <v>440</v>
      </c>
      <c r="E41" s="64">
        <v>405</v>
      </c>
      <c r="F41" s="64">
        <v>395</v>
      </c>
      <c r="G41" s="64">
        <v>392</v>
      </c>
      <c r="H41" s="64">
        <v>32</v>
      </c>
      <c r="I41" s="64">
        <v>23</v>
      </c>
      <c r="J41" s="64">
        <v>20</v>
      </c>
      <c r="K41" s="64">
        <v>16</v>
      </c>
    </row>
    <row r="42" spans="1:13">
      <c r="A42" s="64">
        <v>1.6</v>
      </c>
      <c r="B42" s="64">
        <v>400</v>
      </c>
      <c r="C42" s="64">
        <v>530</v>
      </c>
      <c r="D42" s="64">
        <v>490</v>
      </c>
      <c r="E42" s="64">
        <v>455</v>
      </c>
      <c r="F42" s="64">
        <v>445</v>
      </c>
      <c r="G42" s="64">
        <v>442</v>
      </c>
      <c r="H42" s="64">
        <v>36</v>
      </c>
      <c r="I42" s="64">
        <v>23</v>
      </c>
      <c r="J42" s="64">
        <v>20</v>
      </c>
      <c r="K42" s="64">
        <v>20</v>
      </c>
    </row>
    <row r="43" spans="1:13">
      <c r="A43" s="64">
        <v>1.6</v>
      </c>
      <c r="B43" s="64">
        <v>450</v>
      </c>
      <c r="C43" s="64">
        <v>580</v>
      </c>
      <c r="D43" s="64">
        <v>540</v>
      </c>
      <c r="E43" s="64">
        <v>505</v>
      </c>
      <c r="F43" s="64">
        <v>495</v>
      </c>
      <c r="G43" s="64">
        <v>492</v>
      </c>
      <c r="H43" s="64">
        <v>40</v>
      </c>
      <c r="I43" s="64">
        <v>23</v>
      </c>
      <c r="J43" s="64">
        <v>20</v>
      </c>
      <c r="K43" s="64">
        <v>24</v>
      </c>
    </row>
    <row r="44" spans="1:13">
      <c r="A44" s="64">
        <v>1.6</v>
      </c>
      <c r="B44" s="64">
        <v>500</v>
      </c>
      <c r="C44" s="64">
        <v>630</v>
      </c>
      <c r="D44" s="64">
        <v>590</v>
      </c>
      <c r="E44" s="64">
        <v>555</v>
      </c>
      <c r="F44" s="64">
        <v>545</v>
      </c>
      <c r="G44" s="64">
        <v>542</v>
      </c>
      <c r="H44" s="64">
        <v>44</v>
      </c>
      <c r="I44" s="64">
        <v>23</v>
      </c>
      <c r="J44" s="64">
        <v>20</v>
      </c>
      <c r="K44" s="64">
        <v>28</v>
      </c>
    </row>
    <row r="45" spans="1:13">
      <c r="A45" s="64">
        <v>1.6</v>
      </c>
      <c r="B45" s="64">
        <v>550</v>
      </c>
      <c r="C45" s="64">
        <v>680</v>
      </c>
      <c r="D45" s="64">
        <v>640</v>
      </c>
      <c r="E45" s="64">
        <v>605</v>
      </c>
      <c r="F45" s="64">
        <v>595</v>
      </c>
      <c r="G45" s="64">
        <v>592</v>
      </c>
      <c r="H45" s="64">
        <v>50</v>
      </c>
      <c r="I45" s="64">
        <v>23</v>
      </c>
      <c r="J45" s="64">
        <v>20</v>
      </c>
      <c r="K45" s="64">
        <v>36</v>
      </c>
    </row>
    <row r="46" spans="1:13">
      <c r="A46" s="64">
        <v>1.6</v>
      </c>
      <c r="B46" s="64">
        <v>600</v>
      </c>
      <c r="C46" s="64">
        <v>730</v>
      </c>
      <c r="D46" s="64">
        <v>690</v>
      </c>
      <c r="E46" s="64">
        <v>655</v>
      </c>
      <c r="F46" s="64">
        <v>645</v>
      </c>
      <c r="G46" s="64">
        <v>642</v>
      </c>
      <c r="H46" s="64">
        <v>54</v>
      </c>
      <c r="I46" s="64">
        <v>23</v>
      </c>
      <c r="J46" s="64">
        <v>20</v>
      </c>
      <c r="K46" s="64">
        <v>40</v>
      </c>
    </row>
    <row r="47" spans="1:13">
      <c r="A47" s="64">
        <v>1.6</v>
      </c>
      <c r="B47" s="64">
        <v>650</v>
      </c>
      <c r="C47" s="64">
        <v>780</v>
      </c>
      <c r="D47" s="64">
        <v>740</v>
      </c>
      <c r="E47" s="64">
        <v>705</v>
      </c>
      <c r="F47" s="64">
        <v>695</v>
      </c>
      <c r="G47" s="64">
        <v>692</v>
      </c>
      <c r="H47" s="64">
        <v>58</v>
      </c>
      <c r="I47" s="64">
        <v>23</v>
      </c>
      <c r="J47" s="64">
        <v>20</v>
      </c>
      <c r="K47" s="64">
        <v>44</v>
      </c>
    </row>
    <row r="48" spans="1:13" ht="25.15">
      <c r="A48" s="263" t="s">
        <v>187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3"/>
      <c r="L48" s="263"/>
      <c r="M48" s="263"/>
    </row>
    <row r="49" spans="1:13">
      <c r="A49" s="251" t="s">
        <v>174</v>
      </c>
      <c r="B49" s="251" t="s">
        <v>175</v>
      </c>
      <c r="C49" s="204" t="s">
        <v>176</v>
      </c>
      <c r="D49" s="204"/>
      <c r="E49" s="204"/>
      <c r="F49" s="204"/>
      <c r="G49" s="204"/>
      <c r="H49" s="204"/>
      <c r="I49" s="204"/>
      <c r="J49" s="204"/>
      <c r="K49" s="204"/>
      <c r="L49" s="204" t="s">
        <v>177</v>
      </c>
      <c r="M49" s="204"/>
    </row>
    <row r="50" spans="1:13" ht="17.649999999999999">
      <c r="A50" s="204"/>
      <c r="B50" s="204"/>
      <c r="C50" s="20" t="s">
        <v>178</v>
      </c>
      <c r="D50" s="20" t="s">
        <v>179</v>
      </c>
      <c r="E50" s="20" t="s">
        <v>180</v>
      </c>
      <c r="F50" s="20" t="s">
        <v>181</v>
      </c>
      <c r="G50" s="20" t="s">
        <v>182</v>
      </c>
      <c r="H50" s="20" t="s">
        <v>183</v>
      </c>
      <c r="I50" s="20" t="s">
        <v>188</v>
      </c>
      <c r="J50" s="20" t="s">
        <v>189</v>
      </c>
      <c r="K50" s="20" t="s">
        <v>184</v>
      </c>
      <c r="L50" s="1" t="s">
        <v>185</v>
      </c>
      <c r="M50" s="1" t="s">
        <v>186</v>
      </c>
    </row>
    <row r="51" spans="1:13">
      <c r="A51" s="64">
        <v>0.25</v>
      </c>
      <c r="B51" s="64">
        <v>2600</v>
      </c>
      <c r="C51" s="64">
        <v>2760</v>
      </c>
      <c r="D51" s="64">
        <v>2715</v>
      </c>
      <c r="E51" s="64">
        <v>2676</v>
      </c>
      <c r="F51" s="64">
        <v>2656</v>
      </c>
      <c r="G51" s="64">
        <v>2653</v>
      </c>
      <c r="H51" s="64">
        <v>96</v>
      </c>
      <c r="I51" s="64">
        <v>345</v>
      </c>
      <c r="J51" s="64">
        <v>16</v>
      </c>
      <c r="K51" s="64">
        <v>27</v>
      </c>
      <c r="L51" s="64">
        <v>24</v>
      </c>
      <c r="M51" s="64">
        <v>72</v>
      </c>
    </row>
    <row r="52" spans="1:13">
      <c r="A52" s="64">
        <v>0.25</v>
      </c>
      <c r="B52" s="64">
        <v>2800</v>
      </c>
      <c r="C52" s="64">
        <v>2960</v>
      </c>
      <c r="D52" s="64">
        <v>2915</v>
      </c>
      <c r="E52" s="64">
        <v>2876</v>
      </c>
      <c r="F52" s="64">
        <v>2856</v>
      </c>
      <c r="G52" s="64">
        <v>2853</v>
      </c>
      <c r="H52" s="64">
        <v>102</v>
      </c>
      <c r="I52" s="64">
        <v>350</v>
      </c>
      <c r="J52" s="64">
        <v>16</v>
      </c>
      <c r="K52" s="64">
        <v>27</v>
      </c>
      <c r="L52" s="64">
        <v>24</v>
      </c>
      <c r="M52" s="64">
        <v>80</v>
      </c>
    </row>
    <row r="53" spans="1:13">
      <c r="A53" s="64">
        <v>0.25</v>
      </c>
      <c r="B53" s="64">
        <v>3000</v>
      </c>
      <c r="C53" s="64">
        <v>3160</v>
      </c>
      <c r="D53" s="64">
        <v>3115</v>
      </c>
      <c r="E53" s="64">
        <v>3076</v>
      </c>
      <c r="F53" s="64">
        <v>3056</v>
      </c>
      <c r="G53" s="64">
        <v>3053</v>
      </c>
      <c r="H53" s="64">
        <v>104</v>
      </c>
      <c r="I53" s="64">
        <v>355</v>
      </c>
      <c r="J53" s="64">
        <v>16</v>
      </c>
      <c r="K53" s="64">
        <v>27</v>
      </c>
      <c r="L53" s="64">
        <v>24</v>
      </c>
      <c r="M53" s="64">
        <v>84</v>
      </c>
    </row>
    <row r="54" spans="1:13">
      <c r="A54" s="64">
        <v>0.6</v>
      </c>
      <c r="B54" s="64">
        <v>1300</v>
      </c>
      <c r="C54" s="64">
        <v>1460</v>
      </c>
      <c r="D54" s="64">
        <v>1415</v>
      </c>
      <c r="E54" s="64">
        <v>1376</v>
      </c>
      <c r="F54" s="64">
        <v>1356</v>
      </c>
      <c r="G54" s="64">
        <v>1353</v>
      </c>
      <c r="H54" s="64">
        <v>70</v>
      </c>
      <c r="I54" s="64">
        <v>270</v>
      </c>
      <c r="J54" s="64">
        <v>16</v>
      </c>
      <c r="K54" s="64">
        <v>27</v>
      </c>
      <c r="L54" s="64">
        <v>24</v>
      </c>
      <c r="M54" s="64">
        <v>36</v>
      </c>
    </row>
    <row r="55" spans="1:13">
      <c r="A55" s="64">
        <v>0.6</v>
      </c>
      <c r="B55" s="64">
        <v>1400</v>
      </c>
      <c r="C55" s="64">
        <v>1560</v>
      </c>
      <c r="D55" s="64">
        <v>1515</v>
      </c>
      <c r="E55" s="64">
        <v>1476</v>
      </c>
      <c r="F55" s="64">
        <v>1456</v>
      </c>
      <c r="G55" s="64">
        <v>1453</v>
      </c>
      <c r="H55" s="64">
        <v>72</v>
      </c>
      <c r="I55" s="64">
        <v>270</v>
      </c>
      <c r="J55" s="64">
        <v>16</v>
      </c>
      <c r="K55" s="64">
        <v>27</v>
      </c>
      <c r="L55" s="64">
        <v>24</v>
      </c>
      <c r="M55" s="64">
        <v>40</v>
      </c>
    </row>
    <row r="56" spans="1:13">
      <c r="A56" s="64">
        <v>0.6</v>
      </c>
      <c r="B56" s="64">
        <v>1500</v>
      </c>
      <c r="C56" s="64">
        <v>1660</v>
      </c>
      <c r="D56" s="64">
        <v>1615</v>
      </c>
      <c r="E56" s="64">
        <v>1576</v>
      </c>
      <c r="F56" s="64">
        <v>1556</v>
      </c>
      <c r="G56" s="64">
        <v>1553</v>
      </c>
      <c r="H56" s="64">
        <v>74</v>
      </c>
      <c r="I56" s="64">
        <v>270</v>
      </c>
      <c r="J56" s="64">
        <v>16</v>
      </c>
      <c r="K56" s="64">
        <v>27</v>
      </c>
      <c r="L56" s="64">
        <v>24</v>
      </c>
      <c r="M56" s="64">
        <v>40</v>
      </c>
    </row>
    <row r="57" spans="1:13">
      <c r="A57" s="64">
        <v>0.6</v>
      </c>
      <c r="B57" s="64">
        <v>1600</v>
      </c>
      <c r="C57" s="64">
        <v>1760</v>
      </c>
      <c r="D57" s="64">
        <v>1715</v>
      </c>
      <c r="E57" s="64">
        <v>1676</v>
      </c>
      <c r="F57" s="64">
        <v>1656</v>
      </c>
      <c r="G57" s="64">
        <v>1653</v>
      </c>
      <c r="H57" s="64">
        <v>76</v>
      </c>
      <c r="I57" s="64">
        <v>275</v>
      </c>
      <c r="J57" s="64">
        <v>16</v>
      </c>
      <c r="K57" s="64">
        <v>27</v>
      </c>
      <c r="L57" s="64">
        <v>24</v>
      </c>
      <c r="M57" s="64">
        <v>44</v>
      </c>
    </row>
    <row r="58" spans="1:13">
      <c r="A58" s="64">
        <v>0.6</v>
      </c>
      <c r="B58" s="64">
        <v>1700</v>
      </c>
      <c r="C58" s="64">
        <v>1860</v>
      </c>
      <c r="D58" s="64">
        <v>1815</v>
      </c>
      <c r="E58" s="64">
        <v>1776</v>
      </c>
      <c r="F58" s="64">
        <v>1756</v>
      </c>
      <c r="G58" s="64">
        <v>1753</v>
      </c>
      <c r="H58" s="64">
        <v>78</v>
      </c>
      <c r="I58" s="64">
        <v>280</v>
      </c>
      <c r="J58" s="64">
        <v>16</v>
      </c>
      <c r="K58" s="64">
        <v>27</v>
      </c>
      <c r="L58" s="64">
        <v>24</v>
      </c>
      <c r="M58" s="64">
        <v>48</v>
      </c>
    </row>
    <row r="59" spans="1:13">
      <c r="A59" s="64">
        <v>0.6</v>
      </c>
      <c r="B59" s="64">
        <v>1800</v>
      </c>
      <c r="C59" s="64">
        <v>1960</v>
      </c>
      <c r="D59" s="64">
        <v>1915</v>
      </c>
      <c r="E59" s="64">
        <v>1876</v>
      </c>
      <c r="F59" s="64">
        <v>1856</v>
      </c>
      <c r="G59" s="64">
        <v>1853</v>
      </c>
      <c r="H59" s="64">
        <v>80</v>
      </c>
      <c r="I59" s="64">
        <v>280</v>
      </c>
      <c r="J59" s="64">
        <v>16</v>
      </c>
      <c r="K59" s="64">
        <v>27</v>
      </c>
      <c r="L59" s="64">
        <v>24</v>
      </c>
      <c r="M59" s="64">
        <v>52</v>
      </c>
    </row>
    <row r="60" spans="1:13">
      <c r="A60" s="64">
        <v>0.6</v>
      </c>
      <c r="B60" s="64">
        <v>1900</v>
      </c>
      <c r="C60" s="64">
        <v>2060</v>
      </c>
      <c r="D60" s="64">
        <v>2015</v>
      </c>
      <c r="E60" s="64">
        <v>1976</v>
      </c>
      <c r="F60" s="64">
        <v>1956</v>
      </c>
      <c r="G60" s="64">
        <v>1953</v>
      </c>
      <c r="H60" s="64">
        <v>84</v>
      </c>
      <c r="I60" s="64">
        <v>285</v>
      </c>
      <c r="J60" s="64">
        <v>16</v>
      </c>
      <c r="K60" s="64">
        <v>27</v>
      </c>
      <c r="L60" s="64">
        <v>24</v>
      </c>
      <c r="M60" s="64">
        <v>56</v>
      </c>
    </row>
    <row r="61" spans="1:13">
      <c r="A61" s="64">
        <v>0.6</v>
      </c>
      <c r="B61" s="64">
        <v>2000</v>
      </c>
      <c r="C61" s="64">
        <v>2160</v>
      </c>
      <c r="D61" s="64">
        <v>2115</v>
      </c>
      <c r="E61" s="64">
        <v>2076</v>
      </c>
      <c r="F61" s="64">
        <v>2056</v>
      </c>
      <c r="G61" s="64">
        <v>2053</v>
      </c>
      <c r="H61" s="64">
        <v>87</v>
      </c>
      <c r="I61" s="64">
        <v>285</v>
      </c>
      <c r="J61" s="64">
        <v>16</v>
      </c>
      <c r="K61" s="64">
        <v>27</v>
      </c>
      <c r="L61" s="64">
        <v>24</v>
      </c>
      <c r="M61" s="64">
        <v>60</v>
      </c>
    </row>
    <row r="62" spans="1:13">
      <c r="A62" s="64">
        <v>0.6</v>
      </c>
      <c r="B62" s="64">
        <v>2200</v>
      </c>
      <c r="C62" s="64">
        <v>2360</v>
      </c>
      <c r="D62" s="64">
        <v>2315</v>
      </c>
      <c r="E62" s="64">
        <v>2276</v>
      </c>
      <c r="F62" s="64">
        <v>2256</v>
      </c>
      <c r="G62" s="64">
        <v>2253</v>
      </c>
      <c r="H62" s="64">
        <v>90</v>
      </c>
      <c r="I62" s="64">
        <v>340</v>
      </c>
      <c r="J62" s="64">
        <v>16</v>
      </c>
      <c r="K62" s="64">
        <v>27</v>
      </c>
      <c r="L62" s="64">
        <v>24</v>
      </c>
      <c r="M62" s="64">
        <v>64</v>
      </c>
    </row>
    <row r="63" spans="1:13">
      <c r="A63" s="64">
        <v>0.6</v>
      </c>
      <c r="B63" s="64">
        <v>2400</v>
      </c>
      <c r="C63" s="64">
        <v>2560</v>
      </c>
      <c r="D63" s="64">
        <v>2515</v>
      </c>
      <c r="E63" s="64">
        <v>2476</v>
      </c>
      <c r="F63" s="64">
        <v>2456</v>
      </c>
      <c r="G63" s="64">
        <v>2453</v>
      </c>
      <c r="H63" s="64">
        <v>92</v>
      </c>
      <c r="I63" s="64">
        <v>340</v>
      </c>
      <c r="J63" s="64">
        <v>16</v>
      </c>
      <c r="K63" s="64">
        <v>27</v>
      </c>
      <c r="L63" s="64">
        <v>24</v>
      </c>
      <c r="M63" s="64">
        <v>68</v>
      </c>
    </row>
    <row r="64" spans="1:13">
      <c r="A64" s="65">
        <v>1</v>
      </c>
      <c r="B64" s="64">
        <v>1000</v>
      </c>
      <c r="C64" s="64">
        <v>1140</v>
      </c>
      <c r="D64" s="64">
        <v>1100</v>
      </c>
      <c r="E64" s="64">
        <v>1065</v>
      </c>
      <c r="F64" s="64">
        <v>1055</v>
      </c>
      <c r="G64" s="64">
        <v>1052</v>
      </c>
      <c r="H64" s="64">
        <v>62</v>
      </c>
      <c r="I64" s="64">
        <v>260</v>
      </c>
      <c r="J64" s="64">
        <v>12</v>
      </c>
      <c r="K64" s="64">
        <v>23</v>
      </c>
      <c r="L64" s="64">
        <v>20</v>
      </c>
      <c r="M64" s="64">
        <v>40</v>
      </c>
    </row>
    <row r="65" spans="1:13">
      <c r="A65" s="65">
        <v>1</v>
      </c>
      <c r="B65" s="64">
        <v>1100</v>
      </c>
      <c r="C65" s="64">
        <v>1260</v>
      </c>
      <c r="D65" s="64">
        <v>1215</v>
      </c>
      <c r="E65" s="64">
        <v>1176</v>
      </c>
      <c r="F65" s="64">
        <v>1156</v>
      </c>
      <c r="G65" s="64">
        <v>1153</v>
      </c>
      <c r="H65" s="64">
        <v>64</v>
      </c>
      <c r="I65" s="64">
        <v>265</v>
      </c>
      <c r="J65" s="64">
        <v>16</v>
      </c>
      <c r="K65" s="64">
        <v>27</v>
      </c>
      <c r="L65" s="64">
        <v>24</v>
      </c>
      <c r="M65" s="64">
        <v>32</v>
      </c>
    </row>
    <row r="66" spans="1:13">
      <c r="A66" s="65">
        <v>1</v>
      </c>
      <c r="B66" s="64">
        <v>1200</v>
      </c>
      <c r="C66" s="64">
        <v>1360</v>
      </c>
      <c r="D66" s="64">
        <v>1315</v>
      </c>
      <c r="E66" s="64">
        <v>1276</v>
      </c>
      <c r="F66" s="64">
        <v>1256</v>
      </c>
      <c r="G66" s="64">
        <v>1253</v>
      </c>
      <c r="H66" s="64">
        <v>66</v>
      </c>
      <c r="I66" s="64">
        <v>265</v>
      </c>
      <c r="J66" s="64">
        <v>16</v>
      </c>
      <c r="K66" s="64">
        <v>27</v>
      </c>
      <c r="L66" s="64">
        <v>24</v>
      </c>
      <c r="M66" s="64">
        <v>36</v>
      </c>
    </row>
    <row r="67" spans="1:13">
      <c r="A67" s="65">
        <v>1</v>
      </c>
      <c r="B67" s="64">
        <v>1300</v>
      </c>
      <c r="C67" s="64">
        <v>1460</v>
      </c>
      <c r="D67" s="64">
        <v>1415</v>
      </c>
      <c r="E67" s="64">
        <v>1376</v>
      </c>
      <c r="F67" s="64">
        <v>1356</v>
      </c>
      <c r="G67" s="64">
        <v>1353</v>
      </c>
      <c r="H67" s="64">
        <v>70</v>
      </c>
      <c r="I67" s="64">
        <v>270</v>
      </c>
      <c r="J67" s="64">
        <v>16</v>
      </c>
      <c r="K67" s="64">
        <v>27</v>
      </c>
      <c r="L67" s="64">
        <v>24</v>
      </c>
      <c r="M67" s="64">
        <v>40</v>
      </c>
    </row>
    <row r="68" spans="1:13">
      <c r="A68" s="65">
        <v>1</v>
      </c>
      <c r="B68" s="64">
        <v>1400</v>
      </c>
      <c r="C68" s="64">
        <v>1560</v>
      </c>
      <c r="D68" s="64">
        <v>1515</v>
      </c>
      <c r="E68" s="64">
        <v>1476</v>
      </c>
      <c r="F68" s="64">
        <v>1456</v>
      </c>
      <c r="G68" s="64">
        <v>1453</v>
      </c>
      <c r="H68" s="64">
        <v>74</v>
      </c>
      <c r="I68" s="64">
        <v>270</v>
      </c>
      <c r="J68" s="64">
        <v>16</v>
      </c>
      <c r="K68" s="64">
        <v>27</v>
      </c>
      <c r="L68" s="64">
        <v>24</v>
      </c>
      <c r="M68" s="64">
        <v>44</v>
      </c>
    </row>
    <row r="69" spans="1:13">
      <c r="A69" s="65">
        <v>1</v>
      </c>
      <c r="B69" s="64">
        <v>1500</v>
      </c>
      <c r="C69" s="64">
        <v>1660</v>
      </c>
      <c r="D69" s="64">
        <v>1615</v>
      </c>
      <c r="E69" s="64">
        <v>1576</v>
      </c>
      <c r="F69" s="64">
        <v>1556</v>
      </c>
      <c r="G69" s="64">
        <v>1553</v>
      </c>
      <c r="H69" s="64">
        <v>78</v>
      </c>
      <c r="I69" s="64">
        <v>275</v>
      </c>
      <c r="J69" s="64">
        <v>16</v>
      </c>
      <c r="K69" s="64">
        <v>27</v>
      </c>
      <c r="L69" s="64">
        <v>24</v>
      </c>
      <c r="M69" s="64">
        <v>48</v>
      </c>
    </row>
    <row r="70" spans="1:13">
      <c r="A70" s="65">
        <v>1</v>
      </c>
      <c r="B70" s="64">
        <v>1600</v>
      </c>
      <c r="C70" s="64">
        <v>1760</v>
      </c>
      <c r="D70" s="64">
        <v>1715</v>
      </c>
      <c r="E70" s="64">
        <v>1676</v>
      </c>
      <c r="F70" s="64">
        <v>1656</v>
      </c>
      <c r="G70" s="64">
        <v>1653</v>
      </c>
      <c r="H70" s="64">
        <v>82</v>
      </c>
      <c r="I70" s="64">
        <v>280</v>
      </c>
      <c r="J70" s="64">
        <v>16</v>
      </c>
      <c r="K70" s="64">
        <v>27</v>
      </c>
      <c r="L70" s="64">
        <v>24</v>
      </c>
      <c r="M70" s="64">
        <v>52</v>
      </c>
    </row>
    <row r="71" spans="1:13">
      <c r="A71" s="65">
        <v>1</v>
      </c>
      <c r="B71" s="64">
        <v>1700</v>
      </c>
      <c r="C71" s="64">
        <v>1860</v>
      </c>
      <c r="D71" s="64">
        <v>1815</v>
      </c>
      <c r="E71" s="64">
        <v>1776</v>
      </c>
      <c r="F71" s="64">
        <v>1756</v>
      </c>
      <c r="G71" s="64">
        <v>1753</v>
      </c>
      <c r="H71" s="64">
        <v>88</v>
      </c>
      <c r="I71" s="64">
        <v>280</v>
      </c>
      <c r="J71" s="64">
        <v>16</v>
      </c>
      <c r="K71" s="64">
        <v>27</v>
      </c>
      <c r="L71" s="64">
        <v>24</v>
      </c>
      <c r="M71" s="64">
        <v>56</v>
      </c>
    </row>
    <row r="72" spans="1:13">
      <c r="A72" s="65">
        <v>1</v>
      </c>
      <c r="B72" s="64">
        <v>1800</v>
      </c>
      <c r="C72" s="64">
        <v>1960</v>
      </c>
      <c r="D72" s="64">
        <v>1915</v>
      </c>
      <c r="E72" s="64">
        <v>1876</v>
      </c>
      <c r="F72" s="64">
        <v>1856</v>
      </c>
      <c r="G72" s="64">
        <v>1853</v>
      </c>
      <c r="H72" s="64">
        <v>94</v>
      </c>
      <c r="I72" s="64">
        <v>290</v>
      </c>
      <c r="J72" s="64">
        <v>16</v>
      </c>
      <c r="K72" s="64">
        <v>27</v>
      </c>
      <c r="L72" s="64">
        <v>24</v>
      </c>
      <c r="M72" s="64">
        <v>60</v>
      </c>
    </row>
    <row r="73" spans="1:13">
      <c r="A73" s="64">
        <v>1.6</v>
      </c>
      <c r="B73" s="64">
        <v>700</v>
      </c>
      <c r="C73" s="64">
        <v>860</v>
      </c>
      <c r="D73" s="64">
        <v>815</v>
      </c>
      <c r="E73" s="64">
        <v>776</v>
      </c>
      <c r="F73" s="64">
        <v>766</v>
      </c>
      <c r="G73" s="64">
        <v>763</v>
      </c>
      <c r="H73" s="64">
        <v>46</v>
      </c>
      <c r="I73" s="64">
        <v>200</v>
      </c>
      <c r="J73" s="64">
        <v>16</v>
      </c>
      <c r="K73" s="64">
        <v>27</v>
      </c>
      <c r="L73" s="64">
        <v>24</v>
      </c>
      <c r="M73" s="64">
        <v>24</v>
      </c>
    </row>
    <row r="74" spans="1:13">
      <c r="A74" s="64">
        <v>1.6</v>
      </c>
      <c r="B74" s="64">
        <v>800</v>
      </c>
      <c r="C74" s="64">
        <v>960</v>
      </c>
      <c r="D74" s="64">
        <v>915</v>
      </c>
      <c r="E74" s="64">
        <v>876</v>
      </c>
      <c r="F74" s="64">
        <v>866</v>
      </c>
      <c r="G74" s="64">
        <v>863</v>
      </c>
      <c r="H74" s="64">
        <v>48</v>
      </c>
      <c r="I74" s="64">
        <v>200</v>
      </c>
      <c r="J74" s="64">
        <v>16</v>
      </c>
      <c r="K74" s="64">
        <v>27</v>
      </c>
      <c r="L74" s="64">
        <v>24</v>
      </c>
      <c r="M74" s="64">
        <v>24</v>
      </c>
    </row>
    <row r="75" spans="1:13">
      <c r="A75" s="64">
        <v>1.6</v>
      </c>
      <c r="B75" s="64">
        <v>900</v>
      </c>
      <c r="C75" s="64">
        <v>1060</v>
      </c>
      <c r="D75" s="64">
        <v>1015</v>
      </c>
      <c r="E75" s="64">
        <v>976</v>
      </c>
      <c r="F75" s="64">
        <v>966</v>
      </c>
      <c r="G75" s="64">
        <v>963</v>
      </c>
      <c r="H75" s="64">
        <v>56</v>
      </c>
      <c r="I75" s="64">
        <v>205</v>
      </c>
      <c r="J75" s="64">
        <v>16</v>
      </c>
      <c r="K75" s="64">
        <v>27</v>
      </c>
      <c r="L75" s="64">
        <v>24</v>
      </c>
      <c r="M75" s="64">
        <v>28</v>
      </c>
    </row>
    <row r="76" spans="1:13">
      <c r="A76" s="64">
        <v>1.6</v>
      </c>
      <c r="B76" s="64">
        <v>1000</v>
      </c>
      <c r="C76" s="64">
        <v>1160</v>
      </c>
      <c r="D76" s="64">
        <v>1115</v>
      </c>
      <c r="E76" s="64">
        <v>1076</v>
      </c>
      <c r="F76" s="64">
        <v>1066</v>
      </c>
      <c r="G76" s="64">
        <v>1063</v>
      </c>
      <c r="H76" s="64">
        <v>66</v>
      </c>
      <c r="I76" s="64">
        <v>260</v>
      </c>
      <c r="J76" s="64">
        <v>16</v>
      </c>
      <c r="K76" s="64">
        <v>27</v>
      </c>
      <c r="L76" s="64">
        <v>24</v>
      </c>
      <c r="M76" s="64">
        <v>32</v>
      </c>
    </row>
    <row r="77" spans="1:13">
      <c r="A77" s="64">
        <v>1.6</v>
      </c>
      <c r="B77" s="64">
        <v>1100</v>
      </c>
      <c r="C77" s="64">
        <v>1260</v>
      </c>
      <c r="D77" s="64">
        <v>1215</v>
      </c>
      <c r="E77" s="64">
        <v>1176</v>
      </c>
      <c r="F77" s="64">
        <v>1156</v>
      </c>
      <c r="G77" s="64">
        <v>1153</v>
      </c>
      <c r="H77" s="64">
        <v>76</v>
      </c>
      <c r="I77" s="64">
        <v>270</v>
      </c>
      <c r="J77" s="64">
        <v>16</v>
      </c>
      <c r="K77" s="64">
        <v>27</v>
      </c>
      <c r="L77" s="64">
        <v>24</v>
      </c>
      <c r="M77" s="64">
        <v>36</v>
      </c>
    </row>
    <row r="78" spans="1:13">
      <c r="A78" s="64">
        <v>1.6</v>
      </c>
      <c r="B78" s="64">
        <v>1200</v>
      </c>
      <c r="C78" s="64">
        <v>1360</v>
      </c>
      <c r="D78" s="64">
        <v>1315</v>
      </c>
      <c r="E78" s="64">
        <v>1276</v>
      </c>
      <c r="F78" s="64">
        <v>1256</v>
      </c>
      <c r="G78" s="64">
        <v>1253</v>
      </c>
      <c r="H78" s="64">
        <v>85</v>
      </c>
      <c r="I78" s="64">
        <v>280</v>
      </c>
      <c r="J78" s="64">
        <v>16</v>
      </c>
      <c r="K78" s="64">
        <v>27</v>
      </c>
      <c r="L78" s="64">
        <v>24</v>
      </c>
      <c r="M78" s="64">
        <v>40</v>
      </c>
    </row>
    <row r="79" spans="1:13">
      <c r="A79" s="64">
        <v>1.6</v>
      </c>
      <c r="B79" s="64">
        <v>1300</v>
      </c>
      <c r="C79" s="64">
        <v>1460</v>
      </c>
      <c r="D79" s="64">
        <v>1415</v>
      </c>
      <c r="E79" s="64">
        <v>1376</v>
      </c>
      <c r="F79" s="64">
        <v>1356</v>
      </c>
      <c r="G79" s="64">
        <v>1353</v>
      </c>
      <c r="H79" s="64">
        <v>94</v>
      </c>
      <c r="I79" s="64">
        <v>290</v>
      </c>
      <c r="J79" s="64">
        <v>16</v>
      </c>
      <c r="K79" s="64">
        <v>27</v>
      </c>
      <c r="L79" s="64">
        <v>24</v>
      </c>
      <c r="M79" s="64">
        <v>44</v>
      </c>
    </row>
    <row r="80" spans="1:13">
      <c r="A80" s="64">
        <v>1.6</v>
      </c>
      <c r="B80" s="64">
        <v>1400</v>
      </c>
      <c r="C80" s="64">
        <v>1560</v>
      </c>
      <c r="D80" s="64">
        <v>1515</v>
      </c>
      <c r="E80" s="64">
        <v>1476</v>
      </c>
      <c r="F80" s="64">
        <v>1456</v>
      </c>
      <c r="G80" s="64">
        <v>1453</v>
      </c>
      <c r="H80" s="64">
        <v>103</v>
      </c>
      <c r="I80" s="64">
        <v>295</v>
      </c>
      <c r="J80" s="64">
        <v>16</v>
      </c>
      <c r="K80" s="64">
        <v>27</v>
      </c>
      <c r="L80" s="64">
        <v>24</v>
      </c>
      <c r="M80" s="64">
        <v>52</v>
      </c>
    </row>
    <row r="81" spans="1:13">
      <c r="A81" s="64">
        <v>2.5</v>
      </c>
      <c r="B81" s="64">
        <v>300</v>
      </c>
      <c r="C81" s="64">
        <v>440</v>
      </c>
      <c r="D81" s="64">
        <v>400</v>
      </c>
      <c r="E81" s="64">
        <v>365</v>
      </c>
      <c r="F81" s="64">
        <v>355</v>
      </c>
      <c r="G81" s="64">
        <v>352</v>
      </c>
      <c r="H81" s="64">
        <v>35</v>
      </c>
      <c r="I81" s="64">
        <v>180</v>
      </c>
      <c r="J81" s="64">
        <v>12</v>
      </c>
      <c r="K81" s="64">
        <v>23</v>
      </c>
      <c r="L81" s="64">
        <v>20</v>
      </c>
      <c r="M81" s="64">
        <v>16</v>
      </c>
    </row>
    <row r="82" spans="1:13">
      <c r="A82" s="64">
        <v>2.5</v>
      </c>
      <c r="B82" s="64">
        <v>350</v>
      </c>
      <c r="C82" s="64">
        <v>490</v>
      </c>
      <c r="D82" s="64">
        <v>450</v>
      </c>
      <c r="E82" s="64">
        <v>415</v>
      </c>
      <c r="F82" s="64">
        <v>405</v>
      </c>
      <c r="G82" s="64">
        <v>402</v>
      </c>
      <c r="H82" s="64">
        <v>37</v>
      </c>
      <c r="I82" s="64">
        <v>185</v>
      </c>
      <c r="J82" s="64">
        <v>12</v>
      </c>
      <c r="K82" s="64">
        <v>23</v>
      </c>
      <c r="L82" s="64">
        <v>20</v>
      </c>
      <c r="M82" s="64">
        <v>16</v>
      </c>
    </row>
    <row r="83" spans="1:13">
      <c r="A83" s="64">
        <v>2.5</v>
      </c>
      <c r="B83" s="64">
        <v>400</v>
      </c>
      <c r="C83" s="64">
        <v>540</v>
      </c>
      <c r="D83" s="64">
        <v>500</v>
      </c>
      <c r="E83" s="64">
        <v>465</v>
      </c>
      <c r="F83" s="64">
        <v>455</v>
      </c>
      <c r="G83" s="64">
        <v>452</v>
      </c>
      <c r="H83" s="64">
        <v>42</v>
      </c>
      <c r="I83" s="64">
        <v>190</v>
      </c>
      <c r="J83" s="64">
        <v>12</v>
      </c>
      <c r="K83" s="64">
        <v>23</v>
      </c>
      <c r="L83" s="64">
        <v>20</v>
      </c>
      <c r="M83" s="64">
        <v>20</v>
      </c>
    </row>
    <row r="84" spans="1:13">
      <c r="A84" s="64">
        <v>2.5</v>
      </c>
      <c r="B84" s="64">
        <v>450</v>
      </c>
      <c r="C84" s="64">
        <v>590</v>
      </c>
      <c r="D84" s="64">
        <v>550</v>
      </c>
      <c r="E84" s="64">
        <v>515</v>
      </c>
      <c r="F84" s="64">
        <v>505</v>
      </c>
      <c r="G84" s="64">
        <v>502</v>
      </c>
      <c r="H84" s="64">
        <v>43</v>
      </c>
      <c r="I84" s="64">
        <v>190</v>
      </c>
      <c r="J84" s="64">
        <v>12</v>
      </c>
      <c r="K84" s="64">
        <v>23</v>
      </c>
      <c r="L84" s="64">
        <v>20</v>
      </c>
      <c r="M84" s="64">
        <v>20</v>
      </c>
    </row>
    <row r="85" spans="1:13">
      <c r="A85" s="64">
        <v>2.5</v>
      </c>
      <c r="B85" s="64">
        <v>500</v>
      </c>
      <c r="C85" s="64">
        <v>660</v>
      </c>
      <c r="D85" s="64">
        <v>615</v>
      </c>
      <c r="E85" s="64">
        <v>576</v>
      </c>
      <c r="F85" s="64">
        <v>566</v>
      </c>
      <c r="G85" s="64">
        <v>563</v>
      </c>
      <c r="H85" s="64">
        <v>43</v>
      </c>
      <c r="I85" s="64">
        <v>190</v>
      </c>
      <c r="J85" s="64">
        <v>16</v>
      </c>
      <c r="K85" s="64">
        <v>27</v>
      </c>
      <c r="L85" s="64">
        <v>24</v>
      </c>
      <c r="M85" s="64">
        <v>20</v>
      </c>
    </row>
    <row r="86" spans="1:13">
      <c r="A86" s="64">
        <v>2.5</v>
      </c>
      <c r="B86" s="64">
        <v>550</v>
      </c>
      <c r="C86" s="64">
        <v>710</v>
      </c>
      <c r="D86" s="64">
        <v>665</v>
      </c>
      <c r="E86" s="64">
        <v>626</v>
      </c>
      <c r="F86" s="64">
        <v>616</v>
      </c>
      <c r="G86" s="64">
        <v>613</v>
      </c>
      <c r="H86" s="64">
        <v>45</v>
      </c>
      <c r="I86" s="64">
        <v>195</v>
      </c>
      <c r="J86" s="64">
        <v>16</v>
      </c>
      <c r="K86" s="64">
        <v>27</v>
      </c>
      <c r="L86" s="64">
        <v>24</v>
      </c>
      <c r="M86" s="64">
        <v>20</v>
      </c>
    </row>
    <row r="87" spans="1:13">
      <c r="A87" s="64">
        <v>2.5</v>
      </c>
      <c r="B87" s="64">
        <v>600</v>
      </c>
      <c r="C87" s="64">
        <v>760</v>
      </c>
      <c r="D87" s="64">
        <v>715</v>
      </c>
      <c r="E87" s="64">
        <v>676</v>
      </c>
      <c r="F87" s="64">
        <v>666</v>
      </c>
      <c r="G87" s="64">
        <v>663</v>
      </c>
      <c r="H87" s="64">
        <v>50</v>
      </c>
      <c r="I87" s="64">
        <v>200</v>
      </c>
      <c r="J87" s="64">
        <v>16</v>
      </c>
      <c r="K87" s="64">
        <v>27</v>
      </c>
      <c r="L87" s="64">
        <v>24</v>
      </c>
      <c r="M87" s="64">
        <v>24</v>
      </c>
    </row>
    <row r="88" spans="1:13">
      <c r="A88" s="64">
        <v>2.5</v>
      </c>
      <c r="B88" s="64">
        <v>650</v>
      </c>
      <c r="C88" s="64">
        <v>810</v>
      </c>
      <c r="D88" s="64">
        <v>765</v>
      </c>
      <c r="E88" s="64">
        <v>726</v>
      </c>
      <c r="F88" s="64">
        <v>716</v>
      </c>
      <c r="G88" s="64">
        <v>713</v>
      </c>
      <c r="H88" s="64">
        <v>60</v>
      </c>
      <c r="I88" s="64">
        <v>205</v>
      </c>
      <c r="J88" s="64">
        <v>16</v>
      </c>
      <c r="K88" s="64">
        <v>27</v>
      </c>
      <c r="L88" s="64">
        <v>24</v>
      </c>
      <c r="M88" s="64">
        <v>24</v>
      </c>
    </row>
    <row r="89" spans="1:13">
      <c r="A89" s="64">
        <v>2.5</v>
      </c>
      <c r="B89" s="64">
        <v>700</v>
      </c>
      <c r="C89" s="64">
        <v>860</v>
      </c>
      <c r="D89" s="64">
        <v>815</v>
      </c>
      <c r="E89" s="64">
        <v>776</v>
      </c>
      <c r="F89" s="64">
        <v>766</v>
      </c>
      <c r="G89" s="64">
        <v>763</v>
      </c>
      <c r="H89" s="64">
        <v>66</v>
      </c>
      <c r="I89" s="64">
        <v>210</v>
      </c>
      <c r="J89" s="64">
        <v>16</v>
      </c>
      <c r="K89" s="64">
        <v>27</v>
      </c>
      <c r="L89" s="64">
        <v>24</v>
      </c>
      <c r="M89" s="64">
        <v>28</v>
      </c>
    </row>
    <row r="90" spans="1:13">
      <c r="A90" s="64">
        <v>2.5</v>
      </c>
      <c r="B90" s="64">
        <v>800</v>
      </c>
      <c r="C90" s="64">
        <v>960</v>
      </c>
      <c r="D90" s="64">
        <v>915</v>
      </c>
      <c r="E90" s="64">
        <v>876</v>
      </c>
      <c r="F90" s="64">
        <v>866</v>
      </c>
      <c r="G90" s="64">
        <v>863</v>
      </c>
      <c r="H90" s="64">
        <v>77</v>
      </c>
      <c r="I90" s="64">
        <v>220</v>
      </c>
      <c r="J90" s="64">
        <v>16</v>
      </c>
      <c r="K90" s="64">
        <v>27</v>
      </c>
      <c r="L90" s="64">
        <v>24</v>
      </c>
      <c r="M90" s="64">
        <v>32</v>
      </c>
    </row>
    <row r="91" spans="1:13">
      <c r="A91" s="65">
        <v>4</v>
      </c>
      <c r="B91" s="64">
        <v>300</v>
      </c>
      <c r="C91" s="64">
        <v>460</v>
      </c>
      <c r="D91" s="64">
        <v>415</v>
      </c>
      <c r="E91" s="64">
        <v>376</v>
      </c>
      <c r="F91" s="64">
        <v>366</v>
      </c>
      <c r="G91" s="64">
        <v>363</v>
      </c>
      <c r="H91" s="64">
        <v>42</v>
      </c>
      <c r="I91" s="64">
        <v>190</v>
      </c>
      <c r="J91" s="64">
        <v>16</v>
      </c>
      <c r="K91" s="64">
        <v>27</v>
      </c>
      <c r="L91" s="64">
        <v>24</v>
      </c>
      <c r="M91" s="64">
        <v>16</v>
      </c>
    </row>
    <row r="92" spans="1:13">
      <c r="A92" s="65">
        <v>4</v>
      </c>
      <c r="B92" s="64">
        <v>350</v>
      </c>
      <c r="C92" s="64">
        <v>510</v>
      </c>
      <c r="D92" s="64">
        <v>465</v>
      </c>
      <c r="E92" s="64">
        <v>426</v>
      </c>
      <c r="F92" s="64">
        <v>416</v>
      </c>
      <c r="G92" s="64">
        <v>413</v>
      </c>
      <c r="H92" s="64">
        <v>44</v>
      </c>
      <c r="I92" s="64">
        <v>190</v>
      </c>
      <c r="J92" s="64">
        <v>16</v>
      </c>
      <c r="K92" s="64">
        <v>27</v>
      </c>
      <c r="L92" s="64">
        <v>24</v>
      </c>
      <c r="M92" s="64">
        <v>16</v>
      </c>
    </row>
    <row r="93" spans="1:13">
      <c r="A93" s="65">
        <v>4</v>
      </c>
      <c r="B93" s="64">
        <v>400</v>
      </c>
      <c r="C93" s="64">
        <v>560</v>
      </c>
      <c r="D93" s="64">
        <v>515</v>
      </c>
      <c r="E93" s="64">
        <v>476</v>
      </c>
      <c r="F93" s="64">
        <v>466</v>
      </c>
      <c r="G93" s="64">
        <v>463</v>
      </c>
      <c r="H93" s="64">
        <v>50</v>
      </c>
      <c r="I93" s="64">
        <v>200</v>
      </c>
      <c r="J93" s="64">
        <v>16</v>
      </c>
      <c r="K93" s="64">
        <v>27</v>
      </c>
      <c r="L93" s="64">
        <v>24</v>
      </c>
      <c r="M93" s="64">
        <v>20</v>
      </c>
    </row>
    <row r="94" spans="1:13">
      <c r="A94" s="65">
        <v>4</v>
      </c>
      <c r="B94" s="64">
        <v>450</v>
      </c>
      <c r="C94" s="64">
        <v>610</v>
      </c>
      <c r="D94" s="64">
        <v>565</v>
      </c>
      <c r="E94" s="64">
        <v>526</v>
      </c>
      <c r="F94" s="64">
        <v>516</v>
      </c>
      <c r="G94" s="64">
        <v>513</v>
      </c>
      <c r="H94" s="64">
        <v>61</v>
      </c>
      <c r="I94" s="64">
        <v>205</v>
      </c>
      <c r="J94" s="64">
        <v>16</v>
      </c>
      <c r="K94" s="64">
        <v>27</v>
      </c>
      <c r="L94" s="64">
        <v>24</v>
      </c>
      <c r="M94" s="64">
        <v>20</v>
      </c>
    </row>
    <row r="95" spans="1:13">
      <c r="A95" s="65">
        <v>4</v>
      </c>
      <c r="B95" s="64">
        <v>500</v>
      </c>
      <c r="C95" s="64">
        <v>660</v>
      </c>
      <c r="D95" s="64">
        <v>615</v>
      </c>
      <c r="E95" s="64">
        <v>576</v>
      </c>
      <c r="F95" s="64">
        <v>566</v>
      </c>
      <c r="G95" s="64">
        <v>563</v>
      </c>
      <c r="H95" s="64">
        <v>68</v>
      </c>
      <c r="I95" s="64">
        <v>210</v>
      </c>
      <c r="J95" s="64">
        <v>16</v>
      </c>
      <c r="K95" s="64">
        <v>27</v>
      </c>
      <c r="L95" s="64">
        <v>24</v>
      </c>
      <c r="M95" s="64">
        <v>24</v>
      </c>
    </row>
    <row r="96" spans="1:13">
      <c r="A96" s="65">
        <v>4</v>
      </c>
      <c r="B96" s="64">
        <v>550</v>
      </c>
      <c r="C96" s="64">
        <v>710</v>
      </c>
      <c r="D96" s="64">
        <v>665</v>
      </c>
      <c r="E96" s="64">
        <v>626</v>
      </c>
      <c r="F96" s="64">
        <v>616</v>
      </c>
      <c r="G96" s="64">
        <v>613</v>
      </c>
      <c r="H96" s="64">
        <v>75</v>
      </c>
      <c r="I96" s="64">
        <v>220</v>
      </c>
      <c r="J96" s="64">
        <v>16</v>
      </c>
      <c r="K96" s="64">
        <v>27</v>
      </c>
      <c r="L96" s="64">
        <v>24</v>
      </c>
      <c r="M96" s="64">
        <v>28</v>
      </c>
    </row>
    <row r="97" spans="1:17">
      <c r="A97" s="65">
        <v>4</v>
      </c>
      <c r="B97" s="64">
        <v>600</v>
      </c>
      <c r="C97" s="64">
        <v>760</v>
      </c>
      <c r="D97" s="64">
        <v>715</v>
      </c>
      <c r="E97" s="64">
        <v>676</v>
      </c>
      <c r="F97" s="64">
        <v>666</v>
      </c>
      <c r="G97" s="64">
        <v>663</v>
      </c>
      <c r="H97" s="64">
        <v>81</v>
      </c>
      <c r="I97" s="64">
        <v>225</v>
      </c>
      <c r="J97" s="64">
        <v>16</v>
      </c>
      <c r="K97" s="64">
        <v>27</v>
      </c>
      <c r="L97" s="64">
        <v>24</v>
      </c>
      <c r="M97" s="64">
        <v>32</v>
      </c>
    </row>
    <row r="98" spans="1:17" ht="25.15">
      <c r="A98" s="263" t="s">
        <v>190</v>
      </c>
      <c r="B98" s="263"/>
      <c r="C98" s="263"/>
      <c r="D98" s="263"/>
      <c r="E98" s="263"/>
      <c r="F98" s="263"/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</row>
    <row r="99" spans="1:17" ht="24.95" customHeight="1">
      <c r="A99" s="251" t="s">
        <v>174</v>
      </c>
      <c r="B99" s="251" t="s">
        <v>175</v>
      </c>
      <c r="C99" s="204" t="s">
        <v>176</v>
      </c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 t="s">
        <v>121</v>
      </c>
      <c r="P99" s="204"/>
      <c r="Q99" s="214" t="s">
        <v>191</v>
      </c>
    </row>
    <row r="100" spans="1:17" ht="24.95" customHeight="1">
      <c r="A100" s="204"/>
      <c r="B100" s="204"/>
      <c r="C100" s="20" t="s">
        <v>178</v>
      </c>
      <c r="D100" s="20" t="s">
        <v>179</v>
      </c>
      <c r="E100" s="20" t="s">
        <v>180</v>
      </c>
      <c r="F100" s="20" t="s">
        <v>181</v>
      </c>
      <c r="G100" s="20" t="s">
        <v>182</v>
      </c>
      <c r="H100" s="20" t="s">
        <v>183</v>
      </c>
      <c r="I100" s="20" t="s">
        <v>188</v>
      </c>
      <c r="J100" s="20" t="s">
        <v>192</v>
      </c>
      <c r="K100" s="20" t="s">
        <v>193</v>
      </c>
      <c r="L100" s="20" t="s">
        <v>194</v>
      </c>
      <c r="M100" s="20" t="s">
        <v>195</v>
      </c>
      <c r="N100" s="20" t="s">
        <v>184</v>
      </c>
      <c r="O100" s="1" t="s">
        <v>185</v>
      </c>
      <c r="P100" s="1" t="s">
        <v>186</v>
      </c>
      <c r="Q100" s="256"/>
    </row>
    <row r="101" spans="1:17">
      <c r="A101" s="64">
        <v>0.6</v>
      </c>
      <c r="B101" s="64">
        <v>1300</v>
      </c>
      <c r="C101" s="64">
        <v>1460</v>
      </c>
      <c r="D101" s="64">
        <v>1415</v>
      </c>
      <c r="E101" s="64">
        <v>1376</v>
      </c>
      <c r="F101" s="64">
        <v>1356</v>
      </c>
      <c r="G101" s="64">
        <v>1353</v>
      </c>
      <c r="H101" s="64">
        <v>60</v>
      </c>
      <c r="I101" s="64">
        <v>125</v>
      </c>
      <c r="J101" s="64">
        <v>35</v>
      </c>
      <c r="K101" s="64">
        <v>16</v>
      </c>
      <c r="L101" s="64">
        <v>26</v>
      </c>
      <c r="M101" s="64">
        <v>12</v>
      </c>
      <c r="N101" s="64">
        <v>27</v>
      </c>
      <c r="O101" s="64">
        <v>24</v>
      </c>
      <c r="P101" s="64">
        <v>40</v>
      </c>
      <c r="Q101" s="64">
        <v>12</v>
      </c>
    </row>
    <row r="102" spans="1:17">
      <c r="A102" s="64">
        <v>0.6</v>
      </c>
      <c r="B102" s="64">
        <v>1400</v>
      </c>
      <c r="C102" s="64">
        <v>1560</v>
      </c>
      <c r="D102" s="64">
        <v>1515</v>
      </c>
      <c r="E102" s="64">
        <v>1476</v>
      </c>
      <c r="F102" s="64">
        <v>1456</v>
      </c>
      <c r="G102" s="64">
        <v>1453</v>
      </c>
      <c r="H102" s="64">
        <v>62</v>
      </c>
      <c r="I102" s="64">
        <v>135</v>
      </c>
      <c r="J102" s="64">
        <v>40</v>
      </c>
      <c r="K102" s="64">
        <v>16</v>
      </c>
      <c r="L102" s="64">
        <v>26</v>
      </c>
      <c r="M102" s="64">
        <v>12</v>
      </c>
      <c r="N102" s="64">
        <v>27</v>
      </c>
      <c r="O102" s="64">
        <v>24</v>
      </c>
      <c r="P102" s="64">
        <v>44</v>
      </c>
      <c r="Q102" s="64">
        <v>12</v>
      </c>
    </row>
    <row r="103" spans="1:17">
      <c r="A103" s="64">
        <v>0.6</v>
      </c>
      <c r="B103" s="64">
        <v>1500</v>
      </c>
      <c r="C103" s="64">
        <v>1660</v>
      </c>
      <c r="D103" s="64">
        <v>1615</v>
      </c>
      <c r="E103" s="64">
        <v>1576</v>
      </c>
      <c r="F103" s="64">
        <v>1556</v>
      </c>
      <c r="G103" s="64">
        <v>1553</v>
      </c>
      <c r="H103" s="64">
        <v>64</v>
      </c>
      <c r="I103" s="64">
        <v>140</v>
      </c>
      <c r="J103" s="64">
        <v>40</v>
      </c>
      <c r="K103" s="64">
        <v>16</v>
      </c>
      <c r="L103" s="64">
        <v>26</v>
      </c>
      <c r="M103" s="64">
        <v>12</v>
      </c>
      <c r="N103" s="64">
        <v>27</v>
      </c>
      <c r="O103" s="64">
        <v>24</v>
      </c>
      <c r="P103" s="64">
        <v>48</v>
      </c>
      <c r="Q103" s="64">
        <v>12</v>
      </c>
    </row>
    <row r="104" spans="1:17">
      <c r="A104" s="64">
        <v>0.6</v>
      </c>
      <c r="B104" s="64">
        <v>1600</v>
      </c>
      <c r="C104" s="64">
        <v>1760</v>
      </c>
      <c r="D104" s="64">
        <v>1715</v>
      </c>
      <c r="E104" s="64">
        <v>1676</v>
      </c>
      <c r="F104" s="64">
        <v>1656</v>
      </c>
      <c r="G104" s="64">
        <v>1653</v>
      </c>
      <c r="H104" s="64">
        <v>66</v>
      </c>
      <c r="I104" s="64">
        <v>145</v>
      </c>
      <c r="J104" s="64">
        <v>40</v>
      </c>
      <c r="K104" s="64">
        <v>16</v>
      </c>
      <c r="L104" s="64">
        <v>26</v>
      </c>
      <c r="M104" s="64">
        <v>12</v>
      </c>
      <c r="N104" s="64">
        <v>27</v>
      </c>
      <c r="O104" s="64">
        <v>24</v>
      </c>
      <c r="P104" s="64">
        <v>52</v>
      </c>
      <c r="Q104" s="64">
        <v>12</v>
      </c>
    </row>
    <row r="105" spans="1:17">
      <c r="A105" s="64">
        <v>0.6</v>
      </c>
      <c r="B105" s="64">
        <v>1700</v>
      </c>
      <c r="C105" s="64">
        <v>1860</v>
      </c>
      <c r="D105" s="64">
        <v>1815</v>
      </c>
      <c r="E105" s="64">
        <v>1776</v>
      </c>
      <c r="F105" s="64">
        <v>1756</v>
      </c>
      <c r="G105" s="64">
        <v>1753</v>
      </c>
      <c r="H105" s="64">
        <v>70</v>
      </c>
      <c r="I105" s="64">
        <v>150</v>
      </c>
      <c r="J105" s="64">
        <v>40</v>
      </c>
      <c r="K105" s="64">
        <v>16</v>
      </c>
      <c r="L105" s="64">
        <v>26</v>
      </c>
      <c r="M105" s="64">
        <v>12</v>
      </c>
      <c r="N105" s="64">
        <v>27</v>
      </c>
      <c r="O105" s="64">
        <v>24</v>
      </c>
      <c r="P105" s="64">
        <v>52</v>
      </c>
      <c r="Q105" s="64">
        <v>12</v>
      </c>
    </row>
    <row r="106" spans="1:17">
      <c r="A106" s="64">
        <v>0.6</v>
      </c>
      <c r="B106" s="64">
        <v>1800</v>
      </c>
      <c r="C106" s="64">
        <v>1960</v>
      </c>
      <c r="D106" s="64">
        <v>1915</v>
      </c>
      <c r="E106" s="64">
        <v>1876</v>
      </c>
      <c r="F106" s="64">
        <v>1856</v>
      </c>
      <c r="G106" s="64">
        <v>1853</v>
      </c>
      <c r="H106" s="64">
        <v>70</v>
      </c>
      <c r="I106" s="64">
        <v>150</v>
      </c>
      <c r="J106" s="64">
        <v>40</v>
      </c>
      <c r="K106" s="64">
        <v>16</v>
      </c>
      <c r="L106" s="64">
        <v>26</v>
      </c>
      <c r="M106" s="64">
        <v>12</v>
      </c>
      <c r="N106" s="64">
        <v>27</v>
      </c>
      <c r="O106" s="64">
        <v>24</v>
      </c>
      <c r="P106" s="64">
        <v>52</v>
      </c>
      <c r="Q106" s="64">
        <v>14</v>
      </c>
    </row>
    <row r="107" spans="1:17">
      <c r="A107" s="64">
        <v>0.6</v>
      </c>
      <c r="B107" s="64">
        <v>1900</v>
      </c>
      <c r="C107" s="64">
        <v>2060</v>
      </c>
      <c r="D107" s="64">
        <v>2015</v>
      </c>
      <c r="E107" s="64">
        <v>1976</v>
      </c>
      <c r="F107" s="64">
        <v>1956</v>
      </c>
      <c r="G107" s="64">
        <v>1953</v>
      </c>
      <c r="H107" s="64">
        <v>74</v>
      </c>
      <c r="I107" s="64">
        <v>150</v>
      </c>
      <c r="J107" s="64">
        <v>40</v>
      </c>
      <c r="K107" s="64">
        <v>16</v>
      </c>
      <c r="L107" s="64">
        <v>26</v>
      </c>
      <c r="M107" s="64">
        <v>12</v>
      </c>
      <c r="N107" s="64">
        <v>27</v>
      </c>
      <c r="O107" s="64">
        <v>24</v>
      </c>
      <c r="P107" s="64">
        <v>56</v>
      </c>
      <c r="Q107" s="64">
        <v>14</v>
      </c>
    </row>
    <row r="108" spans="1:17">
      <c r="A108" s="64">
        <v>0.6</v>
      </c>
      <c r="B108" s="64">
        <v>2000</v>
      </c>
      <c r="C108" s="64">
        <v>2160</v>
      </c>
      <c r="D108" s="64">
        <v>2115</v>
      </c>
      <c r="E108" s="64">
        <v>2076</v>
      </c>
      <c r="F108" s="64">
        <v>2056</v>
      </c>
      <c r="G108" s="64">
        <v>2053</v>
      </c>
      <c r="H108" s="64">
        <v>76</v>
      </c>
      <c r="I108" s="64">
        <v>150</v>
      </c>
      <c r="J108" s="64">
        <v>40</v>
      </c>
      <c r="K108" s="64">
        <v>16</v>
      </c>
      <c r="L108" s="64">
        <v>26</v>
      </c>
      <c r="M108" s="64">
        <v>12</v>
      </c>
      <c r="N108" s="64">
        <v>27</v>
      </c>
      <c r="O108" s="64">
        <v>24</v>
      </c>
      <c r="P108" s="64">
        <v>60</v>
      </c>
      <c r="Q108" s="64">
        <v>14</v>
      </c>
    </row>
    <row r="109" spans="1:17">
      <c r="A109" s="65">
        <v>1</v>
      </c>
      <c r="B109" s="64">
        <v>300</v>
      </c>
      <c r="C109" s="64">
        <v>440</v>
      </c>
      <c r="D109" s="64">
        <v>400</v>
      </c>
      <c r="E109" s="64">
        <v>365</v>
      </c>
      <c r="F109" s="64">
        <v>355</v>
      </c>
      <c r="G109" s="64">
        <v>352</v>
      </c>
      <c r="H109" s="64">
        <v>30</v>
      </c>
      <c r="I109" s="64">
        <v>85</v>
      </c>
      <c r="J109" s="64">
        <v>25</v>
      </c>
      <c r="K109" s="64">
        <v>12</v>
      </c>
      <c r="L109" s="64">
        <v>22</v>
      </c>
      <c r="M109" s="64">
        <v>12</v>
      </c>
      <c r="N109" s="64">
        <v>23</v>
      </c>
      <c r="O109" s="64">
        <v>20</v>
      </c>
      <c r="P109" s="64">
        <v>16</v>
      </c>
      <c r="Q109" s="64">
        <v>4</v>
      </c>
    </row>
    <row r="110" spans="1:17">
      <c r="A110" s="65">
        <v>1</v>
      </c>
      <c r="B110" s="64">
        <v>350</v>
      </c>
      <c r="C110" s="64">
        <v>490</v>
      </c>
      <c r="D110" s="64">
        <v>450</v>
      </c>
      <c r="E110" s="64">
        <v>415</v>
      </c>
      <c r="F110" s="64">
        <v>405</v>
      </c>
      <c r="G110" s="64">
        <v>402</v>
      </c>
      <c r="H110" s="64">
        <v>32</v>
      </c>
      <c r="I110" s="64">
        <v>90</v>
      </c>
      <c r="J110" s="64">
        <v>25</v>
      </c>
      <c r="K110" s="64">
        <v>12</v>
      </c>
      <c r="L110" s="64">
        <v>22</v>
      </c>
      <c r="M110" s="64">
        <v>12</v>
      </c>
      <c r="N110" s="64">
        <v>23</v>
      </c>
      <c r="O110" s="64">
        <v>20</v>
      </c>
      <c r="P110" s="64">
        <v>16</v>
      </c>
      <c r="Q110" s="64">
        <v>4</v>
      </c>
    </row>
    <row r="111" spans="1:17">
      <c r="A111" s="65">
        <v>1</v>
      </c>
      <c r="B111" s="64">
        <v>400</v>
      </c>
      <c r="C111" s="64">
        <v>540</v>
      </c>
      <c r="D111" s="64">
        <v>500</v>
      </c>
      <c r="E111" s="64">
        <v>465</v>
      </c>
      <c r="F111" s="64">
        <v>455</v>
      </c>
      <c r="G111" s="64">
        <v>452</v>
      </c>
      <c r="H111" s="64">
        <v>34</v>
      </c>
      <c r="I111" s="64">
        <v>95</v>
      </c>
      <c r="J111" s="64">
        <v>25</v>
      </c>
      <c r="K111" s="64">
        <v>12</v>
      </c>
      <c r="L111" s="64">
        <v>22</v>
      </c>
      <c r="M111" s="64">
        <v>12</v>
      </c>
      <c r="N111" s="64">
        <v>23</v>
      </c>
      <c r="O111" s="64">
        <v>20</v>
      </c>
      <c r="P111" s="64">
        <v>20</v>
      </c>
      <c r="Q111" s="64">
        <v>4</v>
      </c>
    </row>
    <row r="112" spans="1:17">
      <c r="A112" s="65">
        <v>1</v>
      </c>
      <c r="B112" s="64">
        <v>450</v>
      </c>
      <c r="C112" s="64">
        <v>590</v>
      </c>
      <c r="D112" s="64">
        <v>550</v>
      </c>
      <c r="E112" s="64">
        <v>515</v>
      </c>
      <c r="F112" s="64">
        <v>505</v>
      </c>
      <c r="G112" s="64">
        <v>502</v>
      </c>
      <c r="H112" s="64">
        <v>34</v>
      </c>
      <c r="I112" s="64">
        <v>95</v>
      </c>
      <c r="J112" s="64">
        <v>25</v>
      </c>
      <c r="K112" s="64">
        <v>12</v>
      </c>
      <c r="L112" s="64">
        <v>22</v>
      </c>
      <c r="M112" s="64">
        <v>12</v>
      </c>
      <c r="N112" s="64">
        <v>23</v>
      </c>
      <c r="O112" s="64">
        <v>20</v>
      </c>
      <c r="P112" s="64">
        <v>20</v>
      </c>
      <c r="Q112" s="64">
        <v>6</v>
      </c>
    </row>
    <row r="113" spans="1:17">
      <c r="A113" s="65">
        <v>1</v>
      </c>
      <c r="B113" s="64">
        <v>500</v>
      </c>
      <c r="C113" s="64">
        <v>640</v>
      </c>
      <c r="D113" s="64">
        <v>600</v>
      </c>
      <c r="E113" s="64">
        <v>565</v>
      </c>
      <c r="F113" s="64">
        <v>555</v>
      </c>
      <c r="G113" s="64">
        <v>552</v>
      </c>
      <c r="H113" s="64">
        <v>38</v>
      </c>
      <c r="I113" s="64">
        <v>100</v>
      </c>
      <c r="J113" s="64">
        <v>25</v>
      </c>
      <c r="K113" s="64">
        <v>12</v>
      </c>
      <c r="L113" s="64">
        <v>22</v>
      </c>
      <c r="M113" s="64">
        <v>12</v>
      </c>
      <c r="N113" s="64">
        <v>23</v>
      </c>
      <c r="O113" s="64">
        <v>20</v>
      </c>
      <c r="P113" s="64">
        <v>24</v>
      </c>
      <c r="Q113" s="64">
        <v>6</v>
      </c>
    </row>
    <row r="114" spans="1:17">
      <c r="A114" s="65">
        <v>1</v>
      </c>
      <c r="B114" s="64">
        <v>550</v>
      </c>
      <c r="C114" s="64">
        <v>690</v>
      </c>
      <c r="D114" s="64">
        <v>650</v>
      </c>
      <c r="E114" s="64">
        <v>615</v>
      </c>
      <c r="F114" s="64">
        <v>605</v>
      </c>
      <c r="G114" s="64">
        <v>602</v>
      </c>
      <c r="H114" s="64">
        <v>40</v>
      </c>
      <c r="I114" s="64">
        <v>100</v>
      </c>
      <c r="J114" s="64">
        <v>25</v>
      </c>
      <c r="K114" s="64">
        <v>12</v>
      </c>
      <c r="L114" s="64">
        <v>22</v>
      </c>
      <c r="M114" s="64">
        <v>12</v>
      </c>
      <c r="N114" s="64">
        <v>23</v>
      </c>
      <c r="O114" s="64">
        <v>20</v>
      </c>
      <c r="P114" s="64">
        <v>24</v>
      </c>
      <c r="Q114" s="64">
        <v>6</v>
      </c>
    </row>
    <row r="115" spans="1:17">
      <c r="A115" s="65">
        <v>1</v>
      </c>
      <c r="B115" s="64">
        <v>600</v>
      </c>
      <c r="C115" s="64">
        <v>740</v>
      </c>
      <c r="D115" s="64">
        <v>700</v>
      </c>
      <c r="E115" s="64">
        <v>665</v>
      </c>
      <c r="F115" s="64">
        <v>655</v>
      </c>
      <c r="G115" s="64">
        <v>652</v>
      </c>
      <c r="H115" s="64">
        <v>44</v>
      </c>
      <c r="I115" s="64">
        <v>105</v>
      </c>
      <c r="J115" s="64">
        <v>25</v>
      </c>
      <c r="K115" s="64">
        <v>12</v>
      </c>
      <c r="L115" s="64">
        <v>22</v>
      </c>
      <c r="M115" s="64">
        <v>12</v>
      </c>
      <c r="N115" s="64">
        <v>23</v>
      </c>
      <c r="O115" s="64">
        <v>20</v>
      </c>
      <c r="P115" s="64">
        <v>28</v>
      </c>
      <c r="Q115" s="64">
        <v>6</v>
      </c>
    </row>
    <row r="116" spans="1:17">
      <c r="A116" s="65">
        <v>1</v>
      </c>
      <c r="B116" s="64">
        <v>650</v>
      </c>
      <c r="C116" s="64">
        <v>790</v>
      </c>
      <c r="D116" s="64">
        <v>750</v>
      </c>
      <c r="E116" s="64">
        <v>715</v>
      </c>
      <c r="F116" s="64">
        <v>705</v>
      </c>
      <c r="G116" s="64">
        <v>702</v>
      </c>
      <c r="H116" s="64">
        <v>46</v>
      </c>
      <c r="I116" s="64">
        <v>105</v>
      </c>
      <c r="J116" s="64">
        <v>25</v>
      </c>
      <c r="K116" s="64">
        <v>12</v>
      </c>
      <c r="L116" s="64">
        <v>22</v>
      </c>
      <c r="M116" s="64">
        <v>12</v>
      </c>
      <c r="N116" s="64">
        <v>23</v>
      </c>
      <c r="O116" s="64">
        <v>20</v>
      </c>
      <c r="P116" s="64">
        <v>28</v>
      </c>
      <c r="Q116" s="64">
        <v>8</v>
      </c>
    </row>
    <row r="117" spans="1:17">
      <c r="A117" s="65">
        <v>1</v>
      </c>
      <c r="B117" s="64">
        <v>700</v>
      </c>
      <c r="C117" s="64">
        <v>840</v>
      </c>
      <c r="D117" s="64">
        <v>800</v>
      </c>
      <c r="E117" s="64">
        <v>765</v>
      </c>
      <c r="F117" s="64">
        <v>755</v>
      </c>
      <c r="G117" s="64">
        <v>752</v>
      </c>
      <c r="H117" s="64">
        <v>50</v>
      </c>
      <c r="I117" s="64">
        <v>105</v>
      </c>
      <c r="J117" s="64">
        <v>25</v>
      </c>
      <c r="K117" s="64">
        <v>12</v>
      </c>
      <c r="L117" s="64">
        <v>22</v>
      </c>
      <c r="M117" s="64">
        <v>12</v>
      </c>
      <c r="N117" s="64">
        <v>23</v>
      </c>
      <c r="O117" s="64">
        <v>20</v>
      </c>
      <c r="P117" s="64">
        <v>32</v>
      </c>
      <c r="Q117" s="64">
        <v>8</v>
      </c>
    </row>
    <row r="118" spans="1:17">
      <c r="A118" s="65">
        <v>1</v>
      </c>
      <c r="B118" s="64">
        <v>800</v>
      </c>
      <c r="C118" s="64">
        <v>940</v>
      </c>
      <c r="D118" s="64">
        <v>900</v>
      </c>
      <c r="E118" s="64">
        <v>865</v>
      </c>
      <c r="F118" s="64">
        <v>855</v>
      </c>
      <c r="G118" s="64">
        <v>852</v>
      </c>
      <c r="H118" s="64">
        <v>50</v>
      </c>
      <c r="I118" s="64">
        <v>105</v>
      </c>
      <c r="J118" s="64">
        <v>25</v>
      </c>
      <c r="K118" s="64">
        <v>12</v>
      </c>
      <c r="L118" s="64">
        <v>22</v>
      </c>
      <c r="M118" s="64">
        <v>12</v>
      </c>
      <c r="N118" s="64">
        <v>23</v>
      </c>
      <c r="O118" s="64">
        <v>20</v>
      </c>
      <c r="P118" s="64">
        <v>32</v>
      </c>
      <c r="Q118" s="64">
        <v>8</v>
      </c>
    </row>
    <row r="119" spans="1:17">
      <c r="A119" s="65">
        <v>1</v>
      </c>
      <c r="B119" s="64">
        <v>900</v>
      </c>
      <c r="C119" s="64">
        <v>1040</v>
      </c>
      <c r="D119" s="64">
        <v>1000</v>
      </c>
      <c r="E119" s="64">
        <v>965</v>
      </c>
      <c r="F119" s="64">
        <v>955</v>
      </c>
      <c r="G119" s="64">
        <v>952</v>
      </c>
      <c r="H119" s="64">
        <v>54</v>
      </c>
      <c r="I119" s="64">
        <v>110</v>
      </c>
      <c r="J119" s="64">
        <v>25</v>
      </c>
      <c r="K119" s="64">
        <v>12</v>
      </c>
      <c r="L119" s="64">
        <v>22</v>
      </c>
      <c r="M119" s="64">
        <v>12</v>
      </c>
      <c r="N119" s="64">
        <v>23</v>
      </c>
      <c r="O119" s="64">
        <v>20</v>
      </c>
      <c r="P119" s="64">
        <v>36</v>
      </c>
      <c r="Q119" s="64">
        <v>10</v>
      </c>
    </row>
    <row r="120" spans="1:17">
      <c r="A120" s="65">
        <v>1</v>
      </c>
      <c r="B120" s="64">
        <v>1000</v>
      </c>
      <c r="C120" s="64">
        <v>1140</v>
      </c>
      <c r="D120" s="64">
        <v>1100</v>
      </c>
      <c r="E120" s="64">
        <v>1065</v>
      </c>
      <c r="F120" s="64">
        <v>1055</v>
      </c>
      <c r="G120" s="64">
        <v>1052</v>
      </c>
      <c r="H120" s="64">
        <v>56</v>
      </c>
      <c r="I120" s="64">
        <v>110</v>
      </c>
      <c r="J120" s="64">
        <v>25</v>
      </c>
      <c r="K120" s="64">
        <v>12</v>
      </c>
      <c r="L120" s="64">
        <v>22</v>
      </c>
      <c r="M120" s="64">
        <v>12</v>
      </c>
      <c r="N120" s="64">
        <v>23</v>
      </c>
      <c r="O120" s="64">
        <v>20</v>
      </c>
      <c r="P120" s="64">
        <v>40</v>
      </c>
      <c r="Q120" s="64">
        <v>10</v>
      </c>
    </row>
    <row r="121" spans="1:17">
      <c r="A121" s="65">
        <v>1</v>
      </c>
      <c r="B121" s="64">
        <v>1100</v>
      </c>
      <c r="C121" s="64">
        <v>1260</v>
      </c>
      <c r="D121" s="64">
        <v>1215</v>
      </c>
      <c r="E121" s="64">
        <v>1176</v>
      </c>
      <c r="F121" s="64">
        <v>1156</v>
      </c>
      <c r="G121" s="64">
        <v>1153</v>
      </c>
      <c r="H121" s="64">
        <v>56</v>
      </c>
      <c r="I121" s="64">
        <v>120</v>
      </c>
      <c r="J121" s="64">
        <v>35</v>
      </c>
      <c r="K121" s="64">
        <v>16</v>
      </c>
      <c r="L121" s="64">
        <v>26</v>
      </c>
      <c r="M121" s="64">
        <v>12</v>
      </c>
      <c r="N121" s="64">
        <v>27</v>
      </c>
      <c r="O121" s="64">
        <v>24</v>
      </c>
      <c r="P121" s="64">
        <v>32</v>
      </c>
      <c r="Q121" s="64">
        <v>12</v>
      </c>
    </row>
    <row r="122" spans="1:17">
      <c r="A122" s="65">
        <v>1</v>
      </c>
      <c r="B122" s="64">
        <v>1200</v>
      </c>
      <c r="C122" s="64">
        <v>1360</v>
      </c>
      <c r="D122" s="64">
        <v>1315</v>
      </c>
      <c r="E122" s="64">
        <v>1276</v>
      </c>
      <c r="F122" s="64">
        <v>1256</v>
      </c>
      <c r="G122" s="64">
        <v>1253</v>
      </c>
      <c r="H122" s="64">
        <v>56</v>
      </c>
      <c r="I122" s="64">
        <v>125</v>
      </c>
      <c r="J122" s="64">
        <v>35</v>
      </c>
      <c r="K122" s="64">
        <v>16</v>
      </c>
      <c r="L122" s="64">
        <v>26</v>
      </c>
      <c r="M122" s="64">
        <v>12</v>
      </c>
      <c r="N122" s="64">
        <v>27</v>
      </c>
      <c r="O122" s="64">
        <v>24</v>
      </c>
      <c r="P122" s="64">
        <v>36</v>
      </c>
      <c r="Q122" s="64">
        <v>12</v>
      </c>
    </row>
    <row r="123" spans="1:17">
      <c r="A123" s="65">
        <v>1</v>
      </c>
      <c r="B123" s="64">
        <v>1300</v>
      </c>
      <c r="C123" s="64">
        <v>1460</v>
      </c>
      <c r="D123" s="64">
        <v>1415</v>
      </c>
      <c r="E123" s="64">
        <v>1376</v>
      </c>
      <c r="F123" s="64">
        <v>1356</v>
      </c>
      <c r="G123" s="64">
        <v>1353</v>
      </c>
      <c r="H123" s="64">
        <v>60</v>
      </c>
      <c r="I123" s="64">
        <v>130</v>
      </c>
      <c r="J123" s="64">
        <v>35</v>
      </c>
      <c r="K123" s="64">
        <v>16</v>
      </c>
      <c r="L123" s="64">
        <v>26</v>
      </c>
      <c r="M123" s="64">
        <v>12</v>
      </c>
      <c r="N123" s="64">
        <v>27</v>
      </c>
      <c r="O123" s="64">
        <v>24</v>
      </c>
      <c r="P123" s="64">
        <v>40</v>
      </c>
      <c r="Q123" s="64">
        <v>12</v>
      </c>
    </row>
    <row r="124" spans="1:17">
      <c r="A124" s="65">
        <v>1</v>
      </c>
      <c r="B124" s="64">
        <v>1400</v>
      </c>
      <c r="C124" s="64">
        <v>1560</v>
      </c>
      <c r="D124" s="64">
        <v>1515</v>
      </c>
      <c r="E124" s="64">
        <v>1476</v>
      </c>
      <c r="F124" s="64">
        <v>1456</v>
      </c>
      <c r="G124" s="64">
        <v>1453</v>
      </c>
      <c r="H124" s="64">
        <v>62</v>
      </c>
      <c r="I124" s="64">
        <v>140</v>
      </c>
      <c r="J124" s="64">
        <v>40</v>
      </c>
      <c r="K124" s="64">
        <v>16</v>
      </c>
      <c r="L124" s="64">
        <v>26</v>
      </c>
      <c r="M124" s="64">
        <v>12</v>
      </c>
      <c r="N124" s="64">
        <v>27</v>
      </c>
      <c r="O124" s="64">
        <v>24</v>
      </c>
      <c r="P124" s="64">
        <v>44</v>
      </c>
      <c r="Q124" s="64">
        <v>12</v>
      </c>
    </row>
    <row r="125" spans="1:17">
      <c r="A125" s="65">
        <v>1</v>
      </c>
      <c r="B125" s="64">
        <v>1500</v>
      </c>
      <c r="C125" s="64">
        <v>1660</v>
      </c>
      <c r="D125" s="64">
        <v>1615</v>
      </c>
      <c r="E125" s="64">
        <v>1576</v>
      </c>
      <c r="F125" s="64">
        <v>1556</v>
      </c>
      <c r="G125" s="64">
        <v>1553</v>
      </c>
      <c r="H125" s="64">
        <v>64</v>
      </c>
      <c r="I125" s="64">
        <v>140</v>
      </c>
      <c r="J125" s="64">
        <v>40</v>
      </c>
      <c r="K125" s="64">
        <v>16</v>
      </c>
      <c r="L125" s="64">
        <v>26</v>
      </c>
      <c r="M125" s="64">
        <v>12</v>
      </c>
      <c r="N125" s="64">
        <v>27</v>
      </c>
      <c r="O125" s="64">
        <v>24</v>
      </c>
      <c r="P125" s="64">
        <v>48</v>
      </c>
      <c r="Q125" s="64">
        <v>12</v>
      </c>
    </row>
    <row r="126" spans="1:17">
      <c r="A126" s="65">
        <v>1</v>
      </c>
      <c r="B126" s="64">
        <v>1600</v>
      </c>
      <c r="C126" s="64">
        <v>1760</v>
      </c>
      <c r="D126" s="64">
        <v>1715</v>
      </c>
      <c r="E126" s="64">
        <v>1676</v>
      </c>
      <c r="F126" s="64">
        <v>1656</v>
      </c>
      <c r="G126" s="64">
        <v>1653</v>
      </c>
      <c r="H126" s="64">
        <v>70</v>
      </c>
      <c r="I126" s="64">
        <v>145</v>
      </c>
      <c r="J126" s="64">
        <v>40</v>
      </c>
      <c r="K126" s="64">
        <v>16</v>
      </c>
      <c r="L126" s="64">
        <v>26</v>
      </c>
      <c r="M126" s="64">
        <v>12</v>
      </c>
      <c r="N126" s="64">
        <v>27</v>
      </c>
      <c r="O126" s="64">
        <v>24</v>
      </c>
      <c r="P126" s="64">
        <v>52</v>
      </c>
      <c r="Q126" s="64">
        <v>12</v>
      </c>
    </row>
    <row r="127" spans="1:17">
      <c r="A127" s="65">
        <v>1</v>
      </c>
      <c r="B127" s="64">
        <v>1700</v>
      </c>
      <c r="C127" s="64">
        <v>1870</v>
      </c>
      <c r="D127" s="64">
        <v>1815</v>
      </c>
      <c r="E127" s="64">
        <v>1776</v>
      </c>
      <c r="F127" s="64">
        <v>1756</v>
      </c>
      <c r="G127" s="64">
        <v>1753</v>
      </c>
      <c r="H127" s="64">
        <v>76</v>
      </c>
      <c r="I127" s="64">
        <v>150</v>
      </c>
      <c r="J127" s="64">
        <v>40</v>
      </c>
      <c r="K127" s="64">
        <v>18</v>
      </c>
      <c r="L127" s="64">
        <v>26</v>
      </c>
      <c r="M127" s="64">
        <v>12</v>
      </c>
      <c r="N127" s="64">
        <v>30</v>
      </c>
      <c r="O127" s="64">
        <v>27</v>
      </c>
      <c r="P127" s="64">
        <v>56</v>
      </c>
      <c r="Q127" s="64">
        <v>12</v>
      </c>
    </row>
    <row r="128" spans="1:17">
      <c r="A128" s="65">
        <v>1</v>
      </c>
      <c r="B128" s="64">
        <v>1800</v>
      </c>
      <c r="C128" s="64">
        <v>1970</v>
      </c>
      <c r="D128" s="64">
        <v>1915</v>
      </c>
      <c r="E128" s="64">
        <v>1876</v>
      </c>
      <c r="F128" s="64">
        <v>1856</v>
      </c>
      <c r="G128" s="64">
        <v>1853</v>
      </c>
      <c r="H128" s="64">
        <v>80</v>
      </c>
      <c r="I128" s="64">
        <v>150</v>
      </c>
      <c r="J128" s="64">
        <v>40</v>
      </c>
      <c r="K128" s="64">
        <v>18</v>
      </c>
      <c r="L128" s="64">
        <v>26</v>
      </c>
      <c r="M128" s="64">
        <v>12</v>
      </c>
      <c r="N128" s="64">
        <v>30</v>
      </c>
      <c r="O128" s="64">
        <v>27</v>
      </c>
      <c r="P128" s="64">
        <v>56</v>
      </c>
      <c r="Q128" s="64">
        <v>14</v>
      </c>
    </row>
    <row r="129" spans="1:17">
      <c r="A129" s="65">
        <v>1</v>
      </c>
      <c r="B129" s="64">
        <v>1900</v>
      </c>
      <c r="C129" s="64">
        <v>2095</v>
      </c>
      <c r="D129" s="64">
        <v>2040</v>
      </c>
      <c r="E129" s="64">
        <v>1998</v>
      </c>
      <c r="F129" s="64">
        <v>1978</v>
      </c>
      <c r="G129" s="64">
        <v>1973</v>
      </c>
      <c r="H129" s="64">
        <v>86</v>
      </c>
      <c r="I129" s="64">
        <v>155</v>
      </c>
      <c r="J129" s="64">
        <v>30</v>
      </c>
      <c r="K129" s="64">
        <v>20</v>
      </c>
      <c r="L129" s="64">
        <v>32</v>
      </c>
      <c r="M129" s="64">
        <v>15</v>
      </c>
      <c r="N129" s="64">
        <v>30</v>
      </c>
      <c r="O129" s="64">
        <v>27</v>
      </c>
      <c r="P129" s="64">
        <v>56</v>
      </c>
      <c r="Q129" s="64">
        <v>16</v>
      </c>
    </row>
    <row r="130" spans="1:17">
      <c r="A130" s="65">
        <v>1</v>
      </c>
      <c r="B130" s="64">
        <v>2000</v>
      </c>
      <c r="C130" s="64">
        <v>2195</v>
      </c>
      <c r="D130" s="64">
        <v>2140</v>
      </c>
      <c r="E130" s="64">
        <v>2098</v>
      </c>
      <c r="F130" s="64">
        <v>2078</v>
      </c>
      <c r="G130" s="64">
        <v>2075</v>
      </c>
      <c r="H130" s="64">
        <v>94</v>
      </c>
      <c r="I130" s="64">
        <v>165</v>
      </c>
      <c r="J130" s="64">
        <v>30</v>
      </c>
      <c r="K130" s="64">
        <v>20</v>
      </c>
      <c r="L130" s="64">
        <v>32</v>
      </c>
      <c r="M130" s="64">
        <v>15</v>
      </c>
      <c r="N130" s="64">
        <v>30</v>
      </c>
      <c r="O130" s="64">
        <v>27</v>
      </c>
      <c r="P130" s="64">
        <v>60</v>
      </c>
      <c r="Q130" s="64">
        <v>16</v>
      </c>
    </row>
    <row r="131" spans="1:17">
      <c r="A131" s="64">
        <v>1.6</v>
      </c>
      <c r="B131" s="64">
        <v>300</v>
      </c>
      <c r="C131" s="64">
        <v>440</v>
      </c>
      <c r="D131" s="64">
        <v>400</v>
      </c>
      <c r="E131" s="64">
        <v>365</v>
      </c>
      <c r="F131" s="64">
        <v>355</v>
      </c>
      <c r="G131" s="64">
        <v>352</v>
      </c>
      <c r="H131" s="64">
        <v>30</v>
      </c>
      <c r="I131" s="64">
        <v>85</v>
      </c>
      <c r="J131" s="64">
        <v>25</v>
      </c>
      <c r="K131" s="64">
        <v>12</v>
      </c>
      <c r="L131" s="64">
        <v>22</v>
      </c>
      <c r="M131" s="64">
        <v>12</v>
      </c>
      <c r="N131" s="64">
        <v>23</v>
      </c>
      <c r="O131" s="64">
        <v>20</v>
      </c>
      <c r="P131" s="64">
        <v>16</v>
      </c>
      <c r="Q131" s="64">
        <v>6</v>
      </c>
    </row>
    <row r="132" spans="1:17">
      <c r="A132" s="64">
        <v>1.6</v>
      </c>
      <c r="B132" s="64">
        <v>350</v>
      </c>
      <c r="C132" s="64">
        <v>490</v>
      </c>
      <c r="D132" s="64">
        <v>450</v>
      </c>
      <c r="E132" s="64">
        <v>415</v>
      </c>
      <c r="F132" s="64">
        <v>405</v>
      </c>
      <c r="G132" s="64">
        <v>402</v>
      </c>
      <c r="H132" s="64">
        <v>32</v>
      </c>
      <c r="I132" s="64">
        <v>90</v>
      </c>
      <c r="J132" s="64">
        <v>25</v>
      </c>
      <c r="K132" s="64">
        <v>12</v>
      </c>
      <c r="L132" s="64">
        <v>22</v>
      </c>
      <c r="M132" s="64">
        <v>12</v>
      </c>
      <c r="N132" s="64">
        <v>23</v>
      </c>
      <c r="O132" s="64">
        <v>20</v>
      </c>
      <c r="P132" s="64">
        <v>16</v>
      </c>
      <c r="Q132" s="64">
        <v>6</v>
      </c>
    </row>
    <row r="133" spans="1:17">
      <c r="A133" s="64">
        <v>1.6</v>
      </c>
      <c r="B133" s="64">
        <v>400</v>
      </c>
      <c r="C133" s="64">
        <v>540</v>
      </c>
      <c r="D133" s="64">
        <v>500</v>
      </c>
      <c r="E133" s="64">
        <v>465</v>
      </c>
      <c r="F133" s="64">
        <v>455</v>
      </c>
      <c r="G133" s="64">
        <v>452</v>
      </c>
      <c r="H133" s="64">
        <v>34</v>
      </c>
      <c r="I133" s="64">
        <v>95</v>
      </c>
      <c r="J133" s="64">
        <v>25</v>
      </c>
      <c r="K133" s="64">
        <v>12</v>
      </c>
      <c r="L133" s="64">
        <v>22</v>
      </c>
      <c r="M133" s="64">
        <v>12</v>
      </c>
      <c r="N133" s="64">
        <v>23</v>
      </c>
      <c r="O133" s="64">
        <v>20</v>
      </c>
      <c r="P133" s="64">
        <v>20</v>
      </c>
      <c r="Q133" s="64">
        <v>6</v>
      </c>
    </row>
    <row r="134" spans="1:17">
      <c r="A134" s="64">
        <v>1.6</v>
      </c>
      <c r="B134" s="64">
        <v>450</v>
      </c>
      <c r="C134" s="64">
        <v>590</v>
      </c>
      <c r="D134" s="64">
        <v>550</v>
      </c>
      <c r="E134" s="64">
        <v>515</v>
      </c>
      <c r="F134" s="64">
        <v>505</v>
      </c>
      <c r="G134" s="64">
        <v>502</v>
      </c>
      <c r="H134" s="64">
        <v>34</v>
      </c>
      <c r="I134" s="64">
        <v>95</v>
      </c>
      <c r="J134" s="64">
        <v>25</v>
      </c>
      <c r="K134" s="64">
        <v>12</v>
      </c>
      <c r="L134" s="64">
        <v>22</v>
      </c>
      <c r="M134" s="64">
        <v>12</v>
      </c>
      <c r="N134" s="64">
        <v>23</v>
      </c>
      <c r="O134" s="64">
        <v>20</v>
      </c>
      <c r="P134" s="64">
        <v>20</v>
      </c>
      <c r="Q134" s="64">
        <v>8</v>
      </c>
    </row>
    <row r="135" spans="1:17">
      <c r="A135" s="64">
        <v>1.6</v>
      </c>
      <c r="B135" s="64">
        <v>500</v>
      </c>
      <c r="C135" s="64">
        <v>640</v>
      </c>
      <c r="D135" s="64">
        <v>600</v>
      </c>
      <c r="E135" s="64">
        <v>565</v>
      </c>
      <c r="F135" s="64">
        <v>555</v>
      </c>
      <c r="G135" s="64">
        <v>552</v>
      </c>
      <c r="H135" s="64">
        <v>38</v>
      </c>
      <c r="I135" s="64">
        <v>100</v>
      </c>
      <c r="J135" s="64">
        <v>25</v>
      </c>
      <c r="K135" s="64">
        <v>12</v>
      </c>
      <c r="L135" s="64">
        <v>22</v>
      </c>
      <c r="M135" s="64">
        <v>12</v>
      </c>
      <c r="N135" s="64">
        <v>23</v>
      </c>
      <c r="O135" s="64">
        <v>20</v>
      </c>
      <c r="P135" s="64">
        <v>24</v>
      </c>
      <c r="Q135" s="64">
        <v>8</v>
      </c>
    </row>
    <row r="136" spans="1:17">
      <c r="A136" s="64">
        <v>1.6</v>
      </c>
      <c r="B136" s="64">
        <v>550</v>
      </c>
      <c r="C136" s="64">
        <v>690</v>
      </c>
      <c r="D136" s="64">
        <v>650</v>
      </c>
      <c r="E136" s="64">
        <v>615</v>
      </c>
      <c r="F136" s="64">
        <v>605</v>
      </c>
      <c r="G136" s="64">
        <v>602</v>
      </c>
      <c r="H136" s="64">
        <v>40</v>
      </c>
      <c r="I136" s="64">
        <v>100</v>
      </c>
      <c r="J136" s="64">
        <v>25</v>
      </c>
      <c r="K136" s="64">
        <v>12</v>
      </c>
      <c r="L136" s="64">
        <v>22</v>
      </c>
      <c r="M136" s="64">
        <v>12</v>
      </c>
      <c r="N136" s="64">
        <v>23</v>
      </c>
      <c r="O136" s="64">
        <v>20</v>
      </c>
      <c r="P136" s="64">
        <v>24</v>
      </c>
      <c r="Q136" s="64">
        <v>8</v>
      </c>
    </row>
    <row r="137" spans="1:17">
      <c r="A137" s="64">
        <v>1.6</v>
      </c>
      <c r="B137" s="64">
        <v>600</v>
      </c>
      <c r="C137" s="64">
        <v>740</v>
      </c>
      <c r="D137" s="64">
        <v>700</v>
      </c>
      <c r="E137" s="64">
        <v>665</v>
      </c>
      <c r="F137" s="64">
        <v>655</v>
      </c>
      <c r="G137" s="64">
        <v>652</v>
      </c>
      <c r="H137" s="64">
        <v>44</v>
      </c>
      <c r="I137" s="64">
        <v>105</v>
      </c>
      <c r="J137" s="64">
        <v>25</v>
      </c>
      <c r="K137" s="64">
        <v>12</v>
      </c>
      <c r="L137" s="64">
        <v>22</v>
      </c>
      <c r="M137" s="64">
        <v>12</v>
      </c>
      <c r="N137" s="64">
        <v>23</v>
      </c>
      <c r="O137" s="64">
        <v>20</v>
      </c>
      <c r="P137" s="64">
        <v>28</v>
      </c>
      <c r="Q137" s="64">
        <v>10</v>
      </c>
    </row>
    <row r="138" spans="1:17">
      <c r="A138" s="64">
        <v>1.6</v>
      </c>
      <c r="B138" s="64">
        <v>650</v>
      </c>
      <c r="C138" s="64">
        <v>790</v>
      </c>
      <c r="D138" s="64">
        <v>750</v>
      </c>
      <c r="E138" s="64">
        <v>715</v>
      </c>
      <c r="F138" s="64">
        <v>705</v>
      </c>
      <c r="G138" s="64">
        <v>702</v>
      </c>
      <c r="H138" s="64">
        <v>46</v>
      </c>
      <c r="I138" s="64">
        <v>105</v>
      </c>
      <c r="J138" s="64">
        <v>25</v>
      </c>
      <c r="K138" s="64">
        <v>12</v>
      </c>
      <c r="L138" s="64">
        <v>22</v>
      </c>
      <c r="M138" s="64">
        <v>12</v>
      </c>
      <c r="N138" s="64">
        <v>23</v>
      </c>
      <c r="O138" s="64">
        <v>20</v>
      </c>
      <c r="P138" s="64">
        <v>28</v>
      </c>
      <c r="Q138" s="64">
        <v>10</v>
      </c>
    </row>
    <row r="139" spans="1:17">
      <c r="A139" s="64">
        <v>1.6</v>
      </c>
      <c r="B139" s="64">
        <v>700</v>
      </c>
      <c r="C139" s="64">
        <v>860</v>
      </c>
      <c r="D139" s="64">
        <v>815</v>
      </c>
      <c r="E139" s="64">
        <v>776</v>
      </c>
      <c r="F139" s="64">
        <v>766</v>
      </c>
      <c r="G139" s="64">
        <v>763</v>
      </c>
      <c r="H139" s="64">
        <v>46</v>
      </c>
      <c r="I139" s="64">
        <v>115</v>
      </c>
      <c r="J139" s="64">
        <v>35</v>
      </c>
      <c r="K139" s="64">
        <v>16</v>
      </c>
      <c r="L139" s="64">
        <v>26</v>
      </c>
      <c r="M139" s="64">
        <v>12</v>
      </c>
      <c r="N139" s="64">
        <v>27</v>
      </c>
      <c r="O139" s="64">
        <v>24</v>
      </c>
      <c r="P139" s="64">
        <v>24</v>
      </c>
      <c r="Q139" s="64">
        <v>10</v>
      </c>
    </row>
    <row r="140" spans="1:17">
      <c r="A140" s="64">
        <v>1.6</v>
      </c>
      <c r="B140" s="64">
        <v>800</v>
      </c>
      <c r="C140" s="64">
        <v>960</v>
      </c>
      <c r="D140" s="64">
        <v>915</v>
      </c>
      <c r="E140" s="64">
        <v>876</v>
      </c>
      <c r="F140" s="64">
        <v>866</v>
      </c>
      <c r="G140" s="64">
        <v>863</v>
      </c>
      <c r="H140" s="64">
        <v>48</v>
      </c>
      <c r="I140" s="64">
        <v>115</v>
      </c>
      <c r="J140" s="64">
        <v>35</v>
      </c>
      <c r="K140" s="64">
        <v>16</v>
      </c>
      <c r="L140" s="64">
        <v>26</v>
      </c>
      <c r="M140" s="64">
        <v>12</v>
      </c>
      <c r="N140" s="64">
        <v>27</v>
      </c>
      <c r="O140" s="64">
        <v>24</v>
      </c>
      <c r="P140" s="64">
        <v>24</v>
      </c>
      <c r="Q140" s="64">
        <v>12</v>
      </c>
    </row>
    <row r="141" spans="1:17">
      <c r="A141" s="64">
        <v>1.6</v>
      </c>
      <c r="B141" s="64">
        <v>900</v>
      </c>
      <c r="C141" s="64">
        <v>1060</v>
      </c>
      <c r="D141" s="64">
        <v>1015</v>
      </c>
      <c r="E141" s="64">
        <v>976</v>
      </c>
      <c r="F141" s="64">
        <v>966</v>
      </c>
      <c r="G141" s="64">
        <v>963</v>
      </c>
      <c r="H141" s="64">
        <v>52</v>
      </c>
      <c r="I141" s="64">
        <v>115</v>
      </c>
      <c r="J141" s="64">
        <v>35</v>
      </c>
      <c r="K141" s="64">
        <v>16</v>
      </c>
      <c r="L141" s="64">
        <v>26</v>
      </c>
      <c r="M141" s="64">
        <v>12</v>
      </c>
      <c r="N141" s="64">
        <v>27</v>
      </c>
      <c r="O141" s="64">
        <v>24</v>
      </c>
      <c r="P141" s="64">
        <v>28</v>
      </c>
      <c r="Q141" s="64">
        <v>12</v>
      </c>
    </row>
    <row r="142" spans="1:17">
      <c r="A142" s="64">
        <v>1.6</v>
      </c>
      <c r="B142" s="64">
        <v>1000</v>
      </c>
      <c r="C142" s="64">
        <v>1160</v>
      </c>
      <c r="D142" s="64">
        <v>1115</v>
      </c>
      <c r="E142" s="64">
        <v>1076</v>
      </c>
      <c r="F142" s="64">
        <v>1066</v>
      </c>
      <c r="G142" s="64">
        <v>1063</v>
      </c>
      <c r="H142" s="64">
        <v>56</v>
      </c>
      <c r="I142" s="64">
        <v>120</v>
      </c>
      <c r="J142" s="64">
        <v>35</v>
      </c>
      <c r="K142" s="64">
        <v>16</v>
      </c>
      <c r="L142" s="64">
        <v>26</v>
      </c>
      <c r="M142" s="64">
        <v>12</v>
      </c>
      <c r="N142" s="64">
        <v>27</v>
      </c>
      <c r="O142" s="64">
        <v>24</v>
      </c>
      <c r="P142" s="64">
        <v>32</v>
      </c>
      <c r="Q142" s="64">
        <v>12</v>
      </c>
    </row>
    <row r="143" spans="1:17">
      <c r="A143" s="64">
        <v>1.6</v>
      </c>
      <c r="B143" s="64">
        <v>1100</v>
      </c>
      <c r="C143" s="64">
        <v>1260</v>
      </c>
      <c r="D143" s="64">
        <v>1215</v>
      </c>
      <c r="E143" s="64">
        <v>1176</v>
      </c>
      <c r="F143" s="64">
        <v>1156</v>
      </c>
      <c r="G143" s="64">
        <v>1153</v>
      </c>
      <c r="H143" s="64">
        <v>62</v>
      </c>
      <c r="I143" s="64">
        <v>125</v>
      </c>
      <c r="J143" s="64">
        <v>40</v>
      </c>
      <c r="K143" s="64">
        <v>16</v>
      </c>
      <c r="L143" s="64">
        <v>26</v>
      </c>
      <c r="M143" s="64">
        <v>12</v>
      </c>
      <c r="N143" s="64">
        <v>27</v>
      </c>
      <c r="O143" s="64">
        <v>24</v>
      </c>
      <c r="P143" s="64">
        <v>36</v>
      </c>
      <c r="Q143" s="64">
        <v>14</v>
      </c>
    </row>
    <row r="144" spans="1:17">
      <c r="A144" s="64">
        <v>1.6</v>
      </c>
      <c r="B144" s="64">
        <v>1200</v>
      </c>
      <c r="C144" s="64">
        <v>1360</v>
      </c>
      <c r="D144" s="64">
        <v>1315</v>
      </c>
      <c r="E144" s="64">
        <v>1276</v>
      </c>
      <c r="F144" s="64">
        <v>1256</v>
      </c>
      <c r="G144" s="64">
        <v>1253</v>
      </c>
      <c r="H144" s="64">
        <v>64</v>
      </c>
      <c r="I144" s="64">
        <v>130</v>
      </c>
      <c r="J144" s="64">
        <v>40</v>
      </c>
      <c r="K144" s="64">
        <v>16</v>
      </c>
      <c r="L144" s="64">
        <v>26</v>
      </c>
      <c r="M144" s="64">
        <v>12</v>
      </c>
      <c r="N144" s="64">
        <v>27</v>
      </c>
      <c r="O144" s="64">
        <v>24</v>
      </c>
      <c r="P144" s="64">
        <v>40</v>
      </c>
      <c r="Q144" s="64">
        <v>14</v>
      </c>
    </row>
    <row r="145" spans="1:17">
      <c r="A145" s="64">
        <v>1.6</v>
      </c>
      <c r="B145" s="64">
        <v>1300</v>
      </c>
      <c r="C145" s="64">
        <v>1460</v>
      </c>
      <c r="D145" s="64">
        <v>1415</v>
      </c>
      <c r="E145" s="64">
        <v>1376</v>
      </c>
      <c r="F145" s="64">
        <v>1356</v>
      </c>
      <c r="G145" s="64">
        <v>1353</v>
      </c>
      <c r="H145" s="64">
        <v>74</v>
      </c>
      <c r="I145" s="64">
        <v>140</v>
      </c>
      <c r="J145" s="64">
        <v>40</v>
      </c>
      <c r="K145" s="64">
        <v>16</v>
      </c>
      <c r="L145" s="64">
        <v>26</v>
      </c>
      <c r="M145" s="64">
        <v>12</v>
      </c>
      <c r="N145" s="64">
        <v>27</v>
      </c>
      <c r="O145" s="64">
        <v>24</v>
      </c>
      <c r="P145" s="64">
        <v>44</v>
      </c>
      <c r="Q145" s="64">
        <v>14</v>
      </c>
    </row>
    <row r="146" spans="1:17">
      <c r="A146" s="64">
        <v>1.6</v>
      </c>
      <c r="B146" s="64">
        <v>1400</v>
      </c>
      <c r="C146" s="64">
        <v>1560</v>
      </c>
      <c r="D146" s="64">
        <v>1515</v>
      </c>
      <c r="E146" s="64">
        <v>1476</v>
      </c>
      <c r="F146" s="64">
        <v>1456</v>
      </c>
      <c r="G146" s="64">
        <v>1453</v>
      </c>
      <c r="H146" s="64">
        <v>84</v>
      </c>
      <c r="I146" s="64">
        <v>150</v>
      </c>
      <c r="J146" s="64">
        <v>40</v>
      </c>
      <c r="K146" s="64">
        <v>16</v>
      </c>
      <c r="L146" s="64">
        <v>26</v>
      </c>
      <c r="M146" s="64">
        <v>12</v>
      </c>
      <c r="N146" s="64">
        <v>27</v>
      </c>
      <c r="O146" s="64">
        <v>24</v>
      </c>
      <c r="P146" s="64">
        <v>52</v>
      </c>
      <c r="Q146" s="64">
        <v>14</v>
      </c>
    </row>
    <row r="147" spans="1:17">
      <c r="A147" s="64">
        <v>1.6</v>
      </c>
      <c r="B147" s="64">
        <v>1500</v>
      </c>
      <c r="C147" s="64">
        <v>1695</v>
      </c>
      <c r="D147" s="64">
        <v>1640</v>
      </c>
      <c r="E147" s="64">
        <v>1598</v>
      </c>
      <c r="F147" s="64">
        <v>1578</v>
      </c>
      <c r="G147" s="64">
        <v>1575</v>
      </c>
      <c r="H147" s="64">
        <v>84</v>
      </c>
      <c r="I147" s="64">
        <v>155</v>
      </c>
      <c r="J147" s="64">
        <v>42</v>
      </c>
      <c r="K147" s="64">
        <v>20</v>
      </c>
      <c r="L147" s="64">
        <v>32</v>
      </c>
      <c r="M147" s="64">
        <v>15</v>
      </c>
      <c r="N147" s="64">
        <v>30</v>
      </c>
      <c r="O147" s="64">
        <v>27</v>
      </c>
      <c r="P147" s="64">
        <v>48</v>
      </c>
      <c r="Q147" s="64">
        <v>16</v>
      </c>
    </row>
    <row r="148" spans="1:17">
      <c r="A148" s="64">
        <v>1.6</v>
      </c>
      <c r="B148" s="64">
        <v>1600</v>
      </c>
      <c r="C148" s="64">
        <v>1795</v>
      </c>
      <c r="D148" s="64">
        <v>1740</v>
      </c>
      <c r="E148" s="64">
        <v>1698</v>
      </c>
      <c r="F148" s="64">
        <v>1678</v>
      </c>
      <c r="G148" s="64">
        <v>1675</v>
      </c>
      <c r="H148" s="64">
        <v>86</v>
      </c>
      <c r="I148" s="64">
        <v>165</v>
      </c>
      <c r="J148" s="64">
        <v>48</v>
      </c>
      <c r="K148" s="64">
        <v>20</v>
      </c>
      <c r="L148" s="64">
        <v>32</v>
      </c>
      <c r="M148" s="64">
        <v>15</v>
      </c>
      <c r="N148" s="64">
        <v>30</v>
      </c>
      <c r="O148" s="64">
        <v>27</v>
      </c>
      <c r="P148" s="64">
        <v>52</v>
      </c>
      <c r="Q148" s="64">
        <v>16</v>
      </c>
    </row>
    <row r="149" spans="1:17">
      <c r="A149" s="64">
        <v>1.6</v>
      </c>
      <c r="B149" s="64">
        <v>1700</v>
      </c>
      <c r="C149" s="64">
        <v>1895</v>
      </c>
      <c r="D149" s="64">
        <v>1840</v>
      </c>
      <c r="E149" s="64">
        <v>1798</v>
      </c>
      <c r="F149" s="64">
        <v>1778</v>
      </c>
      <c r="G149" s="64">
        <v>1775</v>
      </c>
      <c r="H149" s="64">
        <v>86</v>
      </c>
      <c r="I149" s="64">
        <v>165</v>
      </c>
      <c r="J149" s="64">
        <v>48</v>
      </c>
      <c r="K149" s="64">
        <v>22</v>
      </c>
      <c r="L149" s="64">
        <v>32</v>
      </c>
      <c r="M149" s="64">
        <v>15</v>
      </c>
      <c r="N149" s="64">
        <v>30</v>
      </c>
      <c r="O149" s="64">
        <v>27</v>
      </c>
      <c r="P149" s="64">
        <v>56</v>
      </c>
      <c r="Q149" s="64">
        <v>18</v>
      </c>
    </row>
    <row r="150" spans="1:17">
      <c r="A150" s="64">
        <v>1.6</v>
      </c>
      <c r="B150" s="64">
        <v>1800</v>
      </c>
      <c r="C150" s="64">
        <v>1995</v>
      </c>
      <c r="D150" s="64">
        <v>1940</v>
      </c>
      <c r="E150" s="64">
        <v>1898</v>
      </c>
      <c r="F150" s="64">
        <v>1878</v>
      </c>
      <c r="G150" s="64">
        <v>1875</v>
      </c>
      <c r="H150" s="64">
        <v>94</v>
      </c>
      <c r="I150" s="64">
        <v>170</v>
      </c>
      <c r="J150" s="64">
        <v>48</v>
      </c>
      <c r="K150" s="64">
        <v>22</v>
      </c>
      <c r="L150" s="64">
        <v>32</v>
      </c>
      <c r="M150" s="64">
        <v>15</v>
      </c>
      <c r="N150" s="64">
        <v>30</v>
      </c>
      <c r="O150" s="64">
        <v>27</v>
      </c>
      <c r="P150" s="64">
        <v>64</v>
      </c>
      <c r="Q150" s="64">
        <v>18</v>
      </c>
    </row>
    <row r="151" spans="1:17">
      <c r="A151" s="64">
        <v>1.6</v>
      </c>
      <c r="B151" s="64">
        <v>1900</v>
      </c>
      <c r="C151" s="64">
        <v>2115</v>
      </c>
      <c r="D151" s="64">
        <v>2055</v>
      </c>
      <c r="E151" s="64">
        <v>2010</v>
      </c>
      <c r="F151" s="64">
        <v>1990</v>
      </c>
      <c r="G151" s="64">
        <v>1987</v>
      </c>
      <c r="H151" s="64">
        <v>94</v>
      </c>
      <c r="I151" s="64">
        <v>185</v>
      </c>
      <c r="J151" s="64">
        <v>56</v>
      </c>
      <c r="K151" s="64">
        <v>24</v>
      </c>
      <c r="L151" s="64">
        <v>36</v>
      </c>
      <c r="M151" s="64">
        <v>15</v>
      </c>
      <c r="N151" s="64">
        <v>33</v>
      </c>
      <c r="O151" s="64">
        <v>30</v>
      </c>
      <c r="P151" s="64">
        <v>56</v>
      </c>
      <c r="Q151" s="64">
        <v>20</v>
      </c>
    </row>
    <row r="152" spans="1:17">
      <c r="A152" s="64">
        <v>1.6</v>
      </c>
      <c r="B152" s="64">
        <v>2000</v>
      </c>
      <c r="C152" s="64">
        <v>2215</v>
      </c>
      <c r="D152" s="64">
        <v>2155</v>
      </c>
      <c r="E152" s="64">
        <v>2110</v>
      </c>
      <c r="F152" s="64">
        <v>2090</v>
      </c>
      <c r="G152" s="64">
        <v>2087</v>
      </c>
      <c r="H152" s="64">
        <v>102</v>
      </c>
      <c r="I152" s="64">
        <v>190</v>
      </c>
      <c r="J152" s="64">
        <v>56</v>
      </c>
      <c r="K152" s="64">
        <v>24</v>
      </c>
      <c r="L152" s="64">
        <v>36</v>
      </c>
      <c r="M152" s="64">
        <v>15</v>
      </c>
      <c r="N152" s="64">
        <v>33</v>
      </c>
      <c r="O152" s="64">
        <v>30</v>
      </c>
      <c r="P152" s="64">
        <v>64</v>
      </c>
      <c r="Q152" s="64">
        <v>20</v>
      </c>
    </row>
    <row r="153" spans="1:17">
      <c r="A153" s="64">
        <v>2.5</v>
      </c>
      <c r="B153" s="64">
        <v>300</v>
      </c>
      <c r="C153" s="64">
        <v>440</v>
      </c>
      <c r="D153" s="64">
        <v>400</v>
      </c>
      <c r="E153" s="64">
        <v>365</v>
      </c>
      <c r="F153" s="64">
        <v>355</v>
      </c>
      <c r="G153" s="64">
        <v>352</v>
      </c>
      <c r="H153" s="64">
        <v>32</v>
      </c>
      <c r="I153" s="64">
        <v>85</v>
      </c>
      <c r="J153" s="64">
        <v>25</v>
      </c>
      <c r="K153" s="64">
        <v>12</v>
      </c>
      <c r="L153" s="64">
        <v>22</v>
      </c>
      <c r="M153" s="64">
        <v>12</v>
      </c>
      <c r="N153" s="64">
        <v>23</v>
      </c>
      <c r="O153" s="64">
        <v>20</v>
      </c>
      <c r="P153" s="64">
        <v>16</v>
      </c>
      <c r="Q153" s="64">
        <v>6</v>
      </c>
    </row>
    <row r="154" spans="1:17">
      <c r="A154" s="64">
        <v>2.5</v>
      </c>
      <c r="B154" s="64">
        <v>350</v>
      </c>
      <c r="C154" s="64">
        <v>490</v>
      </c>
      <c r="D154" s="64">
        <v>450</v>
      </c>
      <c r="E154" s="64">
        <v>415</v>
      </c>
      <c r="F154" s="64">
        <v>405</v>
      </c>
      <c r="G154" s="64">
        <v>402</v>
      </c>
      <c r="H154" s="64">
        <v>32</v>
      </c>
      <c r="I154" s="64">
        <v>90</v>
      </c>
      <c r="J154" s="64">
        <v>25</v>
      </c>
      <c r="K154" s="64">
        <v>12</v>
      </c>
      <c r="L154" s="64">
        <v>22</v>
      </c>
      <c r="M154" s="64">
        <v>12</v>
      </c>
      <c r="N154" s="64">
        <v>23</v>
      </c>
      <c r="O154" s="64">
        <v>20</v>
      </c>
      <c r="P154" s="64">
        <v>16</v>
      </c>
      <c r="Q154" s="64">
        <v>6</v>
      </c>
    </row>
    <row r="155" spans="1:17">
      <c r="A155" s="64">
        <v>2.5</v>
      </c>
      <c r="B155" s="64">
        <v>400</v>
      </c>
      <c r="C155" s="64">
        <v>540</v>
      </c>
      <c r="D155" s="64">
        <v>500</v>
      </c>
      <c r="E155" s="64">
        <v>465</v>
      </c>
      <c r="F155" s="64">
        <v>455</v>
      </c>
      <c r="G155" s="64">
        <v>452</v>
      </c>
      <c r="H155" s="64">
        <v>36</v>
      </c>
      <c r="I155" s="64">
        <v>95</v>
      </c>
      <c r="J155" s="64">
        <v>25</v>
      </c>
      <c r="K155" s="64">
        <v>12</v>
      </c>
      <c r="L155" s="64">
        <v>22</v>
      </c>
      <c r="M155" s="64">
        <v>12</v>
      </c>
      <c r="N155" s="64">
        <v>23</v>
      </c>
      <c r="O155" s="64">
        <v>20</v>
      </c>
      <c r="P155" s="64">
        <v>20</v>
      </c>
      <c r="Q155" s="64">
        <v>8</v>
      </c>
    </row>
    <row r="156" spans="1:17">
      <c r="A156" s="64">
        <v>2.5</v>
      </c>
      <c r="B156" s="64">
        <v>450</v>
      </c>
      <c r="C156" s="64">
        <v>590</v>
      </c>
      <c r="D156" s="64">
        <v>550</v>
      </c>
      <c r="E156" s="64">
        <v>515</v>
      </c>
      <c r="F156" s="64">
        <v>505</v>
      </c>
      <c r="G156" s="64">
        <v>502</v>
      </c>
      <c r="H156" s="64">
        <v>36</v>
      </c>
      <c r="I156" s="64">
        <v>95</v>
      </c>
      <c r="J156" s="64">
        <v>25</v>
      </c>
      <c r="K156" s="64">
        <v>12</v>
      </c>
      <c r="L156" s="64">
        <v>22</v>
      </c>
      <c r="M156" s="64">
        <v>12</v>
      </c>
      <c r="N156" s="64">
        <v>23</v>
      </c>
      <c r="O156" s="64">
        <v>20</v>
      </c>
      <c r="P156" s="64">
        <v>20</v>
      </c>
      <c r="Q156" s="64">
        <v>8</v>
      </c>
    </row>
    <row r="157" spans="1:17">
      <c r="A157" s="64">
        <v>2.5</v>
      </c>
      <c r="B157" s="64">
        <v>500</v>
      </c>
      <c r="C157" s="64">
        <v>660</v>
      </c>
      <c r="D157" s="64">
        <v>615</v>
      </c>
      <c r="E157" s="64">
        <v>576</v>
      </c>
      <c r="F157" s="64">
        <v>566</v>
      </c>
      <c r="G157" s="64">
        <v>563</v>
      </c>
      <c r="H157" s="64">
        <v>40</v>
      </c>
      <c r="I157" s="64">
        <v>105</v>
      </c>
      <c r="J157" s="64">
        <v>35</v>
      </c>
      <c r="K157" s="64">
        <v>16</v>
      </c>
      <c r="L157" s="64">
        <v>26</v>
      </c>
      <c r="M157" s="64">
        <v>12</v>
      </c>
      <c r="N157" s="64">
        <v>27</v>
      </c>
      <c r="O157" s="64">
        <v>24</v>
      </c>
      <c r="P157" s="64">
        <v>20</v>
      </c>
      <c r="Q157" s="64">
        <v>10</v>
      </c>
    </row>
    <row r="158" spans="1:17">
      <c r="A158" s="64">
        <v>2.5</v>
      </c>
      <c r="B158" s="64">
        <v>550</v>
      </c>
      <c r="C158" s="64">
        <v>710</v>
      </c>
      <c r="D158" s="64">
        <v>665</v>
      </c>
      <c r="E158" s="64">
        <v>626</v>
      </c>
      <c r="F158" s="64">
        <v>616</v>
      </c>
      <c r="G158" s="64">
        <v>613</v>
      </c>
      <c r="H158" s="64">
        <v>40</v>
      </c>
      <c r="I158" s="64">
        <v>105</v>
      </c>
      <c r="J158" s="64">
        <v>35</v>
      </c>
      <c r="K158" s="64">
        <v>16</v>
      </c>
      <c r="L158" s="64">
        <v>26</v>
      </c>
      <c r="M158" s="64">
        <v>12</v>
      </c>
      <c r="N158" s="64">
        <v>27</v>
      </c>
      <c r="O158" s="64">
        <v>24</v>
      </c>
      <c r="P158" s="64">
        <v>20</v>
      </c>
      <c r="Q158" s="64">
        <v>10</v>
      </c>
    </row>
    <row r="159" spans="1:17">
      <c r="A159" s="64">
        <v>2.5</v>
      </c>
      <c r="B159" s="64">
        <v>600</v>
      </c>
      <c r="C159" s="64">
        <v>760</v>
      </c>
      <c r="D159" s="64">
        <v>715</v>
      </c>
      <c r="E159" s="64">
        <v>676</v>
      </c>
      <c r="F159" s="64">
        <v>666</v>
      </c>
      <c r="G159" s="64">
        <v>663</v>
      </c>
      <c r="H159" s="64">
        <v>42</v>
      </c>
      <c r="I159" s="64">
        <v>110</v>
      </c>
      <c r="J159" s="64">
        <v>35</v>
      </c>
      <c r="K159" s="64">
        <v>16</v>
      </c>
      <c r="L159" s="64">
        <v>26</v>
      </c>
      <c r="M159" s="64">
        <v>12</v>
      </c>
      <c r="N159" s="64">
        <v>27</v>
      </c>
      <c r="O159" s="64">
        <v>24</v>
      </c>
      <c r="P159" s="64">
        <v>24</v>
      </c>
      <c r="Q159" s="64">
        <v>10</v>
      </c>
    </row>
    <row r="160" spans="1:17">
      <c r="A160" s="64">
        <v>2.5</v>
      </c>
      <c r="B160" s="64">
        <v>650</v>
      </c>
      <c r="C160" s="64">
        <v>810</v>
      </c>
      <c r="D160" s="64">
        <v>765</v>
      </c>
      <c r="E160" s="64">
        <v>726</v>
      </c>
      <c r="F160" s="64">
        <v>716</v>
      </c>
      <c r="G160" s="64">
        <v>713</v>
      </c>
      <c r="H160" s="64">
        <v>46</v>
      </c>
      <c r="I160" s="64">
        <v>115</v>
      </c>
      <c r="J160" s="64">
        <v>35</v>
      </c>
      <c r="K160" s="64">
        <v>16</v>
      </c>
      <c r="L160" s="64">
        <v>26</v>
      </c>
      <c r="M160" s="64">
        <v>12</v>
      </c>
      <c r="N160" s="64">
        <v>27</v>
      </c>
      <c r="O160" s="64">
        <v>24</v>
      </c>
      <c r="P160" s="64">
        <v>24</v>
      </c>
      <c r="Q160" s="64">
        <v>10</v>
      </c>
    </row>
    <row r="161" spans="1:17">
      <c r="A161" s="64">
        <v>2.5</v>
      </c>
      <c r="B161" s="64">
        <v>700</v>
      </c>
      <c r="C161" s="64">
        <v>860</v>
      </c>
      <c r="D161" s="64">
        <v>815</v>
      </c>
      <c r="E161" s="64">
        <v>776</v>
      </c>
      <c r="F161" s="64">
        <v>766</v>
      </c>
      <c r="G161" s="64">
        <v>763</v>
      </c>
      <c r="H161" s="64">
        <v>50</v>
      </c>
      <c r="I161" s="64">
        <v>120</v>
      </c>
      <c r="J161" s="64">
        <v>35</v>
      </c>
      <c r="K161" s="64">
        <v>16</v>
      </c>
      <c r="L161" s="64">
        <v>26</v>
      </c>
      <c r="M161" s="64">
        <v>12</v>
      </c>
      <c r="N161" s="64">
        <v>27</v>
      </c>
      <c r="O161" s="64">
        <v>24</v>
      </c>
      <c r="P161" s="64">
        <v>28</v>
      </c>
      <c r="Q161" s="64">
        <v>10</v>
      </c>
    </row>
    <row r="162" spans="1:17">
      <c r="A162" s="64">
        <v>2.5</v>
      </c>
      <c r="B162" s="64">
        <v>800</v>
      </c>
      <c r="C162" s="64">
        <v>960</v>
      </c>
      <c r="D162" s="64">
        <v>915</v>
      </c>
      <c r="E162" s="64">
        <v>876</v>
      </c>
      <c r="F162" s="64">
        <v>866</v>
      </c>
      <c r="G162" s="64">
        <v>863</v>
      </c>
      <c r="H162" s="64">
        <v>58</v>
      </c>
      <c r="I162" s="64">
        <v>125</v>
      </c>
      <c r="J162" s="64">
        <v>35</v>
      </c>
      <c r="K162" s="64">
        <v>16</v>
      </c>
      <c r="L162" s="64">
        <v>26</v>
      </c>
      <c r="M162" s="64">
        <v>12</v>
      </c>
      <c r="N162" s="64">
        <v>27</v>
      </c>
      <c r="O162" s="64">
        <v>24</v>
      </c>
      <c r="P162" s="64">
        <v>32</v>
      </c>
      <c r="Q162" s="64">
        <v>12</v>
      </c>
    </row>
    <row r="163" spans="1:17">
      <c r="A163" s="64">
        <v>2.5</v>
      </c>
      <c r="B163" s="64">
        <v>900</v>
      </c>
      <c r="C163" s="64">
        <v>1095</v>
      </c>
      <c r="D163" s="64">
        <v>1040</v>
      </c>
      <c r="E163" s="64">
        <v>998</v>
      </c>
      <c r="F163" s="64">
        <v>988</v>
      </c>
      <c r="G163" s="64">
        <v>985</v>
      </c>
      <c r="H163" s="64">
        <v>60</v>
      </c>
      <c r="I163" s="64">
        <v>145</v>
      </c>
      <c r="J163" s="64">
        <v>42</v>
      </c>
      <c r="K163" s="64">
        <v>20</v>
      </c>
      <c r="L163" s="64">
        <v>32</v>
      </c>
      <c r="M163" s="64">
        <v>15</v>
      </c>
      <c r="N163" s="64">
        <v>30</v>
      </c>
      <c r="O163" s="64">
        <v>27</v>
      </c>
      <c r="P163" s="64">
        <v>32</v>
      </c>
      <c r="Q163" s="64">
        <v>12</v>
      </c>
    </row>
    <row r="164" spans="1:17">
      <c r="A164" s="64">
        <v>2.5</v>
      </c>
      <c r="B164" s="64">
        <v>1000</v>
      </c>
      <c r="C164" s="64">
        <v>1195</v>
      </c>
      <c r="D164" s="64">
        <v>1140</v>
      </c>
      <c r="E164" s="64">
        <v>1098</v>
      </c>
      <c r="F164" s="64">
        <v>1088</v>
      </c>
      <c r="G164" s="64">
        <v>1085</v>
      </c>
      <c r="H164" s="64">
        <v>68</v>
      </c>
      <c r="I164" s="64">
        <v>155</v>
      </c>
      <c r="J164" s="64">
        <v>42</v>
      </c>
      <c r="K164" s="64">
        <v>20</v>
      </c>
      <c r="L164" s="64">
        <v>32</v>
      </c>
      <c r="M164" s="64">
        <v>15</v>
      </c>
      <c r="N164" s="64">
        <v>30</v>
      </c>
      <c r="O164" s="64">
        <v>27</v>
      </c>
      <c r="P164" s="64">
        <v>36</v>
      </c>
      <c r="Q164" s="64">
        <v>14</v>
      </c>
    </row>
    <row r="165" spans="1:17">
      <c r="A165" s="64">
        <v>2.5</v>
      </c>
      <c r="B165" s="64">
        <v>1100</v>
      </c>
      <c r="C165" s="64">
        <v>1295</v>
      </c>
      <c r="D165" s="64">
        <v>1240</v>
      </c>
      <c r="E165" s="64">
        <v>1198</v>
      </c>
      <c r="F165" s="64">
        <v>1178</v>
      </c>
      <c r="G165" s="64">
        <v>1175</v>
      </c>
      <c r="H165" s="64">
        <v>72</v>
      </c>
      <c r="I165" s="64">
        <v>165</v>
      </c>
      <c r="J165" s="64">
        <v>42</v>
      </c>
      <c r="K165" s="64">
        <v>22</v>
      </c>
      <c r="L165" s="64">
        <v>32</v>
      </c>
      <c r="M165" s="64">
        <v>15</v>
      </c>
      <c r="N165" s="64">
        <v>30</v>
      </c>
      <c r="O165" s="64">
        <v>27</v>
      </c>
      <c r="P165" s="64">
        <v>40</v>
      </c>
      <c r="Q165" s="64">
        <v>14</v>
      </c>
    </row>
    <row r="166" spans="1:17">
      <c r="A166" s="64">
        <v>2.5</v>
      </c>
      <c r="B166" s="64">
        <v>1200</v>
      </c>
      <c r="C166" s="64">
        <v>1395</v>
      </c>
      <c r="D166" s="64">
        <v>1340</v>
      </c>
      <c r="E166" s="64">
        <v>1298</v>
      </c>
      <c r="F166" s="64">
        <v>1278</v>
      </c>
      <c r="G166" s="64">
        <v>1275</v>
      </c>
      <c r="H166" s="64">
        <v>84</v>
      </c>
      <c r="I166" s="64">
        <v>185</v>
      </c>
      <c r="J166" s="64">
        <v>48</v>
      </c>
      <c r="K166" s="64">
        <v>22</v>
      </c>
      <c r="L166" s="64">
        <v>32</v>
      </c>
      <c r="M166" s="64">
        <v>15</v>
      </c>
      <c r="N166" s="64">
        <v>30</v>
      </c>
      <c r="O166" s="64">
        <v>27</v>
      </c>
      <c r="P166" s="64">
        <v>48</v>
      </c>
      <c r="Q166" s="64">
        <v>14</v>
      </c>
    </row>
    <row r="167" spans="1:17">
      <c r="A167" s="64">
        <v>2.5</v>
      </c>
      <c r="B167" s="64">
        <v>1300</v>
      </c>
      <c r="C167" s="64">
        <v>1495</v>
      </c>
      <c r="D167" s="64">
        <v>1440</v>
      </c>
      <c r="E167" s="64">
        <v>1398</v>
      </c>
      <c r="F167" s="64">
        <v>1378</v>
      </c>
      <c r="G167" s="64">
        <v>1375</v>
      </c>
      <c r="H167" s="64">
        <v>88</v>
      </c>
      <c r="I167" s="64">
        <v>185</v>
      </c>
      <c r="J167" s="64">
        <v>48</v>
      </c>
      <c r="K167" s="64">
        <v>22</v>
      </c>
      <c r="L167" s="64">
        <v>32</v>
      </c>
      <c r="M167" s="64">
        <v>15</v>
      </c>
      <c r="N167" s="64">
        <v>30</v>
      </c>
      <c r="O167" s="64">
        <v>27</v>
      </c>
      <c r="P167" s="64">
        <v>56</v>
      </c>
      <c r="Q167" s="64">
        <v>16</v>
      </c>
    </row>
    <row r="168" spans="1:17">
      <c r="A168" s="64">
        <v>2.5</v>
      </c>
      <c r="B168" s="64">
        <v>1400</v>
      </c>
      <c r="C168" s="64">
        <v>1595</v>
      </c>
      <c r="D168" s="64">
        <v>1540</v>
      </c>
      <c r="E168" s="64">
        <v>1498</v>
      </c>
      <c r="F168" s="64">
        <v>1478</v>
      </c>
      <c r="G168" s="64">
        <v>1475</v>
      </c>
      <c r="H168" s="64">
        <v>100</v>
      </c>
      <c r="I168" s="64">
        <v>195</v>
      </c>
      <c r="J168" s="64">
        <v>48</v>
      </c>
      <c r="K168" s="64">
        <v>22</v>
      </c>
      <c r="L168" s="64">
        <v>32</v>
      </c>
      <c r="M168" s="64">
        <v>15</v>
      </c>
      <c r="N168" s="64">
        <v>30</v>
      </c>
      <c r="O168" s="64">
        <v>27</v>
      </c>
      <c r="P168" s="64">
        <v>60</v>
      </c>
      <c r="Q168" s="64">
        <v>16</v>
      </c>
    </row>
    <row r="169" spans="1:17">
      <c r="A169" s="64">
        <v>2.5</v>
      </c>
      <c r="B169" s="64">
        <v>1500</v>
      </c>
      <c r="C169" s="64">
        <v>1715</v>
      </c>
      <c r="D169" s="64">
        <v>1655</v>
      </c>
      <c r="E169" s="64">
        <v>1610</v>
      </c>
      <c r="F169" s="64">
        <v>1590</v>
      </c>
      <c r="G169" s="64">
        <v>1587</v>
      </c>
      <c r="H169" s="64">
        <v>102</v>
      </c>
      <c r="I169" s="64">
        <v>200</v>
      </c>
      <c r="J169" s="64">
        <v>56</v>
      </c>
      <c r="K169" s="64">
        <v>24</v>
      </c>
      <c r="L169" s="64">
        <v>36</v>
      </c>
      <c r="M169" s="64">
        <v>15</v>
      </c>
      <c r="N169" s="64">
        <v>33</v>
      </c>
      <c r="O169" s="64">
        <v>30</v>
      </c>
      <c r="P169" s="64">
        <v>60</v>
      </c>
      <c r="Q169" s="64">
        <v>18</v>
      </c>
    </row>
    <row r="170" spans="1:17">
      <c r="A170" s="64">
        <v>2.5</v>
      </c>
      <c r="B170" s="64">
        <v>1600</v>
      </c>
      <c r="C170" s="64">
        <v>1815</v>
      </c>
      <c r="D170" s="64">
        <v>1755</v>
      </c>
      <c r="E170" s="64">
        <v>1710</v>
      </c>
      <c r="F170" s="64">
        <v>1690</v>
      </c>
      <c r="G170" s="64">
        <v>1687</v>
      </c>
      <c r="H170" s="64">
        <v>112</v>
      </c>
      <c r="I170" s="64">
        <v>210</v>
      </c>
      <c r="J170" s="64">
        <v>56</v>
      </c>
      <c r="K170" s="64">
        <v>24</v>
      </c>
      <c r="L170" s="64">
        <v>36</v>
      </c>
      <c r="M170" s="64">
        <v>15</v>
      </c>
      <c r="N170" s="64">
        <v>33</v>
      </c>
      <c r="O170" s="64">
        <v>30</v>
      </c>
      <c r="P170" s="64">
        <v>64</v>
      </c>
      <c r="Q170" s="64">
        <v>20</v>
      </c>
    </row>
    <row r="171" spans="1:17">
      <c r="A171" s="64">
        <v>2.5</v>
      </c>
      <c r="B171" s="64">
        <v>1700</v>
      </c>
      <c r="C171" s="64">
        <v>1950</v>
      </c>
      <c r="D171" s="64">
        <v>1880</v>
      </c>
      <c r="E171" s="64">
        <v>1829</v>
      </c>
      <c r="F171" s="64">
        <v>1809</v>
      </c>
      <c r="G171" s="64">
        <v>1806</v>
      </c>
      <c r="H171" s="64">
        <v>112</v>
      </c>
      <c r="I171" s="64">
        <v>230</v>
      </c>
      <c r="J171" s="64">
        <v>64</v>
      </c>
      <c r="K171" s="64">
        <v>28</v>
      </c>
      <c r="L171" s="64">
        <v>42</v>
      </c>
      <c r="M171" s="64">
        <v>18</v>
      </c>
      <c r="N171" s="64">
        <v>39</v>
      </c>
      <c r="O171" s="64">
        <v>36</v>
      </c>
      <c r="P171" s="64">
        <v>52</v>
      </c>
      <c r="Q171" s="64">
        <v>20</v>
      </c>
    </row>
    <row r="172" spans="1:17">
      <c r="A172" s="64">
        <v>2.5</v>
      </c>
      <c r="B172" s="64">
        <v>1800</v>
      </c>
      <c r="C172" s="64">
        <v>2050</v>
      </c>
      <c r="D172" s="64">
        <v>1980</v>
      </c>
      <c r="E172" s="64">
        <v>1929</v>
      </c>
      <c r="F172" s="64">
        <v>1909</v>
      </c>
      <c r="G172" s="64">
        <v>1906</v>
      </c>
      <c r="H172" s="64">
        <v>122</v>
      </c>
      <c r="I172" s="64">
        <v>235</v>
      </c>
      <c r="J172" s="64">
        <v>64</v>
      </c>
      <c r="K172" s="64">
        <v>28</v>
      </c>
      <c r="L172" s="64">
        <v>42</v>
      </c>
      <c r="M172" s="64">
        <v>18</v>
      </c>
      <c r="N172" s="64">
        <v>39</v>
      </c>
      <c r="O172" s="64">
        <v>36</v>
      </c>
      <c r="P172" s="64">
        <v>56</v>
      </c>
      <c r="Q172" s="64">
        <v>22</v>
      </c>
    </row>
    <row r="173" spans="1:17">
      <c r="A173" s="64">
        <v>2.5</v>
      </c>
      <c r="B173" s="64">
        <v>1900</v>
      </c>
      <c r="C173" s="64">
        <v>2150</v>
      </c>
      <c r="D173" s="64">
        <v>2080</v>
      </c>
      <c r="E173" s="64">
        <v>2029</v>
      </c>
      <c r="F173" s="64">
        <v>2009</v>
      </c>
      <c r="G173" s="64">
        <v>2006</v>
      </c>
      <c r="H173" s="64">
        <v>132</v>
      </c>
      <c r="I173" s="64">
        <v>235</v>
      </c>
      <c r="J173" s="64">
        <v>64</v>
      </c>
      <c r="K173" s="64">
        <v>28</v>
      </c>
      <c r="L173" s="64">
        <v>42</v>
      </c>
      <c r="M173" s="64">
        <v>18</v>
      </c>
      <c r="N173" s="64">
        <v>39</v>
      </c>
      <c r="O173" s="64">
        <v>36</v>
      </c>
      <c r="P173" s="64">
        <v>64</v>
      </c>
      <c r="Q173" s="64">
        <v>24</v>
      </c>
    </row>
    <row r="174" spans="1:17">
      <c r="A174" s="64">
        <v>2.5</v>
      </c>
      <c r="B174" s="64">
        <v>2000</v>
      </c>
      <c r="C174" s="64">
        <v>2250</v>
      </c>
      <c r="D174" s="64">
        <v>2180</v>
      </c>
      <c r="E174" s="64">
        <v>2129</v>
      </c>
      <c r="F174" s="64">
        <v>2109</v>
      </c>
      <c r="G174" s="64">
        <v>2106</v>
      </c>
      <c r="H174" s="64">
        <v>144</v>
      </c>
      <c r="I174" s="64">
        <v>245</v>
      </c>
      <c r="J174" s="64">
        <v>64</v>
      </c>
      <c r="K174" s="64">
        <v>28</v>
      </c>
      <c r="L174" s="64">
        <v>42</v>
      </c>
      <c r="M174" s="64">
        <v>18</v>
      </c>
      <c r="N174" s="64">
        <v>39</v>
      </c>
      <c r="O174" s="64">
        <v>36</v>
      </c>
      <c r="P174" s="64">
        <v>68</v>
      </c>
      <c r="Q174" s="64">
        <v>24</v>
      </c>
    </row>
    <row r="175" spans="1:17">
      <c r="A175" s="65">
        <v>4</v>
      </c>
      <c r="B175" s="64">
        <v>300</v>
      </c>
      <c r="C175" s="64">
        <v>460</v>
      </c>
      <c r="D175" s="64">
        <v>415</v>
      </c>
      <c r="E175" s="64">
        <v>376</v>
      </c>
      <c r="F175" s="64">
        <v>366</v>
      </c>
      <c r="G175" s="64">
        <v>363</v>
      </c>
      <c r="H175" s="64">
        <v>40</v>
      </c>
      <c r="I175" s="64">
        <v>105</v>
      </c>
      <c r="J175" s="64">
        <v>35</v>
      </c>
      <c r="K175" s="64">
        <v>16</v>
      </c>
      <c r="L175" s="64">
        <v>26</v>
      </c>
      <c r="M175" s="64">
        <v>12</v>
      </c>
      <c r="N175" s="64">
        <v>27</v>
      </c>
      <c r="O175" s="64">
        <v>24</v>
      </c>
      <c r="P175" s="64">
        <v>16</v>
      </c>
      <c r="Q175" s="64">
        <v>8</v>
      </c>
    </row>
    <row r="176" spans="1:17">
      <c r="A176" s="65">
        <v>4</v>
      </c>
      <c r="B176" s="64">
        <v>350</v>
      </c>
      <c r="C176" s="64">
        <v>510</v>
      </c>
      <c r="D176" s="64">
        <v>465</v>
      </c>
      <c r="E176" s="64">
        <v>426</v>
      </c>
      <c r="F176" s="64">
        <v>416</v>
      </c>
      <c r="G176" s="64">
        <v>413</v>
      </c>
      <c r="H176" s="64">
        <v>42</v>
      </c>
      <c r="I176" s="64">
        <v>110</v>
      </c>
      <c r="J176" s="64">
        <v>35</v>
      </c>
      <c r="K176" s="64">
        <v>16</v>
      </c>
      <c r="L176" s="64">
        <v>26</v>
      </c>
      <c r="M176" s="64">
        <v>12</v>
      </c>
      <c r="N176" s="64">
        <v>27</v>
      </c>
      <c r="O176" s="64">
        <v>24</v>
      </c>
      <c r="P176" s="64">
        <v>16</v>
      </c>
      <c r="Q176" s="64">
        <v>8</v>
      </c>
    </row>
    <row r="177" spans="1:17">
      <c r="A177" s="65">
        <v>4</v>
      </c>
      <c r="B177" s="64">
        <v>400</v>
      </c>
      <c r="C177" s="64">
        <v>560</v>
      </c>
      <c r="D177" s="64">
        <v>515</v>
      </c>
      <c r="E177" s="64">
        <v>476</v>
      </c>
      <c r="F177" s="64">
        <v>466</v>
      </c>
      <c r="G177" s="64">
        <v>463</v>
      </c>
      <c r="H177" s="64">
        <v>42</v>
      </c>
      <c r="I177" s="64">
        <v>110</v>
      </c>
      <c r="J177" s="64">
        <v>35</v>
      </c>
      <c r="K177" s="64">
        <v>16</v>
      </c>
      <c r="L177" s="64">
        <v>26</v>
      </c>
      <c r="M177" s="64">
        <v>12</v>
      </c>
      <c r="N177" s="64">
        <v>27</v>
      </c>
      <c r="O177" s="64">
        <v>24</v>
      </c>
      <c r="P177" s="64">
        <v>20</v>
      </c>
      <c r="Q177" s="64">
        <v>12</v>
      </c>
    </row>
    <row r="178" spans="1:17">
      <c r="A178" s="65">
        <v>4</v>
      </c>
      <c r="B178" s="64">
        <v>450</v>
      </c>
      <c r="C178" s="64">
        <v>610</v>
      </c>
      <c r="D178" s="64">
        <v>565</v>
      </c>
      <c r="E178" s="64">
        <v>526</v>
      </c>
      <c r="F178" s="64">
        <v>516</v>
      </c>
      <c r="G178" s="64">
        <v>513</v>
      </c>
      <c r="H178" s="64">
        <v>46</v>
      </c>
      <c r="I178" s="64">
        <v>110</v>
      </c>
      <c r="J178" s="64">
        <v>35</v>
      </c>
      <c r="K178" s="64">
        <v>16</v>
      </c>
      <c r="L178" s="64">
        <v>26</v>
      </c>
      <c r="M178" s="64">
        <v>12</v>
      </c>
      <c r="N178" s="64">
        <v>27</v>
      </c>
      <c r="O178" s="64">
        <v>24</v>
      </c>
      <c r="P178" s="64">
        <v>20</v>
      </c>
      <c r="Q178" s="64">
        <v>12</v>
      </c>
    </row>
    <row r="179" spans="1:17">
      <c r="A179" s="65">
        <v>4</v>
      </c>
      <c r="B179" s="64">
        <v>500</v>
      </c>
      <c r="C179" s="64">
        <v>660</v>
      </c>
      <c r="D179" s="64">
        <v>615</v>
      </c>
      <c r="E179" s="64">
        <v>576</v>
      </c>
      <c r="F179" s="64">
        <v>566</v>
      </c>
      <c r="G179" s="64">
        <v>563</v>
      </c>
      <c r="H179" s="64">
        <v>46</v>
      </c>
      <c r="I179" s="64">
        <v>110</v>
      </c>
      <c r="J179" s="64">
        <v>35</v>
      </c>
      <c r="K179" s="64">
        <v>16</v>
      </c>
      <c r="L179" s="64">
        <v>26</v>
      </c>
      <c r="M179" s="64">
        <v>12</v>
      </c>
      <c r="N179" s="64">
        <v>27</v>
      </c>
      <c r="O179" s="64">
        <v>24</v>
      </c>
      <c r="P179" s="64">
        <v>24</v>
      </c>
      <c r="Q179" s="64">
        <v>12</v>
      </c>
    </row>
    <row r="180" spans="1:17">
      <c r="A180" s="65">
        <v>4</v>
      </c>
      <c r="B180" s="64">
        <v>550</v>
      </c>
      <c r="C180" s="64">
        <v>710</v>
      </c>
      <c r="D180" s="64">
        <v>665</v>
      </c>
      <c r="E180" s="64">
        <v>626</v>
      </c>
      <c r="F180" s="64">
        <v>616</v>
      </c>
      <c r="G180" s="64">
        <v>613</v>
      </c>
      <c r="H180" s="64">
        <v>52</v>
      </c>
      <c r="I180" s="64">
        <v>115</v>
      </c>
      <c r="J180" s="64">
        <v>35</v>
      </c>
      <c r="K180" s="64">
        <v>16</v>
      </c>
      <c r="L180" s="64">
        <v>26</v>
      </c>
      <c r="M180" s="64">
        <v>12</v>
      </c>
      <c r="N180" s="64">
        <v>27</v>
      </c>
      <c r="O180" s="64">
        <v>24</v>
      </c>
      <c r="P180" s="64">
        <v>28</v>
      </c>
      <c r="Q180" s="64">
        <v>12</v>
      </c>
    </row>
    <row r="181" spans="1:17">
      <c r="A181" s="65">
        <v>4</v>
      </c>
      <c r="B181" s="64">
        <v>600</v>
      </c>
      <c r="C181" s="64">
        <v>760</v>
      </c>
      <c r="D181" s="64">
        <v>715</v>
      </c>
      <c r="E181" s="64">
        <v>676</v>
      </c>
      <c r="F181" s="64">
        <v>666</v>
      </c>
      <c r="G181" s="64">
        <v>663</v>
      </c>
      <c r="H181" s="64">
        <v>58</v>
      </c>
      <c r="I181" s="64">
        <v>120</v>
      </c>
      <c r="J181" s="64">
        <v>35</v>
      </c>
      <c r="K181" s="64">
        <v>16</v>
      </c>
      <c r="L181" s="64">
        <v>26</v>
      </c>
      <c r="M181" s="64">
        <v>12</v>
      </c>
      <c r="N181" s="64">
        <v>27</v>
      </c>
      <c r="O181" s="64">
        <v>24</v>
      </c>
      <c r="P181" s="64">
        <v>32</v>
      </c>
      <c r="Q181" s="64">
        <v>12</v>
      </c>
    </row>
    <row r="182" spans="1:17">
      <c r="A182" s="65">
        <v>4</v>
      </c>
      <c r="B182" s="64">
        <v>65</v>
      </c>
      <c r="C182" s="64">
        <v>845</v>
      </c>
      <c r="D182" s="64">
        <v>790</v>
      </c>
      <c r="E182" s="64">
        <v>748</v>
      </c>
      <c r="F182" s="64">
        <v>738</v>
      </c>
      <c r="G182" s="64">
        <v>735</v>
      </c>
      <c r="H182" s="64">
        <v>60</v>
      </c>
      <c r="I182" s="64">
        <v>135</v>
      </c>
      <c r="J182" s="64">
        <v>42</v>
      </c>
      <c r="K182" s="64">
        <v>20</v>
      </c>
      <c r="L182" s="64">
        <v>32</v>
      </c>
      <c r="M182" s="64">
        <v>15</v>
      </c>
      <c r="N182" s="64">
        <v>30</v>
      </c>
      <c r="O182" s="64">
        <v>27</v>
      </c>
      <c r="P182" s="64">
        <v>28</v>
      </c>
      <c r="Q182" s="64">
        <v>14</v>
      </c>
    </row>
    <row r="183" spans="1:17">
      <c r="A183" s="65">
        <v>4</v>
      </c>
      <c r="B183" s="64">
        <v>700</v>
      </c>
      <c r="C183" s="64">
        <v>895</v>
      </c>
      <c r="D183" s="64">
        <v>840</v>
      </c>
      <c r="E183" s="64">
        <v>798</v>
      </c>
      <c r="F183" s="64">
        <v>788</v>
      </c>
      <c r="G183" s="64">
        <v>785</v>
      </c>
      <c r="H183" s="64">
        <v>64</v>
      </c>
      <c r="I183" s="64">
        <v>140</v>
      </c>
      <c r="J183" s="64">
        <v>42</v>
      </c>
      <c r="K183" s="64">
        <v>20</v>
      </c>
      <c r="L183" s="64">
        <v>32</v>
      </c>
      <c r="M183" s="64">
        <v>15</v>
      </c>
      <c r="N183" s="64">
        <v>30</v>
      </c>
      <c r="O183" s="64">
        <v>27</v>
      </c>
      <c r="P183" s="64">
        <v>32</v>
      </c>
      <c r="Q183" s="64">
        <v>14</v>
      </c>
    </row>
    <row r="184" spans="1:17">
      <c r="A184" s="65">
        <v>4</v>
      </c>
      <c r="B184" s="64">
        <v>800</v>
      </c>
      <c r="C184" s="64">
        <v>995</v>
      </c>
      <c r="D184" s="64">
        <v>940</v>
      </c>
      <c r="E184" s="64">
        <v>898</v>
      </c>
      <c r="F184" s="64">
        <v>888</v>
      </c>
      <c r="G184" s="64">
        <v>885</v>
      </c>
      <c r="H184" s="64">
        <v>70</v>
      </c>
      <c r="I184" s="64">
        <v>150</v>
      </c>
      <c r="J184" s="64">
        <v>42</v>
      </c>
      <c r="K184" s="64">
        <v>22</v>
      </c>
      <c r="L184" s="64">
        <v>32</v>
      </c>
      <c r="M184" s="64">
        <v>15</v>
      </c>
      <c r="N184" s="64">
        <v>30</v>
      </c>
      <c r="O184" s="64">
        <v>27</v>
      </c>
      <c r="P184" s="64">
        <v>40</v>
      </c>
      <c r="Q184" s="64">
        <v>16</v>
      </c>
    </row>
    <row r="185" spans="1:17">
      <c r="A185" s="65">
        <v>4</v>
      </c>
      <c r="B185" s="64">
        <v>900</v>
      </c>
      <c r="C185" s="64">
        <v>1115</v>
      </c>
      <c r="D185" s="64">
        <v>1055</v>
      </c>
      <c r="E185" s="64">
        <v>1010</v>
      </c>
      <c r="F185" s="64">
        <v>1000</v>
      </c>
      <c r="G185" s="64">
        <v>997</v>
      </c>
      <c r="H185" s="64">
        <v>86</v>
      </c>
      <c r="I185" s="64">
        <v>170</v>
      </c>
      <c r="J185" s="64">
        <v>42</v>
      </c>
      <c r="K185" s="64">
        <v>24</v>
      </c>
      <c r="L185" s="64">
        <v>36</v>
      </c>
      <c r="M185" s="64">
        <v>15</v>
      </c>
      <c r="N185" s="64">
        <v>33</v>
      </c>
      <c r="O185" s="64">
        <v>30</v>
      </c>
      <c r="P185" s="64">
        <v>40</v>
      </c>
      <c r="Q185" s="64">
        <v>16</v>
      </c>
    </row>
    <row r="186" spans="1:17">
      <c r="A186" s="65">
        <v>4</v>
      </c>
      <c r="B186" s="64">
        <v>1000</v>
      </c>
      <c r="C186" s="64">
        <v>1215</v>
      </c>
      <c r="D186" s="64">
        <v>1155</v>
      </c>
      <c r="E186" s="64">
        <v>1110</v>
      </c>
      <c r="F186" s="64">
        <v>1100</v>
      </c>
      <c r="G186" s="64">
        <v>1097</v>
      </c>
      <c r="H186" s="64">
        <v>100</v>
      </c>
      <c r="I186" s="64">
        <v>175</v>
      </c>
      <c r="J186" s="64">
        <v>42</v>
      </c>
      <c r="K186" s="64">
        <v>24</v>
      </c>
      <c r="L186" s="64">
        <v>36</v>
      </c>
      <c r="M186" s="64">
        <v>15</v>
      </c>
      <c r="N186" s="64">
        <v>33</v>
      </c>
      <c r="O186" s="64">
        <v>30</v>
      </c>
      <c r="P186" s="64">
        <v>48</v>
      </c>
      <c r="Q186" s="64">
        <v>18</v>
      </c>
    </row>
    <row r="187" spans="1:17">
      <c r="A187" s="65">
        <v>4</v>
      </c>
      <c r="B187" s="64">
        <v>1100</v>
      </c>
      <c r="C187" s="64">
        <v>1350</v>
      </c>
      <c r="D187" s="64">
        <v>1280</v>
      </c>
      <c r="E187" s="64">
        <v>1229</v>
      </c>
      <c r="F187" s="64">
        <v>1209</v>
      </c>
      <c r="G187" s="64">
        <v>1206</v>
      </c>
      <c r="H187" s="64">
        <v>104</v>
      </c>
      <c r="I187" s="64">
        <v>195</v>
      </c>
      <c r="J187" s="64">
        <v>48</v>
      </c>
      <c r="K187" s="64">
        <v>28</v>
      </c>
      <c r="L187" s="64">
        <v>42</v>
      </c>
      <c r="M187" s="64">
        <v>18</v>
      </c>
      <c r="N187" s="64">
        <v>39</v>
      </c>
      <c r="O187" s="64">
        <v>36</v>
      </c>
      <c r="P187" s="64">
        <v>40</v>
      </c>
      <c r="Q187" s="64">
        <v>20</v>
      </c>
    </row>
    <row r="188" spans="1:17">
      <c r="A188" s="65">
        <v>4</v>
      </c>
      <c r="B188" s="64">
        <v>1200</v>
      </c>
      <c r="C188" s="64">
        <v>1450</v>
      </c>
      <c r="D188" s="64">
        <v>1380</v>
      </c>
      <c r="E188" s="64">
        <v>1329</v>
      </c>
      <c r="F188" s="64">
        <v>1309</v>
      </c>
      <c r="G188" s="64">
        <v>1306</v>
      </c>
      <c r="H188" s="64">
        <v>120</v>
      </c>
      <c r="I188" s="64">
        <v>205</v>
      </c>
      <c r="J188" s="64">
        <v>48</v>
      </c>
      <c r="K188" s="64">
        <v>28</v>
      </c>
      <c r="L188" s="64">
        <v>42</v>
      </c>
      <c r="M188" s="64">
        <v>18</v>
      </c>
      <c r="N188" s="64">
        <v>39</v>
      </c>
      <c r="O188" s="64">
        <v>36</v>
      </c>
      <c r="P188" s="64">
        <v>44</v>
      </c>
      <c r="Q188" s="64">
        <v>22</v>
      </c>
    </row>
    <row r="189" spans="1:17">
      <c r="A189" s="65">
        <v>4</v>
      </c>
      <c r="B189" s="64">
        <v>1300</v>
      </c>
      <c r="C189" s="64">
        <v>1550</v>
      </c>
      <c r="D189" s="64">
        <v>1480</v>
      </c>
      <c r="E189" s="64">
        <v>1429</v>
      </c>
      <c r="F189" s="64">
        <v>1409</v>
      </c>
      <c r="G189" s="64">
        <v>1406</v>
      </c>
      <c r="H189" s="64">
        <v>126</v>
      </c>
      <c r="I189" s="64">
        <v>220</v>
      </c>
      <c r="J189" s="64">
        <v>56</v>
      </c>
      <c r="K189" s="64">
        <v>28</v>
      </c>
      <c r="L189" s="64">
        <v>42</v>
      </c>
      <c r="M189" s="64">
        <v>18</v>
      </c>
      <c r="N189" s="64">
        <v>39</v>
      </c>
      <c r="O189" s="64">
        <v>36</v>
      </c>
      <c r="P189" s="64">
        <v>52</v>
      </c>
      <c r="Q189" s="64">
        <v>22</v>
      </c>
    </row>
    <row r="190" spans="1:17">
      <c r="A190" s="65">
        <v>4</v>
      </c>
      <c r="B190" s="64">
        <v>1400</v>
      </c>
      <c r="C190" s="64">
        <v>1650</v>
      </c>
      <c r="D190" s="64">
        <v>1580</v>
      </c>
      <c r="E190" s="64">
        <v>1529</v>
      </c>
      <c r="F190" s="64">
        <v>1509</v>
      </c>
      <c r="G190" s="64">
        <v>1506</v>
      </c>
      <c r="H190" s="64">
        <v>130</v>
      </c>
      <c r="I190" s="64">
        <v>235</v>
      </c>
      <c r="J190" s="64">
        <v>64</v>
      </c>
      <c r="K190" s="64">
        <v>28</v>
      </c>
      <c r="L190" s="64">
        <v>42</v>
      </c>
      <c r="M190" s="64">
        <v>18</v>
      </c>
      <c r="N190" s="64">
        <v>39</v>
      </c>
      <c r="O190" s="64">
        <v>36</v>
      </c>
      <c r="P190" s="64">
        <v>60</v>
      </c>
      <c r="Q190" s="64">
        <v>22</v>
      </c>
    </row>
    <row r="191" spans="1:17">
      <c r="A191" s="65">
        <v>4</v>
      </c>
      <c r="B191" s="64">
        <v>1500</v>
      </c>
      <c r="C191" s="64">
        <v>1750</v>
      </c>
      <c r="D191" s="64">
        <v>1680</v>
      </c>
      <c r="E191" s="64">
        <v>1629</v>
      </c>
      <c r="F191" s="64">
        <v>1609</v>
      </c>
      <c r="G191" s="64">
        <v>1606</v>
      </c>
      <c r="H191" s="64">
        <v>144</v>
      </c>
      <c r="I191" s="64">
        <v>250</v>
      </c>
      <c r="J191" s="64">
        <v>64</v>
      </c>
      <c r="K191" s="64">
        <v>28</v>
      </c>
      <c r="L191" s="64">
        <v>42</v>
      </c>
      <c r="M191" s="64">
        <v>18</v>
      </c>
      <c r="N191" s="64">
        <v>39</v>
      </c>
      <c r="O191" s="64">
        <v>36</v>
      </c>
      <c r="P191" s="64">
        <v>64</v>
      </c>
      <c r="Q191" s="64">
        <v>22</v>
      </c>
    </row>
    <row r="192" spans="1:17">
      <c r="A192" s="65">
        <v>4</v>
      </c>
      <c r="B192" s="64">
        <v>1600</v>
      </c>
      <c r="C192" s="64">
        <v>1850</v>
      </c>
      <c r="D192" s="64">
        <v>1780</v>
      </c>
      <c r="E192" s="64">
        <v>1729</v>
      </c>
      <c r="F192" s="64">
        <v>1709</v>
      </c>
      <c r="G192" s="64">
        <v>1706</v>
      </c>
      <c r="H192" s="64">
        <v>158</v>
      </c>
      <c r="I192" s="64">
        <v>265</v>
      </c>
      <c r="J192" s="64">
        <v>64</v>
      </c>
      <c r="K192" s="64">
        <v>28</v>
      </c>
      <c r="L192" s="64">
        <v>42</v>
      </c>
      <c r="M192" s="64">
        <v>18</v>
      </c>
      <c r="N192" s="64">
        <v>39</v>
      </c>
      <c r="O192" s="64">
        <v>36</v>
      </c>
      <c r="P192" s="64">
        <v>68</v>
      </c>
      <c r="Q192" s="64">
        <v>22</v>
      </c>
    </row>
    <row r="193" spans="1:17">
      <c r="A193" s="64">
        <v>6.4</v>
      </c>
      <c r="B193" s="64">
        <v>300</v>
      </c>
      <c r="C193" s="64">
        <v>460</v>
      </c>
      <c r="D193" s="64">
        <v>415</v>
      </c>
      <c r="E193" s="64">
        <v>376</v>
      </c>
      <c r="F193" s="64">
        <v>366</v>
      </c>
      <c r="G193" s="64">
        <v>363</v>
      </c>
      <c r="H193" s="64">
        <v>46</v>
      </c>
      <c r="I193" s="64">
        <v>110</v>
      </c>
      <c r="J193" s="64">
        <v>35</v>
      </c>
      <c r="K193" s="64">
        <v>16</v>
      </c>
      <c r="L193" s="64">
        <v>26</v>
      </c>
      <c r="M193" s="64">
        <v>12</v>
      </c>
      <c r="N193" s="64">
        <v>27</v>
      </c>
      <c r="O193" s="64">
        <v>24</v>
      </c>
      <c r="P193" s="64">
        <v>16</v>
      </c>
      <c r="Q193" s="64">
        <v>8</v>
      </c>
    </row>
    <row r="194" spans="1:17">
      <c r="A194" s="64">
        <v>6.4</v>
      </c>
      <c r="B194" s="64">
        <v>350</v>
      </c>
      <c r="C194" s="64">
        <v>510</v>
      </c>
      <c r="D194" s="64">
        <v>465</v>
      </c>
      <c r="E194" s="64">
        <v>426</v>
      </c>
      <c r="F194" s="64">
        <v>416</v>
      </c>
      <c r="G194" s="64">
        <v>413</v>
      </c>
      <c r="H194" s="64">
        <v>48</v>
      </c>
      <c r="I194" s="64">
        <v>115</v>
      </c>
      <c r="J194" s="64">
        <v>35</v>
      </c>
      <c r="K194" s="64">
        <v>16</v>
      </c>
      <c r="L194" s="64">
        <v>26</v>
      </c>
      <c r="M194" s="64">
        <v>12</v>
      </c>
      <c r="N194" s="64">
        <v>27</v>
      </c>
      <c r="O194" s="64">
        <v>24</v>
      </c>
      <c r="P194" s="64">
        <v>20</v>
      </c>
      <c r="Q194" s="64">
        <v>8</v>
      </c>
    </row>
    <row r="195" spans="1:17">
      <c r="A195" s="64">
        <v>6.4</v>
      </c>
      <c r="B195" s="64">
        <v>400</v>
      </c>
      <c r="C195" s="64">
        <v>560</v>
      </c>
      <c r="D195" s="64">
        <v>515</v>
      </c>
      <c r="E195" s="64">
        <v>476</v>
      </c>
      <c r="F195" s="64">
        <v>466</v>
      </c>
      <c r="G195" s="64">
        <v>463</v>
      </c>
      <c r="H195" s="64">
        <v>56</v>
      </c>
      <c r="I195" s="64">
        <v>120</v>
      </c>
      <c r="J195" s="64">
        <v>35</v>
      </c>
      <c r="K195" s="64">
        <v>16</v>
      </c>
      <c r="L195" s="64">
        <v>26</v>
      </c>
      <c r="M195" s="64">
        <v>12</v>
      </c>
      <c r="N195" s="64">
        <v>27</v>
      </c>
      <c r="O195" s="64">
        <v>24</v>
      </c>
      <c r="P195" s="64">
        <v>24</v>
      </c>
      <c r="Q195" s="64">
        <v>12</v>
      </c>
    </row>
    <row r="196" spans="1:17">
      <c r="A196" s="64">
        <v>6.4</v>
      </c>
      <c r="B196" s="64">
        <v>450</v>
      </c>
      <c r="C196" s="64">
        <v>645</v>
      </c>
      <c r="D196" s="64">
        <v>590</v>
      </c>
      <c r="E196" s="64">
        <v>548</v>
      </c>
      <c r="F196" s="64">
        <v>538</v>
      </c>
      <c r="G196" s="64">
        <v>535</v>
      </c>
      <c r="H196" s="64">
        <v>60</v>
      </c>
      <c r="I196" s="64">
        <v>130</v>
      </c>
      <c r="J196" s="64">
        <v>36</v>
      </c>
      <c r="K196" s="64">
        <v>20</v>
      </c>
      <c r="L196" s="64">
        <v>32</v>
      </c>
      <c r="M196" s="64">
        <v>15</v>
      </c>
      <c r="N196" s="64">
        <v>30</v>
      </c>
      <c r="O196" s="64">
        <v>27</v>
      </c>
      <c r="P196" s="64">
        <v>24</v>
      </c>
      <c r="Q196" s="64">
        <v>12</v>
      </c>
    </row>
    <row r="197" spans="1:17">
      <c r="A197" s="64">
        <v>6.4</v>
      </c>
      <c r="B197" s="64">
        <v>500</v>
      </c>
      <c r="C197" s="64">
        <v>695</v>
      </c>
      <c r="D197" s="64">
        <v>640</v>
      </c>
      <c r="E197" s="64">
        <v>598</v>
      </c>
      <c r="F197" s="64">
        <v>588</v>
      </c>
      <c r="G197" s="64">
        <v>585</v>
      </c>
      <c r="H197" s="64">
        <v>68</v>
      </c>
      <c r="I197" s="64">
        <v>140</v>
      </c>
      <c r="J197" s="64">
        <v>36</v>
      </c>
      <c r="K197" s="64">
        <v>20</v>
      </c>
      <c r="L197" s="64">
        <v>32</v>
      </c>
      <c r="M197" s="64">
        <v>15</v>
      </c>
      <c r="N197" s="64">
        <v>30</v>
      </c>
      <c r="O197" s="64">
        <v>27</v>
      </c>
      <c r="P197" s="64">
        <v>28</v>
      </c>
      <c r="Q197" s="64">
        <v>12</v>
      </c>
    </row>
    <row r="198" spans="1:17">
      <c r="A198" s="64">
        <v>6.4</v>
      </c>
      <c r="B198" s="64">
        <v>550</v>
      </c>
      <c r="C198" s="64">
        <v>745</v>
      </c>
      <c r="D198" s="64">
        <v>690</v>
      </c>
      <c r="E198" s="64">
        <v>648</v>
      </c>
      <c r="F198" s="64">
        <v>638</v>
      </c>
      <c r="G198" s="64">
        <v>635</v>
      </c>
      <c r="H198" s="64">
        <v>78</v>
      </c>
      <c r="I198" s="64">
        <v>150</v>
      </c>
      <c r="J198" s="64">
        <v>36</v>
      </c>
      <c r="K198" s="64">
        <v>20</v>
      </c>
      <c r="L198" s="64">
        <v>32</v>
      </c>
      <c r="M198" s="64">
        <v>15</v>
      </c>
      <c r="N198" s="64">
        <v>30</v>
      </c>
      <c r="O198" s="64">
        <v>27</v>
      </c>
      <c r="P198" s="64">
        <v>32</v>
      </c>
      <c r="Q198" s="64">
        <v>12</v>
      </c>
    </row>
    <row r="199" spans="1:17">
      <c r="A199" s="64">
        <v>6.4</v>
      </c>
      <c r="B199" s="64">
        <v>600</v>
      </c>
      <c r="C199" s="64">
        <v>815</v>
      </c>
      <c r="D199" s="64">
        <v>755</v>
      </c>
      <c r="E199" s="64">
        <v>710</v>
      </c>
      <c r="F199" s="64">
        <v>700</v>
      </c>
      <c r="G199" s="64">
        <v>697</v>
      </c>
      <c r="H199" s="64">
        <v>82</v>
      </c>
      <c r="I199" s="64">
        <v>160</v>
      </c>
      <c r="J199" s="64">
        <v>42</v>
      </c>
      <c r="K199" s="64">
        <v>22</v>
      </c>
      <c r="L199" s="64">
        <v>36</v>
      </c>
      <c r="M199" s="64">
        <v>15</v>
      </c>
      <c r="N199" s="64">
        <v>33</v>
      </c>
      <c r="O199" s="64">
        <v>30</v>
      </c>
      <c r="P199" s="64">
        <v>32</v>
      </c>
      <c r="Q199" s="64">
        <v>14</v>
      </c>
    </row>
    <row r="200" spans="1:17">
      <c r="A200" s="64">
        <v>6.4</v>
      </c>
      <c r="B200" s="64">
        <v>650</v>
      </c>
      <c r="C200" s="64">
        <v>865</v>
      </c>
      <c r="D200" s="64">
        <v>805</v>
      </c>
      <c r="E200" s="64">
        <v>760</v>
      </c>
      <c r="F200" s="64">
        <v>750</v>
      </c>
      <c r="G200" s="64">
        <v>747</v>
      </c>
      <c r="H200" s="64">
        <v>92</v>
      </c>
      <c r="I200" s="64">
        <v>165</v>
      </c>
      <c r="J200" s="64">
        <v>42</v>
      </c>
      <c r="K200" s="64">
        <v>22</v>
      </c>
      <c r="L200" s="64">
        <v>36</v>
      </c>
      <c r="M200" s="64">
        <v>15</v>
      </c>
      <c r="N200" s="64">
        <v>33</v>
      </c>
      <c r="O200" s="64">
        <v>30</v>
      </c>
      <c r="P200" s="64">
        <v>36</v>
      </c>
      <c r="Q200" s="64">
        <v>16</v>
      </c>
    </row>
    <row r="201" spans="1:17">
      <c r="A201" s="64">
        <v>6.4</v>
      </c>
      <c r="B201" s="64">
        <v>700</v>
      </c>
      <c r="C201" s="64">
        <v>950</v>
      </c>
      <c r="D201" s="64">
        <v>880</v>
      </c>
      <c r="E201" s="64">
        <v>829</v>
      </c>
      <c r="F201" s="64">
        <v>819</v>
      </c>
      <c r="G201" s="64">
        <v>816</v>
      </c>
      <c r="H201" s="64">
        <v>92</v>
      </c>
      <c r="I201" s="64">
        <v>185</v>
      </c>
      <c r="J201" s="64">
        <v>48</v>
      </c>
      <c r="K201" s="64">
        <v>26</v>
      </c>
      <c r="L201" s="64">
        <v>42</v>
      </c>
      <c r="M201" s="64">
        <v>18</v>
      </c>
      <c r="N201" s="64">
        <v>39</v>
      </c>
      <c r="O201" s="64">
        <v>36</v>
      </c>
      <c r="P201" s="64">
        <v>32</v>
      </c>
      <c r="Q201" s="64">
        <v>18</v>
      </c>
    </row>
    <row r="202" spans="1:17">
      <c r="A202" s="64">
        <v>6.4</v>
      </c>
      <c r="B202" s="64">
        <v>800</v>
      </c>
      <c r="C202" s="64">
        <v>1050</v>
      </c>
      <c r="D202" s="64">
        <v>980</v>
      </c>
      <c r="E202" s="64">
        <v>929</v>
      </c>
      <c r="F202" s="64">
        <v>919</v>
      </c>
      <c r="G202" s="64">
        <v>916</v>
      </c>
      <c r="H202" s="64">
        <v>112</v>
      </c>
      <c r="I202" s="64">
        <v>200</v>
      </c>
      <c r="J202" s="64">
        <v>48</v>
      </c>
      <c r="K202" s="64">
        <v>26</v>
      </c>
      <c r="L202" s="64">
        <v>42</v>
      </c>
      <c r="M202" s="64">
        <v>18</v>
      </c>
      <c r="N202" s="64">
        <v>39</v>
      </c>
      <c r="O202" s="64">
        <v>36</v>
      </c>
      <c r="P202" s="64">
        <v>36</v>
      </c>
      <c r="Q202" s="64">
        <v>18</v>
      </c>
    </row>
    <row r="203" spans="1:17" ht="25.15">
      <c r="A203" s="263" t="s">
        <v>196</v>
      </c>
      <c r="B203" s="263"/>
      <c r="C203" s="263"/>
      <c r="D203" s="263"/>
      <c r="E203" s="263"/>
      <c r="F203" s="263"/>
      <c r="G203" s="263"/>
      <c r="H203" s="263"/>
      <c r="I203" s="263"/>
      <c r="J203" s="263"/>
      <c r="K203" s="263"/>
      <c r="L203" s="263"/>
      <c r="M203" s="263"/>
      <c r="N203" s="263"/>
      <c r="O203" s="263"/>
      <c r="P203" s="263"/>
      <c r="Q203" s="263"/>
    </row>
    <row r="204" spans="1:17" ht="24.95" customHeight="1">
      <c r="A204" s="251" t="s">
        <v>174</v>
      </c>
      <c r="B204" s="251" t="s">
        <v>175</v>
      </c>
      <c r="C204" s="204" t="s">
        <v>176</v>
      </c>
      <c r="D204" s="204"/>
      <c r="E204" s="204"/>
      <c r="F204" s="204"/>
      <c r="G204" s="204"/>
      <c r="H204" s="204"/>
      <c r="I204" s="204"/>
      <c r="J204" s="204"/>
      <c r="K204" s="204"/>
      <c r="L204" s="204"/>
      <c r="M204" s="204"/>
      <c r="N204" s="204"/>
      <c r="O204" s="204" t="s">
        <v>121</v>
      </c>
      <c r="P204" s="204"/>
      <c r="Q204" s="214" t="s">
        <v>191</v>
      </c>
    </row>
    <row r="205" spans="1:17" ht="24.95" customHeight="1">
      <c r="A205" s="204"/>
      <c r="B205" s="204"/>
      <c r="C205" s="20" t="s">
        <v>178</v>
      </c>
      <c r="D205" s="20" t="s">
        <v>179</v>
      </c>
      <c r="E205" s="20" t="s">
        <v>180</v>
      </c>
      <c r="F205" s="20" t="s">
        <v>181</v>
      </c>
      <c r="G205" s="20" t="s">
        <v>182</v>
      </c>
      <c r="H205" s="20" t="s">
        <v>183</v>
      </c>
      <c r="I205" s="20" t="s">
        <v>188</v>
      </c>
      <c r="J205" s="20" t="s">
        <v>192</v>
      </c>
      <c r="K205" s="20" t="s">
        <v>193</v>
      </c>
      <c r="L205" s="20" t="s">
        <v>194</v>
      </c>
      <c r="M205" s="20" t="s">
        <v>195</v>
      </c>
      <c r="N205" s="20" t="s">
        <v>184</v>
      </c>
      <c r="O205" s="1" t="s">
        <v>185</v>
      </c>
      <c r="P205" s="1" t="s">
        <v>186</v>
      </c>
      <c r="Q205" s="256"/>
    </row>
    <row r="206" spans="1:17">
      <c r="A206" s="64">
        <v>0.6</v>
      </c>
      <c r="B206" s="64">
        <v>1200</v>
      </c>
      <c r="C206" s="64">
        <v>1460</v>
      </c>
      <c r="D206" s="64">
        <v>1415</v>
      </c>
      <c r="E206" s="64">
        <v>1376</v>
      </c>
      <c r="F206" s="64">
        <v>1356</v>
      </c>
      <c r="G206" s="64">
        <v>1353</v>
      </c>
      <c r="H206" s="64">
        <v>50</v>
      </c>
      <c r="I206" s="64">
        <v>115</v>
      </c>
      <c r="J206" s="64">
        <v>36</v>
      </c>
      <c r="K206" s="64">
        <v>16</v>
      </c>
      <c r="L206" s="64">
        <v>28</v>
      </c>
      <c r="M206" s="64">
        <v>12</v>
      </c>
      <c r="N206" s="64">
        <v>27</v>
      </c>
      <c r="O206" s="64">
        <v>24</v>
      </c>
      <c r="P206" s="64">
        <v>40</v>
      </c>
      <c r="Q206" s="64">
        <v>12</v>
      </c>
    </row>
    <row r="207" spans="1:17">
      <c r="A207" s="64">
        <v>0.6</v>
      </c>
      <c r="B207" s="64">
        <v>1300</v>
      </c>
      <c r="C207" s="64">
        <v>1560</v>
      </c>
      <c r="D207" s="64">
        <v>1515</v>
      </c>
      <c r="E207" s="64">
        <v>1476</v>
      </c>
      <c r="F207" s="64">
        <v>1456</v>
      </c>
      <c r="G207" s="64">
        <v>1453</v>
      </c>
      <c r="H207" s="64">
        <v>54</v>
      </c>
      <c r="I207" s="64">
        <v>120</v>
      </c>
      <c r="J207" s="64">
        <v>36</v>
      </c>
      <c r="K207" s="64">
        <v>16</v>
      </c>
      <c r="L207" s="64">
        <v>28</v>
      </c>
      <c r="M207" s="64">
        <v>12</v>
      </c>
      <c r="N207" s="64">
        <v>27</v>
      </c>
      <c r="O207" s="64">
        <v>24</v>
      </c>
      <c r="P207" s="64">
        <v>44</v>
      </c>
      <c r="Q207" s="64">
        <v>12</v>
      </c>
    </row>
    <row r="208" spans="1:17">
      <c r="A208" s="64">
        <v>0.6</v>
      </c>
      <c r="B208" s="64">
        <v>1400</v>
      </c>
      <c r="C208" s="64">
        <v>1660</v>
      </c>
      <c r="D208" s="64">
        <v>1615</v>
      </c>
      <c r="E208" s="64">
        <v>1576</v>
      </c>
      <c r="F208" s="64">
        <v>1556</v>
      </c>
      <c r="G208" s="64">
        <v>1553</v>
      </c>
      <c r="H208" s="64">
        <v>58</v>
      </c>
      <c r="I208" s="64">
        <v>125</v>
      </c>
      <c r="J208" s="64">
        <v>36</v>
      </c>
      <c r="K208" s="64">
        <v>16</v>
      </c>
      <c r="L208" s="64">
        <v>28</v>
      </c>
      <c r="M208" s="64">
        <v>12</v>
      </c>
      <c r="N208" s="64">
        <v>27</v>
      </c>
      <c r="O208" s="64">
        <v>24</v>
      </c>
      <c r="P208" s="64">
        <v>48</v>
      </c>
      <c r="Q208" s="64">
        <v>12</v>
      </c>
    </row>
    <row r="209" spans="1:17">
      <c r="A209" s="64">
        <v>0.6</v>
      </c>
      <c r="B209" s="64">
        <v>1500</v>
      </c>
      <c r="C209" s="64">
        <v>1760</v>
      </c>
      <c r="D209" s="64">
        <v>1715</v>
      </c>
      <c r="E209" s="64">
        <v>1676</v>
      </c>
      <c r="F209" s="64">
        <v>1656</v>
      </c>
      <c r="G209" s="64">
        <v>1653</v>
      </c>
      <c r="H209" s="64">
        <v>66</v>
      </c>
      <c r="I209" s="64">
        <v>135</v>
      </c>
      <c r="J209" s="64">
        <v>36</v>
      </c>
      <c r="K209" s="64">
        <v>16</v>
      </c>
      <c r="L209" s="64">
        <v>28</v>
      </c>
      <c r="M209" s="64">
        <v>12</v>
      </c>
      <c r="N209" s="64">
        <v>27</v>
      </c>
      <c r="O209" s="64">
        <v>24</v>
      </c>
      <c r="P209" s="64">
        <v>52</v>
      </c>
      <c r="Q209" s="64">
        <v>12</v>
      </c>
    </row>
    <row r="210" spans="1:17">
      <c r="A210" s="64">
        <v>0.6</v>
      </c>
      <c r="B210" s="64">
        <v>1600</v>
      </c>
      <c r="C210" s="64">
        <v>1860</v>
      </c>
      <c r="D210" s="64">
        <v>1815</v>
      </c>
      <c r="E210" s="64">
        <v>1776</v>
      </c>
      <c r="F210" s="64">
        <v>1756</v>
      </c>
      <c r="G210" s="64">
        <v>1753</v>
      </c>
      <c r="H210" s="64">
        <v>68</v>
      </c>
      <c r="I210" s="64">
        <v>135</v>
      </c>
      <c r="J210" s="64">
        <v>42</v>
      </c>
      <c r="K210" s="64">
        <v>16</v>
      </c>
      <c r="L210" s="64">
        <v>30</v>
      </c>
      <c r="M210" s="64">
        <v>12</v>
      </c>
      <c r="N210" s="64">
        <v>27</v>
      </c>
      <c r="O210" s="64">
        <v>24</v>
      </c>
      <c r="P210" s="64">
        <v>52</v>
      </c>
      <c r="Q210" s="64">
        <v>12</v>
      </c>
    </row>
    <row r="211" spans="1:17">
      <c r="A211" s="64">
        <v>0.6</v>
      </c>
      <c r="B211" s="64">
        <v>1700</v>
      </c>
      <c r="C211" s="64">
        <v>1960</v>
      </c>
      <c r="D211" s="64">
        <v>1915</v>
      </c>
      <c r="E211" s="64">
        <v>1876</v>
      </c>
      <c r="F211" s="64">
        <v>1856</v>
      </c>
      <c r="G211" s="64">
        <v>1853</v>
      </c>
      <c r="H211" s="64">
        <v>76</v>
      </c>
      <c r="I211" s="64">
        <v>140</v>
      </c>
      <c r="J211" s="64">
        <v>42</v>
      </c>
      <c r="K211" s="64">
        <v>16</v>
      </c>
      <c r="L211" s="64">
        <v>30</v>
      </c>
      <c r="M211" s="64">
        <v>12</v>
      </c>
      <c r="N211" s="64">
        <v>27</v>
      </c>
      <c r="O211" s="64">
        <v>24</v>
      </c>
      <c r="P211" s="64">
        <v>52</v>
      </c>
      <c r="Q211" s="64">
        <v>14</v>
      </c>
    </row>
    <row r="212" spans="1:17">
      <c r="A212" s="64">
        <v>0.6</v>
      </c>
      <c r="B212" s="64">
        <v>1800</v>
      </c>
      <c r="C212" s="64">
        <v>2060</v>
      </c>
      <c r="D212" s="64">
        <v>2015</v>
      </c>
      <c r="E212" s="64">
        <v>1976</v>
      </c>
      <c r="F212" s="64">
        <v>1956</v>
      </c>
      <c r="G212" s="64">
        <v>1953</v>
      </c>
      <c r="H212" s="64">
        <v>78</v>
      </c>
      <c r="I212" s="64">
        <v>150</v>
      </c>
      <c r="J212" s="64">
        <v>48</v>
      </c>
      <c r="K212" s="64">
        <v>16</v>
      </c>
      <c r="L212" s="64">
        <v>32</v>
      </c>
      <c r="M212" s="64">
        <v>12</v>
      </c>
      <c r="N212" s="64">
        <v>27</v>
      </c>
      <c r="O212" s="64">
        <v>24</v>
      </c>
      <c r="P212" s="64">
        <v>56</v>
      </c>
      <c r="Q212" s="64">
        <v>14</v>
      </c>
    </row>
    <row r="213" spans="1:17">
      <c r="A213" s="64">
        <v>0.6</v>
      </c>
      <c r="B213" s="64">
        <v>1900</v>
      </c>
      <c r="C213" s="64">
        <v>2160</v>
      </c>
      <c r="D213" s="64">
        <v>2115</v>
      </c>
      <c r="E213" s="64">
        <v>2076</v>
      </c>
      <c r="F213" s="64">
        <v>2056</v>
      </c>
      <c r="G213" s="64">
        <v>2053</v>
      </c>
      <c r="H213" s="64">
        <v>86</v>
      </c>
      <c r="I213" s="64">
        <v>155</v>
      </c>
      <c r="J213" s="64">
        <v>48</v>
      </c>
      <c r="K213" s="64">
        <v>16</v>
      </c>
      <c r="L213" s="64">
        <v>32</v>
      </c>
      <c r="M213" s="64">
        <v>12</v>
      </c>
      <c r="N213" s="64">
        <v>27</v>
      </c>
      <c r="O213" s="64">
        <v>24</v>
      </c>
      <c r="P213" s="64">
        <v>60</v>
      </c>
      <c r="Q213" s="64">
        <v>14</v>
      </c>
    </row>
    <row r="214" spans="1:17">
      <c r="A214" s="65">
        <v>1</v>
      </c>
      <c r="B214" s="64">
        <v>300</v>
      </c>
      <c r="C214" s="64">
        <v>540</v>
      </c>
      <c r="D214" s="64">
        <v>500</v>
      </c>
      <c r="E214" s="64">
        <v>465</v>
      </c>
      <c r="F214" s="64">
        <v>455</v>
      </c>
      <c r="G214" s="64">
        <v>452</v>
      </c>
      <c r="H214" s="64">
        <v>30</v>
      </c>
      <c r="I214" s="64">
        <v>90</v>
      </c>
      <c r="J214" s="64">
        <v>30</v>
      </c>
      <c r="K214" s="64">
        <v>12</v>
      </c>
      <c r="L214" s="64">
        <v>22</v>
      </c>
      <c r="M214" s="64">
        <v>12</v>
      </c>
      <c r="N214" s="64">
        <v>23</v>
      </c>
      <c r="O214" s="64">
        <v>20</v>
      </c>
      <c r="P214" s="64">
        <v>20</v>
      </c>
      <c r="Q214" s="64">
        <v>4</v>
      </c>
    </row>
    <row r="215" spans="1:17">
      <c r="A215" s="65">
        <v>1</v>
      </c>
      <c r="B215" s="64">
        <v>400</v>
      </c>
      <c r="C215" s="64">
        <v>640</v>
      </c>
      <c r="D215" s="64">
        <v>600</v>
      </c>
      <c r="E215" s="64">
        <v>565</v>
      </c>
      <c r="F215" s="64">
        <v>555</v>
      </c>
      <c r="G215" s="64">
        <v>552</v>
      </c>
      <c r="H215" s="64">
        <v>32</v>
      </c>
      <c r="I215" s="64">
        <v>90</v>
      </c>
      <c r="J215" s="64">
        <v>30</v>
      </c>
      <c r="K215" s="64">
        <v>12</v>
      </c>
      <c r="L215" s="64">
        <v>22</v>
      </c>
      <c r="M215" s="64">
        <v>12</v>
      </c>
      <c r="N215" s="64">
        <v>23</v>
      </c>
      <c r="O215" s="64">
        <v>20</v>
      </c>
      <c r="P215" s="64">
        <v>24</v>
      </c>
      <c r="Q215" s="64">
        <v>6</v>
      </c>
    </row>
    <row r="216" spans="1:17">
      <c r="A216" s="65">
        <v>1</v>
      </c>
      <c r="B216" s="64">
        <v>500</v>
      </c>
      <c r="C216" s="64">
        <v>740</v>
      </c>
      <c r="D216" s="64">
        <v>700</v>
      </c>
      <c r="E216" s="64">
        <v>665</v>
      </c>
      <c r="F216" s="64">
        <v>655</v>
      </c>
      <c r="G216" s="64">
        <v>652</v>
      </c>
      <c r="H216" s="64">
        <v>34</v>
      </c>
      <c r="I216" s="64">
        <v>90</v>
      </c>
      <c r="J216" s="64">
        <v>30</v>
      </c>
      <c r="K216" s="64">
        <v>12</v>
      </c>
      <c r="L216" s="64">
        <v>22</v>
      </c>
      <c r="M216" s="64">
        <v>12</v>
      </c>
      <c r="N216" s="64">
        <v>23</v>
      </c>
      <c r="O216" s="64">
        <v>20</v>
      </c>
      <c r="P216" s="64">
        <v>28</v>
      </c>
      <c r="Q216" s="64">
        <v>6</v>
      </c>
    </row>
    <row r="217" spans="1:17">
      <c r="A217" s="65">
        <v>1</v>
      </c>
      <c r="B217" s="64">
        <v>600</v>
      </c>
      <c r="C217" s="64">
        <v>840</v>
      </c>
      <c r="D217" s="64">
        <v>800</v>
      </c>
      <c r="E217" s="64">
        <v>765</v>
      </c>
      <c r="F217" s="64">
        <v>755</v>
      </c>
      <c r="G217" s="64">
        <v>752</v>
      </c>
      <c r="H217" s="64">
        <v>38</v>
      </c>
      <c r="I217" s="64">
        <v>95</v>
      </c>
      <c r="J217" s="64">
        <v>30</v>
      </c>
      <c r="K217" s="64">
        <v>12</v>
      </c>
      <c r="L217" s="64">
        <v>22</v>
      </c>
      <c r="M217" s="64">
        <v>12</v>
      </c>
      <c r="N217" s="64">
        <v>23</v>
      </c>
      <c r="O217" s="64">
        <v>20</v>
      </c>
      <c r="P217" s="64">
        <v>32</v>
      </c>
      <c r="Q217" s="64">
        <v>8</v>
      </c>
    </row>
    <row r="218" spans="1:17">
      <c r="A218" s="65">
        <v>1</v>
      </c>
      <c r="B218" s="64">
        <v>700</v>
      </c>
      <c r="C218" s="64">
        <v>940</v>
      </c>
      <c r="D218" s="64">
        <v>900</v>
      </c>
      <c r="E218" s="64">
        <v>865</v>
      </c>
      <c r="F218" s="64">
        <v>855</v>
      </c>
      <c r="G218" s="64">
        <v>852</v>
      </c>
      <c r="H218" s="64">
        <v>38</v>
      </c>
      <c r="I218" s="64">
        <v>110</v>
      </c>
      <c r="J218" s="64">
        <v>42</v>
      </c>
      <c r="K218" s="64">
        <v>12</v>
      </c>
      <c r="L218" s="64">
        <v>26</v>
      </c>
      <c r="M218" s="64">
        <v>12</v>
      </c>
      <c r="N218" s="64">
        <v>23</v>
      </c>
      <c r="O218" s="64">
        <v>20</v>
      </c>
      <c r="P218" s="64">
        <v>32</v>
      </c>
      <c r="Q218" s="64">
        <v>8</v>
      </c>
    </row>
    <row r="219" spans="1:17">
      <c r="A219" s="65">
        <v>1</v>
      </c>
      <c r="B219" s="64">
        <v>800</v>
      </c>
      <c r="C219" s="64">
        <v>1040</v>
      </c>
      <c r="D219" s="64">
        <v>1000</v>
      </c>
      <c r="E219" s="64">
        <v>965</v>
      </c>
      <c r="F219" s="64">
        <v>955</v>
      </c>
      <c r="G219" s="64">
        <v>952</v>
      </c>
      <c r="H219" s="64">
        <v>46</v>
      </c>
      <c r="I219" s="64">
        <v>110</v>
      </c>
      <c r="J219" s="64">
        <v>42</v>
      </c>
      <c r="K219" s="64">
        <v>12</v>
      </c>
      <c r="L219" s="64">
        <v>26</v>
      </c>
      <c r="M219" s="64">
        <v>12</v>
      </c>
      <c r="N219" s="64">
        <v>23</v>
      </c>
      <c r="O219" s="64">
        <v>20</v>
      </c>
      <c r="P219" s="64">
        <v>36</v>
      </c>
      <c r="Q219" s="64">
        <v>10</v>
      </c>
    </row>
    <row r="220" spans="1:17">
      <c r="A220" s="65">
        <v>1</v>
      </c>
      <c r="B220" s="64">
        <v>900</v>
      </c>
      <c r="C220" s="64">
        <v>1140</v>
      </c>
      <c r="D220" s="64">
        <v>1100</v>
      </c>
      <c r="E220" s="64">
        <v>1065</v>
      </c>
      <c r="F220" s="64">
        <v>1055</v>
      </c>
      <c r="G220" s="64">
        <v>1052</v>
      </c>
      <c r="H220" s="64">
        <v>58</v>
      </c>
      <c r="I220" s="64">
        <v>120</v>
      </c>
      <c r="J220" s="64">
        <v>42</v>
      </c>
      <c r="K220" s="64">
        <v>12</v>
      </c>
      <c r="L220" s="64">
        <v>26</v>
      </c>
      <c r="M220" s="64">
        <v>12</v>
      </c>
      <c r="N220" s="64">
        <v>23</v>
      </c>
      <c r="O220" s="64">
        <v>20</v>
      </c>
      <c r="P220" s="64">
        <v>40</v>
      </c>
      <c r="Q220" s="64">
        <v>10</v>
      </c>
    </row>
    <row r="221" spans="1:17">
      <c r="A221" s="65">
        <v>1</v>
      </c>
      <c r="B221" s="64">
        <v>1000</v>
      </c>
      <c r="C221" s="64">
        <v>1260</v>
      </c>
      <c r="D221" s="64">
        <v>1215</v>
      </c>
      <c r="E221" s="64">
        <v>1176</v>
      </c>
      <c r="F221" s="64">
        <v>1156</v>
      </c>
      <c r="G221" s="64">
        <v>1153</v>
      </c>
      <c r="H221" s="64">
        <v>60</v>
      </c>
      <c r="I221" s="64">
        <v>130</v>
      </c>
      <c r="J221" s="64">
        <v>48</v>
      </c>
      <c r="K221" s="64">
        <v>14</v>
      </c>
      <c r="L221" s="64">
        <v>30</v>
      </c>
      <c r="M221" s="64">
        <v>12</v>
      </c>
      <c r="N221" s="64">
        <v>27</v>
      </c>
      <c r="O221" s="64">
        <v>24</v>
      </c>
      <c r="P221" s="64">
        <v>32</v>
      </c>
      <c r="Q221" s="64">
        <v>12</v>
      </c>
    </row>
    <row r="222" spans="1:17">
      <c r="A222" s="65">
        <v>1</v>
      </c>
      <c r="B222" s="64">
        <v>1100</v>
      </c>
      <c r="C222" s="64">
        <v>1360</v>
      </c>
      <c r="D222" s="64">
        <v>1315</v>
      </c>
      <c r="E222" s="64">
        <v>1276</v>
      </c>
      <c r="F222" s="64">
        <v>1256</v>
      </c>
      <c r="G222" s="64">
        <v>1253</v>
      </c>
      <c r="H222" s="64">
        <v>66</v>
      </c>
      <c r="I222" s="64">
        <v>140</v>
      </c>
      <c r="J222" s="64">
        <v>48</v>
      </c>
      <c r="K222" s="64">
        <v>14</v>
      </c>
      <c r="L222" s="64">
        <v>30</v>
      </c>
      <c r="M222" s="64">
        <v>12</v>
      </c>
      <c r="N222" s="64">
        <v>27</v>
      </c>
      <c r="O222" s="64">
        <v>24</v>
      </c>
      <c r="P222" s="64">
        <v>36</v>
      </c>
      <c r="Q222" s="64">
        <v>12</v>
      </c>
    </row>
    <row r="223" spans="1:17">
      <c r="A223" s="65">
        <v>1</v>
      </c>
      <c r="B223" s="64">
        <v>1200</v>
      </c>
      <c r="C223" s="64">
        <v>1460</v>
      </c>
      <c r="D223" s="64">
        <v>1415</v>
      </c>
      <c r="E223" s="64">
        <v>1376</v>
      </c>
      <c r="F223" s="64">
        <v>1356</v>
      </c>
      <c r="G223" s="64">
        <v>1353</v>
      </c>
      <c r="H223" s="64">
        <v>68</v>
      </c>
      <c r="I223" s="64">
        <v>140</v>
      </c>
      <c r="J223" s="64">
        <v>48</v>
      </c>
      <c r="K223" s="64">
        <v>16</v>
      </c>
      <c r="L223" s="64">
        <v>32</v>
      </c>
      <c r="M223" s="64">
        <v>12</v>
      </c>
      <c r="N223" s="64">
        <v>27</v>
      </c>
      <c r="O223" s="64">
        <v>24</v>
      </c>
      <c r="P223" s="64">
        <v>40</v>
      </c>
      <c r="Q223" s="64">
        <v>12</v>
      </c>
    </row>
    <row r="224" spans="1:17">
      <c r="A224" s="65">
        <v>1</v>
      </c>
      <c r="B224" s="64">
        <v>1300</v>
      </c>
      <c r="C224" s="64">
        <v>1560</v>
      </c>
      <c r="D224" s="64">
        <v>1515</v>
      </c>
      <c r="E224" s="64">
        <v>1476</v>
      </c>
      <c r="F224" s="64">
        <v>1456</v>
      </c>
      <c r="G224" s="64">
        <v>1453</v>
      </c>
      <c r="H224" s="64">
        <v>70</v>
      </c>
      <c r="I224" s="64">
        <v>145</v>
      </c>
      <c r="J224" s="64">
        <v>54</v>
      </c>
      <c r="K224" s="64">
        <v>16</v>
      </c>
      <c r="L224" s="64">
        <v>34</v>
      </c>
      <c r="M224" s="64">
        <v>12</v>
      </c>
      <c r="N224" s="64">
        <v>27</v>
      </c>
      <c r="O224" s="64">
        <v>24</v>
      </c>
      <c r="P224" s="64">
        <v>44</v>
      </c>
      <c r="Q224" s="64">
        <v>12</v>
      </c>
    </row>
    <row r="225" spans="1:17">
      <c r="A225" s="65">
        <v>1</v>
      </c>
      <c r="B225" s="64">
        <v>1400</v>
      </c>
      <c r="C225" s="64">
        <v>1660</v>
      </c>
      <c r="D225" s="64">
        <v>1615</v>
      </c>
      <c r="E225" s="64">
        <v>1576</v>
      </c>
      <c r="F225" s="64">
        <v>1556</v>
      </c>
      <c r="G225" s="64">
        <v>1553</v>
      </c>
      <c r="H225" s="64">
        <v>74</v>
      </c>
      <c r="I225" s="64">
        <v>155</v>
      </c>
      <c r="J225" s="64">
        <v>60</v>
      </c>
      <c r="K225" s="64">
        <v>16</v>
      </c>
      <c r="L225" s="64">
        <v>36</v>
      </c>
      <c r="M225" s="64">
        <v>12</v>
      </c>
      <c r="N225" s="64">
        <v>27</v>
      </c>
      <c r="O225" s="64">
        <v>24</v>
      </c>
      <c r="P225" s="64">
        <v>48</v>
      </c>
      <c r="Q225" s="64">
        <v>12</v>
      </c>
    </row>
    <row r="226" spans="1:17">
      <c r="A226" s="65">
        <v>1</v>
      </c>
      <c r="B226" s="64">
        <v>1500</v>
      </c>
      <c r="C226" s="64">
        <v>1760</v>
      </c>
      <c r="D226" s="64">
        <v>1715</v>
      </c>
      <c r="E226" s="64">
        <v>1676</v>
      </c>
      <c r="F226" s="64">
        <v>1656</v>
      </c>
      <c r="G226" s="64">
        <v>1653</v>
      </c>
      <c r="H226" s="64">
        <v>76</v>
      </c>
      <c r="I226" s="64">
        <v>165</v>
      </c>
      <c r="J226" s="64">
        <v>66</v>
      </c>
      <c r="K226" s="64">
        <v>16</v>
      </c>
      <c r="L226" s="64">
        <v>38</v>
      </c>
      <c r="M226" s="64">
        <v>12</v>
      </c>
      <c r="N226" s="64">
        <v>27</v>
      </c>
      <c r="O226" s="64">
        <v>24</v>
      </c>
      <c r="P226" s="64">
        <v>52</v>
      </c>
      <c r="Q226" s="64">
        <v>12</v>
      </c>
    </row>
    <row r="227" spans="1:17">
      <c r="A227" s="65">
        <v>1</v>
      </c>
      <c r="B227" s="64">
        <v>1600</v>
      </c>
      <c r="C227" s="64">
        <v>1870</v>
      </c>
      <c r="D227" s="64">
        <v>1815</v>
      </c>
      <c r="E227" s="64">
        <v>1776</v>
      </c>
      <c r="F227" s="64">
        <v>1756</v>
      </c>
      <c r="G227" s="64">
        <v>1753</v>
      </c>
      <c r="H227" s="64">
        <v>78</v>
      </c>
      <c r="I227" s="64">
        <v>175</v>
      </c>
      <c r="J227" s="64">
        <v>72</v>
      </c>
      <c r="K227" s="64">
        <v>16</v>
      </c>
      <c r="L227" s="64">
        <v>40</v>
      </c>
      <c r="M227" s="64">
        <v>12</v>
      </c>
      <c r="N227" s="64">
        <v>30</v>
      </c>
      <c r="O227" s="64">
        <v>27</v>
      </c>
      <c r="P227" s="64">
        <v>56</v>
      </c>
      <c r="Q227" s="64">
        <v>12</v>
      </c>
    </row>
    <row r="228" spans="1:17">
      <c r="A228" s="65">
        <v>1</v>
      </c>
      <c r="B228" s="64">
        <v>1700</v>
      </c>
      <c r="C228" s="64">
        <v>1970</v>
      </c>
      <c r="D228" s="64">
        <v>1915</v>
      </c>
      <c r="E228" s="64">
        <v>1876</v>
      </c>
      <c r="F228" s="64">
        <v>1856</v>
      </c>
      <c r="G228" s="64">
        <v>1853</v>
      </c>
      <c r="H228" s="64">
        <v>80</v>
      </c>
      <c r="I228" s="64">
        <v>180</v>
      </c>
      <c r="J228" s="64">
        <v>78</v>
      </c>
      <c r="K228" s="64">
        <v>16</v>
      </c>
      <c r="L228" s="64">
        <v>42</v>
      </c>
      <c r="M228" s="64">
        <v>12</v>
      </c>
      <c r="N228" s="64">
        <v>30</v>
      </c>
      <c r="O228" s="64">
        <v>27</v>
      </c>
      <c r="P228" s="64">
        <v>56</v>
      </c>
      <c r="Q228" s="64">
        <v>14</v>
      </c>
    </row>
    <row r="229" spans="1:17">
      <c r="A229" s="65">
        <v>1</v>
      </c>
      <c r="B229" s="64">
        <v>1800</v>
      </c>
      <c r="C229" s="64">
        <v>2095</v>
      </c>
      <c r="D229" s="64">
        <v>2040</v>
      </c>
      <c r="E229" s="64">
        <v>1998</v>
      </c>
      <c r="F229" s="64">
        <v>1978</v>
      </c>
      <c r="G229" s="64">
        <v>1973</v>
      </c>
      <c r="H229" s="64">
        <v>90</v>
      </c>
      <c r="I229" s="64">
        <v>190</v>
      </c>
      <c r="J229" s="64">
        <v>78</v>
      </c>
      <c r="K229" s="64">
        <v>18</v>
      </c>
      <c r="L229" s="64">
        <v>44</v>
      </c>
      <c r="M229" s="64">
        <v>15</v>
      </c>
      <c r="N229" s="64">
        <v>30</v>
      </c>
      <c r="O229" s="64">
        <v>27</v>
      </c>
      <c r="P229" s="64">
        <v>56</v>
      </c>
      <c r="Q229" s="64">
        <v>16</v>
      </c>
    </row>
    <row r="230" spans="1:17">
      <c r="A230" s="65">
        <v>1</v>
      </c>
      <c r="B230" s="64">
        <v>1900</v>
      </c>
      <c r="C230" s="64">
        <v>2195</v>
      </c>
      <c r="D230" s="64">
        <v>2140</v>
      </c>
      <c r="E230" s="64">
        <v>2098</v>
      </c>
      <c r="F230" s="64">
        <v>2078</v>
      </c>
      <c r="G230" s="64">
        <v>2075</v>
      </c>
      <c r="H230" s="64">
        <v>92</v>
      </c>
      <c r="I230" s="64">
        <v>200</v>
      </c>
      <c r="J230" s="64">
        <v>84</v>
      </c>
      <c r="K230" s="64">
        <v>18</v>
      </c>
      <c r="L230" s="64">
        <v>46</v>
      </c>
      <c r="M230" s="64">
        <v>15</v>
      </c>
      <c r="N230" s="64">
        <v>30</v>
      </c>
      <c r="O230" s="64">
        <v>27</v>
      </c>
      <c r="P230" s="64">
        <v>60</v>
      </c>
      <c r="Q230" s="64">
        <v>16</v>
      </c>
    </row>
    <row r="231" spans="1:17">
      <c r="A231" s="64">
        <v>1.6</v>
      </c>
      <c r="B231" s="64">
        <v>300</v>
      </c>
      <c r="C231" s="64">
        <v>540</v>
      </c>
      <c r="D231" s="64">
        <v>500</v>
      </c>
      <c r="E231" s="64">
        <v>465</v>
      </c>
      <c r="F231" s="64">
        <v>455</v>
      </c>
      <c r="G231" s="64">
        <v>452</v>
      </c>
      <c r="H231" s="64">
        <v>30</v>
      </c>
      <c r="I231" s="64">
        <v>90</v>
      </c>
      <c r="J231" s="64">
        <v>36</v>
      </c>
      <c r="K231" s="64">
        <v>12</v>
      </c>
      <c r="L231" s="64">
        <v>24</v>
      </c>
      <c r="M231" s="64">
        <v>12</v>
      </c>
      <c r="N231" s="64">
        <v>23</v>
      </c>
      <c r="O231" s="64">
        <v>20</v>
      </c>
      <c r="P231" s="64">
        <v>20</v>
      </c>
      <c r="Q231" s="64">
        <v>6</v>
      </c>
    </row>
    <row r="232" spans="1:17">
      <c r="A232" s="64">
        <v>1.6</v>
      </c>
      <c r="B232" s="64">
        <v>400</v>
      </c>
      <c r="C232" s="64">
        <v>640</v>
      </c>
      <c r="D232" s="64">
        <v>600</v>
      </c>
      <c r="E232" s="64">
        <v>565</v>
      </c>
      <c r="F232" s="64">
        <v>555</v>
      </c>
      <c r="G232" s="64">
        <v>552</v>
      </c>
      <c r="H232" s="64">
        <v>34</v>
      </c>
      <c r="I232" s="64">
        <v>95</v>
      </c>
      <c r="J232" s="64">
        <v>36</v>
      </c>
      <c r="K232" s="64">
        <v>12</v>
      </c>
      <c r="L232" s="64">
        <v>24</v>
      </c>
      <c r="M232" s="64">
        <v>12</v>
      </c>
      <c r="N232" s="64">
        <v>23</v>
      </c>
      <c r="O232" s="64">
        <v>20</v>
      </c>
      <c r="P232" s="64">
        <v>24</v>
      </c>
      <c r="Q232" s="64">
        <v>8</v>
      </c>
    </row>
    <row r="233" spans="1:17">
      <c r="A233" s="64">
        <v>1.6</v>
      </c>
      <c r="B233" s="64">
        <v>500</v>
      </c>
      <c r="C233" s="64">
        <v>740</v>
      </c>
      <c r="D233" s="64">
        <v>700</v>
      </c>
      <c r="E233" s="64">
        <v>665</v>
      </c>
      <c r="F233" s="64">
        <v>655</v>
      </c>
      <c r="G233" s="64">
        <v>652</v>
      </c>
      <c r="H233" s="64">
        <v>42</v>
      </c>
      <c r="I233" s="64">
        <v>100</v>
      </c>
      <c r="J233" s="64">
        <v>36</v>
      </c>
      <c r="K233" s="64">
        <v>12</v>
      </c>
      <c r="L233" s="64">
        <v>24</v>
      </c>
      <c r="M233" s="64">
        <v>12</v>
      </c>
      <c r="N233" s="64">
        <v>23</v>
      </c>
      <c r="O233" s="64">
        <v>20</v>
      </c>
      <c r="P233" s="64">
        <v>28</v>
      </c>
      <c r="Q233" s="64">
        <v>10</v>
      </c>
    </row>
    <row r="234" spans="1:17">
      <c r="A234" s="64">
        <v>1.6</v>
      </c>
      <c r="B234" s="64">
        <v>600</v>
      </c>
      <c r="C234" s="64">
        <v>860</v>
      </c>
      <c r="D234" s="64">
        <v>815</v>
      </c>
      <c r="E234" s="64">
        <v>776</v>
      </c>
      <c r="F234" s="64">
        <v>766</v>
      </c>
      <c r="G234" s="64">
        <v>763</v>
      </c>
      <c r="H234" s="64">
        <v>52</v>
      </c>
      <c r="I234" s="64">
        <v>120</v>
      </c>
      <c r="J234" s="64">
        <v>42</v>
      </c>
      <c r="K234" s="64">
        <v>12</v>
      </c>
      <c r="L234" s="64">
        <v>26</v>
      </c>
      <c r="M234" s="64">
        <v>12</v>
      </c>
      <c r="N234" s="64">
        <v>27</v>
      </c>
      <c r="O234" s="64">
        <v>24</v>
      </c>
      <c r="P234" s="64">
        <v>24</v>
      </c>
      <c r="Q234" s="64">
        <v>10</v>
      </c>
    </row>
    <row r="235" spans="1:17">
      <c r="A235" s="64">
        <v>1.6</v>
      </c>
      <c r="B235" s="64">
        <v>700</v>
      </c>
      <c r="C235" s="64">
        <v>960</v>
      </c>
      <c r="D235" s="64">
        <v>915</v>
      </c>
      <c r="E235" s="64">
        <v>876</v>
      </c>
      <c r="F235" s="64">
        <v>866</v>
      </c>
      <c r="G235" s="64">
        <v>863</v>
      </c>
      <c r="H235" s="64">
        <v>52</v>
      </c>
      <c r="I235" s="64">
        <v>130</v>
      </c>
      <c r="J235" s="64">
        <v>48</v>
      </c>
      <c r="K235" s="64">
        <v>14</v>
      </c>
      <c r="L235" s="64">
        <v>30</v>
      </c>
      <c r="M235" s="64">
        <v>12</v>
      </c>
      <c r="N235" s="64">
        <v>27</v>
      </c>
      <c r="O235" s="64">
        <v>24</v>
      </c>
      <c r="P235" s="64">
        <v>24</v>
      </c>
      <c r="Q235" s="64">
        <v>12</v>
      </c>
    </row>
    <row r="236" spans="1:17">
      <c r="A236" s="64">
        <v>1.6</v>
      </c>
      <c r="B236" s="64">
        <v>800</v>
      </c>
      <c r="C236" s="64">
        <v>1060</v>
      </c>
      <c r="D236" s="64">
        <v>1015</v>
      </c>
      <c r="E236" s="64">
        <v>976</v>
      </c>
      <c r="F236" s="64">
        <v>966</v>
      </c>
      <c r="G236" s="64">
        <v>963</v>
      </c>
      <c r="H236" s="64">
        <v>52</v>
      </c>
      <c r="I236" s="64">
        <v>130</v>
      </c>
      <c r="J236" s="64">
        <v>54</v>
      </c>
      <c r="K236" s="64">
        <v>16</v>
      </c>
      <c r="L236" s="64">
        <v>34</v>
      </c>
      <c r="M236" s="64">
        <v>12</v>
      </c>
      <c r="N236" s="64">
        <v>27</v>
      </c>
      <c r="O236" s="64">
        <v>24</v>
      </c>
      <c r="P236" s="64">
        <v>28</v>
      </c>
      <c r="Q236" s="64">
        <v>12</v>
      </c>
    </row>
    <row r="237" spans="1:17">
      <c r="A237" s="64">
        <v>1.6</v>
      </c>
      <c r="B237" s="64">
        <v>900</v>
      </c>
      <c r="C237" s="64">
        <v>1160</v>
      </c>
      <c r="D237" s="64">
        <v>1115</v>
      </c>
      <c r="E237" s="64">
        <v>1076</v>
      </c>
      <c r="F237" s="64">
        <v>1066</v>
      </c>
      <c r="G237" s="64">
        <v>1063</v>
      </c>
      <c r="H237" s="64">
        <v>60</v>
      </c>
      <c r="I237" s="64">
        <v>140</v>
      </c>
      <c r="J237" s="64">
        <v>54</v>
      </c>
      <c r="K237" s="64">
        <v>16</v>
      </c>
      <c r="L237" s="64">
        <v>34</v>
      </c>
      <c r="M237" s="64">
        <v>12</v>
      </c>
      <c r="N237" s="64">
        <v>27</v>
      </c>
      <c r="O237" s="64">
        <v>24</v>
      </c>
      <c r="P237" s="64">
        <v>32</v>
      </c>
      <c r="Q237" s="64">
        <v>12</v>
      </c>
    </row>
    <row r="238" spans="1:17">
      <c r="A238" s="64">
        <v>1.6</v>
      </c>
      <c r="B238" s="64">
        <v>1000</v>
      </c>
      <c r="C238" s="64">
        <v>1260</v>
      </c>
      <c r="D238" s="64">
        <v>1215</v>
      </c>
      <c r="E238" s="64">
        <v>1176</v>
      </c>
      <c r="F238" s="64">
        <v>1156</v>
      </c>
      <c r="G238" s="64">
        <v>1153</v>
      </c>
      <c r="H238" s="64">
        <v>64</v>
      </c>
      <c r="I238" s="64">
        <v>150</v>
      </c>
      <c r="J238" s="64">
        <v>60</v>
      </c>
      <c r="K238" s="64">
        <v>16</v>
      </c>
      <c r="L238" s="64">
        <v>40</v>
      </c>
      <c r="M238" s="64">
        <v>12</v>
      </c>
      <c r="N238" s="64">
        <v>27</v>
      </c>
      <c r="O238" s="64">
        <v>24</v>
      </c>
      <c r="P238" s="64">
        <v>36</v>
      </c>
      <c r="Q238" s="64">
        <v>14</v>
      </c>
    </row>
    <row r="239" spans="1:17">
      <c r="A239" s="64">
        <v>1.6</v>
      </c>
      <c r="B239" s="64">
        <v>1100</v>
      </c>
      <c r="C239" s="64">
        <v>1360</v>
      </c>
      <c r="D239" s="64">
        <v>1315</v>
      </c>
      <c r="E239" s="64">
        <v>1276</v>
      </c>
      <c r="F239" s="64">
        <v>1256</v>
      </c>
      <c r="G239" s="64">
        <v>1253</v>
      </c>
      <c r="H239" s="64">
        <v>64</v>
      </c>
      <c r="I239" s="64">
        <v>160</v>
      </c>
      <c r="J239" s="64">
        <v>72</v>
      </c>
      <c r="K239" s="64">
        <v>16</v>
      </c>
      <c r="L239" s="64">
        <v>40</v>
      </c>
      <c r="M239" s="64">
        <v>12</v>
      </c>
      <c r="N239" s="64">
        <v>27</v>
      </c>
      <c r="O239" s="64">
        <v>24</v>
      </c>
      <c r="P239" s="64">
        <v>40</v>
      </c>
      <c r="Q239" s="64">
        <v>14</v>
      </c>
    </row>
    <row r="240" spans="1:17">
      <c r="A240" s="64">
        <v>1.6</v>
      </c>
      <c r="B240" s="64">
        <v>1200</v>
      </c>
      <c r="C240" s="64">
        <v>1460</v>
      </c>
      <c r="D240" s="64">
        <v>1415</v>
      </c>
      <c r="E240" s="64">
        <v>1376</v>
      </c>
      <c r="F240" s="64">
        <v>1356</v>
      </c>
      <c r="G240" s="64">
        <v>1353</v>
      </c>
      <c r="H240" s="64">
        <v>68</v>
      </c>
      <c r="I240" s="64">
        <v>170</v>
      </c>
      <c r="J240" s="64">
        <v>84</v>
      </c>
      <c r="K240" s="64">
        <v>16</v>
      </c>
      <c r="L240" s="64">
        <v>44</v>
      </c>
      <c r="M240" s="64">
        <v>12</v>
      </c>
      <c r="N240" s="64">
        <v>27</v>
      </c>
      <c r="O240" s="64">
        <v>24</v>
      </c>
      <c r="P240" s="64">
        <v>44</v>
      </c>
      <c r="Q240" s="64">
        <v>14</v>
      </c>
    </row>
    <row r="241" spans="1:17">
      <c r="A241" s="64">
        <v>1.6</v>
      </c>
      <c r="B241" s="64">
        <v>1300</v>
      </c>
      <c r="C241" s="64">
        <v>1560</v>
      </c>
      <c r="D241" s="64">
        <v>1515</v>
      </c>
      <c r="E241" s="64">
        <v>1476</v>
      </c>
      <c r="F241" s="64">
        <v>1456</v>
      </c>
      <c r="G241" s="64">
        <v>1453</v>
      </c>
      <c r="H241" s="64">
        <v>70</v>
      </c>
      <c r="I241" s="64">
        <v>175</v>
      </c>
      <c r="J241" s="64">
        <v>84</v>
      </c>
      <c r="K241" s="64">
        <v>16</v>
      </c>
      <c r="L241" s="64">
        <v>44</v>
      </c>
      <c r="M241" s="64">
        <v>12</v>
      </c>
      <c r="N241" s="64">
        <v>27</v>
      </c>
      <c r="O241" s="64">
        <v>24</v>
      </c>
      <c r="P241" s="64">
        <v>52</v>
      </c>
      <c r="Q241" s="64">
        <v>14</v>
      </c>
    </row>
    <row r="242" spans="1:17">
      <c r="A242" s="64">
        <v>1.6</v>
      </c>
      <c r="B242" s="64">
        <v>1400</v>
      </c>
      <c r="C242" s="64">
        <v>1695</v>
      </c>
      <c r="D242" s="64">
        <v>1640</v>
      </c>
      <c r="E242" s="64">
        <v>1598</v>
      </c>
      <c r="F242" s="64">
        <v>1578</v>
      </c>
      <c r="G242" s="64">
        <v>1575</v>
      </c>
      <c r="H242" s="64">
        <v>72</v>
      </c>
      <c r="I242" s="64">
        <v>200</v>
      </c>
      <c r="J242" s="64">
        <v>96</v>
      </c>
      <c r="K242" s="64">
        <v>18</v>
      </c>
      <c r="L242" s="64">
        <v>50</v>
      </c>
      <c r="M242" s="64">
        <v>15</v>
      </c>
      <c r="N242" s="64">
        <v>30</v>
      </c>
      <c r="O242" s="64">
        <v>27</v>
      </c>
      <c r="P242" s="64">
        <v>48</v>
      </c>
      <c r="Q242" s="64">
        <v>16</v>
      </c>
    </row>
    <row r="243" spans="1:17">
      <c r="A243" s="64">
        <v>1.6</v>
      </c>
      <c r="B243" s="64">
        <v>1500</v>
      </c>
      <c r="C243" s="64">
        <v>1795</v>
      </c>
      <c r="D243" s="64">
        <v>1740</v>
      </c>
      <c r="E243" s="64">
        <v>1698</v>
      </c>
      <c r="F243" s="64">
        <v>1678</v>
      </c>
      <c r="G243" s="64">
        <v>1675</v>
      </c>
      <c r="H243" s="64">
        <v>82</v>
      </c>
      <c r="I243" s="64">
        <v>200</v>
      </c>
      <c r="J243" s="64">
        <v>96</v>
      </c>
      <c r="K243" s="64">
        <v>18</v>
      </c>
      <c r="L243" s="64">
        <v>50</v>
      </c>
      <c r="M243" s="64">
        <v>15</v>
      </c>
      <c r="N243" s="64">
        <v>30</v>
      </c>
      <c r="O243" s="64">
        <v>27</v>
      </c>
      <c r="P243" s="64">
        <v>52</v>
      </c>
      <c r="Q243" s="64">
        <v>16</v>
      </c>
    </row>
    <row r="244" spans="1:17">
      <c r="A244" s="64">
        <v>1.6</v>
      </c>
      <c r="B244" s="64">
        <v>1600</v>
      </c>
      <c r="C244" s="64">
        <v>1895</v>
      </c>
      <c r="D244" s="64">
        <v>1840</v>
      </c>
      <c r="E244" s="64">
        <v>1798</v>
      </c>
      <c r="F244" s="64">
        <v>1778</v>
      </c>
      <c r="G244" s="64">
        <v>1775</v>
      </c>
      <c r="H244" s="64">
        <v>92</v>
      </c>
      <c r="I244" s="64">
        <v>215</v>
      </c>
      <c r="J244" s="64">
        <v>90</v>
      </c>
      <c r="K244" s="64">
        <v>20</v>
      </c>
      <c r="L244" s="64">
        <v>50</v>
      </c>
      <c r="M244" s="64">
        <v>15</v>
      </c>
      <c r="N244" s="64">
        <v>30</v>
      </c>
      <c r="O244" s="64">
        <v>27</v>
      </c>
      <c r="P244" s="64">
        <v>56</v>
      </c>
      <c r="Q244" s="64">
        <v>18</v>
      </c>
    </row>
    <row r="245" spans="1:17">
      <c r="A245" s="64">
        <v>1.6</v>
      </c>
      <c r="B245" s="64">
        <v>1700</v>
      </c>
      <c r="C245" s="64">
        <v>1995</v>
      </c>
      <c r="D245" s="64">
        <v>1940</v>
      </c>
      <c r="E245" s="64">
        <v>1898</v>
      </c>
      <c r="F245" s="64">
        <v>1878</v>
      </c>
      <c r="G245" s="64">
        <v>1875</v>
      </c>
      <c r="H245" s="64">
        <v>100</v>
      </c>
      <c r="I245" s="64">
        <v>215</v>
      </c>
      <c r="J245" s="64">
        <v>84</v>
      </c>
      <c r="K245" s="64">
        <v>22</v>
      </c>
      <c r="L245" s="64">
        <v>50</v>
      </c>
      <c r="M245" s="64">
        <v>15</v>
      </c>
      <c r="N245" s="64">
        <v>30</v>
      </c>
      <c r="O245" s="64">
        <v>27</v>
      </c>
      <c r="P245" s="64">
        <v>64</v>
      </c>
      <c r="Q245" s="64">
        <v>18</v>
      </c>
    </row>
    <row r="246" spans="1:17">
      <c r="A246" s="64">
        <v>1.6</v>
      </c>
      <c r="B246" s="64">
        <v>1800</v>
      </c>
      <c r="C246" s="64">
        <v>2115</v>
      </c>
      <c r="D246" s="64">
        <v>2055</v>
      </c>
      <c r="E246" s="64">
        <v>2010</v>
      </c>
      <c r="F246" s="64">
        <v>1990</v>
      </c>
      <c r="G246" s="64">
        <v>1987</v>
      </c>
      <c r="H246" s="64">
        <v>102</v>
      </c>
      <c r="I246" s="64">
        <v>230</v>
      </c>
      <c r="J246" s="64">
        <v>96</v>
      </c>
      <c r="K246" s="64">
        <v>22</v>
      </c>
      <c r="L246" s="64">
        <v>54</v>
      </c>
      <c r="M246" s="64">
        <v>15</v>
      </c>
      <c r="N246" s="64">
        <v>33</v>
      </c>
      <c r="O246" s="64">
        <v>30</v>
      </c>
      <c r="P246" s="64">
        <v>56</v>
      </c>
      <c r="Q246" s="64">
        <v>20</v>
      </c>
    </row>
    <row r="247" spans="1:17">
      <c r="A247" s="64">
        <v>1.6</v>
      </c>
      <c r="B247" s="64">
        <v>1900</v>
      </c>
      <c r="C247" s="64">
        <v>2215</v>
      </c>
      <c r="D247" s="64">
        <v>2155</v>
      </c>
      <c r="E247" s="64">
        <v>2110</v>
      </c>
      <c r="F247" s="64">
        <v>2090</v>
      </c>
      <c r="G247" s="64">
        <v>2087</v>
      </c>
      <c r="H247" s="64">
        <v>116</v>
      </c>
      <c r="I247" s="64">
        <v>235</v>
      </c>
      <c r="J247" s="64">
        <v>96</v>
      </c>
      <c r="K247" s="64">
        <v>22</v>
      </c>
      <c r="L247" s="64">
        <v>54</v>
      </c>
      <c r="M247" s="64">
        <v>15</v>
      </c>
      <c r="N247" s="64">
        <v>33</v>
      </c>
      <c r="O247" s="64">
        <v>30</v>
      </c>
      <c r="P247" s="64">
        <v>64</v>
      </c>
      <c r="Q247" s="64">
        <v>20</v>
      </c>
    </row>
    <row r="248" spans="1:17">
      <c r="A248" s="64">
        <v>2.5</v>
      </c>
      <c r="B248" s="64">
        <v>300</v>
      </c>
      <c r="C248" s="64">
        <v>540</v>
      </c>
      <c r="D248" s="64">
        <v>500</v>
      </c>
      <c r="E248" s="64">
        <v>465</v>
      </c>
      <c r="F248" s="64">
        <v>455</v>
      </c>
      <c r="G248" s="64">
        <v>452</v>
      </c>
      <c r="H248" s="64">
        <v>36</v>
      </c>
      <c r="I248" s="64">
        <v>110</v>
      </c>
      <c r="J248" s="64">
        <v>54</v>
      </c>
      <c r="K248" s="64">
        <v>12</v>
      </c>
      <c r="L248" s="64">
        <v>30</v>
      </c>
      <c r="M248" s="64">
        <v>12</v>
      </c>
      <c r="N248" s="64">
        <v>23</v>
      </c>
      <c r="O248" s="64">
        <v>20</v>
      </c>
      <c r="P248" s="64">
        <v>20</v>
      </c>
      <c r="Q248" s="64">
        <v>8</v>
      </c>
    </row>
    <row r="249" spans="1:17">
      <c r="A249" s="64">
        <v>2.5</v>
      </c>
      <c r="B249" s="64">
        <v>400</v>
      </c>
      <c r="C249" s="64">
        <v>660</v>
      </c>
      <c r="D249" s="64">
        <v>615</v>
      </c>
      <c r="E249" s="64">
        <v>576</v>
      </c>
      <c r="F249" s="64">
        <v>566</v>
      </c>
      <c r="G249" s="64">
        <v>563</v>
      </c>
      <c r="H249" s="64">
        <v>40</v>
      </c>
      <c r="I249" s="64">
        <v>120</v>
      </c>
      <c r="J249" s="64">
        <v>54</v>
      </c>
      <c r="K249" s="64">
        <v>12</v>
      </c>
      <c r="L249" s="64">
        <v>30</v>
      </c>
      <c r="M249" s="64">
        <v>12</v>
      </c>
      <c r="N249" s="64">
        <v>27</v>
      </c>
      <c r="O249" s="64">
        <v>24</v>
      </c>
      <c r="P249" s="64">
        <v>20</v>
      </c>
      <c r="Q249" s="64">
        <v>10</v>
      </c>
    </row>
    <row r="250" spans="1:17">
      <c r="A250" s="64">
        <v>2.5</v>
      </c>
      <c r="B250" s="64">
        <v>500</v>
      </c>
      <c r="C250" s="64">
        <v>760</v>
      </c>
      <c r="D250" s="64">
        <v>715</v>
      </c>
      <c r="E250" s="64">
        <v>676</v>
      </c>
      <c r="F250" s="64">
        <v>666</v>
      </c>
      <c r="G250" s="64">
        <v>663</v>
      </c>
      <c r="H250" s="64">
        <v>44</v>
      </c>
      <c r="I250" s="64">
        <v>145</v>
      </c>
      <c r="J250" s="64">
        <v>72</v>
      </c>
      <c r="K250" s="64">
        <v>16</v>
      </c>
      <c r="L250" s="64">
        <v>40</v>
      </c>
      <c r="M250" s="64">
        <v>12</v>
      </c>
      <c r="N250" s="64">
        <v>27</v>
      </c>
      <c r="O250" s="64">
        <v>24</v>
      </c>
      <c r="P250" s="64">
        <v>24</v>
      </c>
      <c r="Q250" s="64">
        <v>10</v>
      </c>
    </row>
    <row r="251" spans="1:17">
      <c r="A251" s="64">
        <v>2.5</v>
      </c>
      <c r="B251" s="64">
        <v>600</v>
      </c>
      <c r="C251" s="64">
        <v>860</v>
      </c>
      <c r="D251" s="64">
        <v>815</v>
      </c>
      <c r="E251" s="64">
        <v>776</v>
      </c>
      <c r="F251" s="64">
        <v>766</v>
      </c>
      <c r="G251" s="64">
        <v>763</v>
      </c>
      <c r="H251" s="64">
        <v>48</v>
      </c>
      <c r="I251" s="64">
        <v>150</v>
      </c>
      <c r="J251" s="64">
        <v>72</v>
      </c>
      <c r="K251" s="64">
        <v>16</v>
      </c>
      <c r="L251" s="64">
        <v>40</v>
      </c>
      <c r="M251" s="64">
        <v>12</v>
      </c>
      <c r="N251" s="64">
        <v>27</v>
      </c>
      <c r="O251" s="64">
        <v>24</v>
      </c>
      <c r="P251" s="64">
        <v>28</v>
      </c>
      <c r="Q251" s="64">
        <v>10</v>
      </c>
    </row>
    <row r="252" spans="1:17">
      <c r="A252" s="64">
        <v>2.5</v>
      </c>
      <c r="B252" s="64">
        <v>700</v>
      </c>
      <c r="C252" s="64">
        <v>960</v>
      </c>
      <c r="D252" s="64">
        <v>915</v>
      </c>
      <c r="E252" s="64">
        <v>876</v>
      </c>
      <c r="F252" s="64">
        <v>866</v>
      </c>
      <c r="G252" s="64">
        <v>863</v>
      </c>
      <c r="H252" s="64">
        <v>52</v>
      </c>
      <c r="I252" s="64">
        <v>155</v>
      </c>
      <c r="J252" s="64">
        <v>72</v>
      </c>
      <c r="K252" s="64">
        <v>16</v>
      </c>
      <c r="L252" s="64">
        <v>40</v>
      </c>
      <c r="M252" s="64">
        <v>12</v>
      </c>
      <c r="N252" s="64">
        <v>27</v>
      </c>
      <c r="O252" s="64">
        <v>24</v>
      </c>
      <c r="P252" s="64">
        <v>32</v>
      </c>
      <c r="Q252" s="64">
        <v>12</v>
      </c>
    </row>
    <row r="253" spans="1:17">
      <c r="A253" s="64">
        <v>2.5</v>
      </c>
      <c r="B253" s="64">
        <v>800</v>
      </c>
      <c r="C253" s="64">
        <v>1095</v>
      </c>
      <c r="D253" s="64">
        <v>1040</v>
      </c>
      <c r="E253" s="64">
        <v>998</v>
      </c>
      <c r="F253" s="64">
        <v>988</v>
      </c>
      <c r="G253" s="64">
        <v>985</v>
      </c>
      <c r="H253" s="64">
        <v>66</v>
      </c>
      <c r="I253" s="64">
        <v>160</v>
      </c>
      <c r="J253" s="64">
        <v>72</v>
      </c>
      <c r="K253" s="64">
        <v>16</v>
      </c>
      <c r="L253" s="64">
        <v>40</v>
      </c>
      <c r="M253" s="64">
        <v>15</v>
      </c>
      <c r="N253" s="64">
        <v>30</v>
      </c>
      <c r="O253" s="64">
        <v>27</v>
      </c>
      <c r="P253" s="64">
        <v>32</v>
      </c>
      <c r="Q253" s="64">
        <v>12</v>
      </c>
    </row>
    <row r="254" spans="1:17">
      <c r="A254" s="64">
        <v>2.5</v>
      </c>
      <c r="B254" s="64">
        <v>900</v>
      </c>
      <c r="C254" s="64">
        <v>1195</v>
      </c>
      <c r="D254" s="64">
        <v>1140</v>
      </c>
      <c r="E254" s="64">
        <v>1098</v>
      </c>
      <c r="F254" s="64">
        <v>1088</v>
      </c>
      <c r="G254" s="64">
        <v>1085</v>
      </c>
      <c r="H254" s="64">
        <v>68</v>
      </c>
      <c r="I254" s="64">
        <v>180</v>
      </c>
      <c r="J254" s="64">
        <v>78</v>
      </c>
      <c r="K254" s="64">
        <v>18</v>
      </c>
      <c r="L254" s="64">
        <v>44</v>
      </c>
      <c r="M254" s="64">
        <v>15</v>
      </c>
      <c r="N254" s="64">
        <v>30</v>
      </c>
      <c r="O254" s="64">
        <v>27</v>
      </c>
      <c r="P254" s="64">
        <v>36</v>
      </c>
      <c r="Q254" s="64">
        <v>14</v>
      </c>
    </row>
    <row r="255" spans="1:17">
      <c r="A255" s="64">
        <v>2.5</v>
      </c>
      <c r="B255" s="64">
        <v>1000</v>
      </c>
      <c r="C255" s="64">
        <v>1295</v>
      </c>
      <c r="D255" s="64">
        <v>1240</v>
      </c>
      <c r="E255" s="64">
        <v>1198</v>
      </c>
      <c r="F255" s="64">
        <v>1178</v>
      </c>
      <c r="G255" s="64">
        <v>1175</v>
      </c>
      <c r="H255" s="64">
        <v>78</v>
      </c>
      <c r="I255" s="64">
        <v>195</v>
      </c>
      <c r="J255" s="64">
        <v>78</v>
      </c>
      <c r="K255" s="64">
        <v>20</v>
      </c>
      <c r="L255" s="64">
        <v>46</v>
      </c>
      <c r="M255" s="64">
        <v>15</v>
      </c>
      <c r="N255" s="64">
        <v>30</v>
      </c>
      <c r="O255" s="64">
        <v>27</v>
      </c>
      <c r="P255" s="64">
        <v>40</v>
      </c>
      <c r="Q255" s="64">
        <v>14</v>
      </c>
    </row>
    <row r="256" spans="1:17">
      <c r="A256" s="64">
        <v>2.5</v>
      </c>
      <c r="B256" s="64">
        <v>1100</v>
      </c>
      <c r="C256" s="64">
        <v>1395</v>
      </c>
      <c r="D256" s="64">
        <v>1340</v>
      </c>
      <c r="E256" s="64">
        <v>1298</v>
      </c>
      <c r="F256" s="64">
        <v>1278</v>
      </c>
      <c r="G256" s="64">
        <v>1275</v>
      </c>
      <c r="H256" s="64">
        <v>84</v>
      </c>
      <c r="I256" s="64">
        <v>200</v>
      </c>
      <c r="J256" s="64">
        <v>78</v>
      </c>
      <c r="K256" s="64">
        <v>20</v>
      </c>
      <c r="L256" s="64">
        <v>46</v>
      </c>
      <c r="M256" s="64">
        <v>15</v>
      </c>
      <c r="N256" s="64">
        <v>30</v>
      </c>
      <c r="O256" s="64">
        <v>27</v>
      </c>
      <c r="P256" s="64">
        <v>48</v>
      </c>
      <c r="Q256" s="64">
        <v>14</v>
      </c>
    </row>
    <row r="257" spans="1:17">
      <c r="A257" s="64">
        <v>2.5</v>
      </c>
      <c r="B257" s="64">
        <v>1200</v>
      </c>
      <c r="C257" s="64">
        <v>1495</v>
      </c>
      <c r="D257" s="64">
        <v>1440</v>
      </c>
      <c r="E257" s="64">
        <v>1398</v>
      </c>
      <c r="F257" s="64">
        <v>1378</v>
      </c>
      <c r="G257" s="64">
        <v>1375</v>
      </c>
      <c r="H257" s="64">
        <v>98</v>
      </c>
      <c r="I257" s="64">
        <v>215</v>
      </c>
      <c r="J257" s="64">
        <v>78</v>
      </c>
      <c r="K257" s="64">
        <v>20</v>
      </c>
      <c r="L257" s="64">
        <v>46</v>
      </c>
      <c r="M257" s="64">
        <v>15</v>
      </c>
      <c r="N257" s="64">
        <v>30</v>
      </c>
      <c r="O257" s="64">
        <v>27</v>
      </c>
      <c r="P257" s="64">
        <v>56</v>
      </c>
      <c r="Q257" s="64">
        <v>16</v>
      </c>
    </row>
    <row r="258" spans="1:17">
      <c r="A258" s="64">
        <v>2.5</v>
      </c>
      <c r="B258" s="64">
        <v>1300</v>
      </c>
      <c r="C258" s="64">
        <v>1595</v>
      </c>
      <c r="D258" s="64">
        <v>1540</v>
      </c>
      <c r="E258" s="64">
        <v>1498</v>
      </c>
      <c r="F258" s="64">
        <v>1478</v>
      </c>
      <c r="G258" s="64">
        <v>1475</v>
      </c>
      <c r="H258" s="64">
        <v>106</v>
      </c>
      <c r="I258" s="64">
        <v>220</v>
      </c>
      <c r="J258" s="64">
        <v>84</v>
      </c>
      <c r="K258" s="64">
        <v>20</v>
      </c>
      <c r="L258" s="64">
        <v>48</v>
      </c>
      <c r="M258" s="64">
        <v>15</v>
      </c>
      <c r="N258" s="64">
        <v>30</v>
      </c>
      <c r="O258" s="64">
        <v>27</v>
      </c>
      <c r="P258" s="64">
        <v>60</v>
      </c>
      <c r="Q258" s="64">
        <v>16</v>
      </c>
    </row>
    <row r="259" spans="1:17">
      <c r="A259" s="64">
        <v>2.5</v>
      </c>
      <c r="B259" s="64">
        <v>1400</v>
      </c>
      <c r="C259" s="64">
        <v>1715</v>
      </c>
      <c r="D259" s="64">
        <v>1655</v>
      </c>
      <c r="E259" s="64">
        <v>1610</v>
      </c>
      <c r="F259" s="64">
        <v>1590</v>
      </c>
      <c r="G259" s="64">
        <v>1587</v>
      </c>
      <c r="H259" s="64">
        <v>110</v>
      </c>
      <c r="I259" s="64">
        <v>245</v>
      </c>
      <c r="J259" s="64">
        <v>90</v>
      </c>
      <c r="K259" s="64">
        <v>22</v>
      </c>
      <c r="L259" s="64">
        <v>52</v>
      </c>
      <c r="M259" s="64">
        <v>15</v>
      </c>
      <c r="N259" s="64">
        <v>33</v>
      </c>
      <c r="O259" s="64">
        <v>30</v>
      </c>
      <c r="P259" s="64">
        <v>60</v>
      </c>
      <c r="Q259" s="64">
        <v>18</v>
      </c>
    </row>
    <row r="260" spans="1:17">
      <c r="A260" s="64">
        <v>2.5</v>
      </c>
      <c r="B260" s="64">
        <v>1500</v>
      </c>
      <c r="C260" s="64">
        <v>1815</v>
      </c>
      <c r="D260" s="64">
        <v>1755</v>
      </c>
      <c r="E260" s="64">
        <v>1710</v>
      </c>
      <c r="F260" s="64">
        <v>1690</v>
      </c>
      <c r="G260" s="64">
        <v>1687</v>
      </c>
      <c r="H260" s="64">
        <v>118</v>
      </c>
      <c r="I260" s="64">
        <v>245</v>
      </c>
      <c r="J260" s="64">
        <v>96</v>
      </c>
      <c r="K260" s="64">
        <v>22</v>
      </c>
      <c r="L260" s="64">
        <v>54</v>
      </c>
      <c r="M260" s="64">
        <v>15</v>
      </c>
      <c r="N260" s="64">
        <v>33</v>
      </c>
      <c r="O260" s="64">
        <v>30</v>
      </c>
      <c r="P260" s="64">
        <v>64</v>
      </c>
      <c r="Q260" s="64">
        <v>20</v>
      </c>
    </row>
    <row r="261" spans="1:17">
      <c r="A261" s="64">
        <v>2.5</v>
      </c>
      <c r="B261" s="64">
        <v>1600</v>
      </c>
      <c r="C261" s="64">
        <v>1950</v>
      </c>
      <c r="D261" s="64">
        <v>1880</v>
      </c>
      <c r="E261" s="64">
        <v>1829</v>
      </c>
      <c r="F261" s="64">
        <v>1809</v>
      </c>
      <c r="G261" s="64">
        <v>1806</v>
      </c>
      <c r="H261" s="64">
        <v>118</v>
      </c>
      <c r="I261" s="64">
        <v>255</v>
      </c>
      <c r="J261" s="64">
        <v>108</v>
      </c>
      <c r="K261" s="64">
        <v>24</v>
      </c>
      <c r="L261" s="64">
        <v>60</v>
      </c>
      <c r="M261" s="64">
        <v>18</v>
      </c>
      <c r="N261" s="64">
        <v>39</v>
      </c>
      <c r="O261" s="64">
        <v>36</v>
      </c>
      <c r="P261" s="64">
        <v>52</v>
      </c>
      <c r="Q261" s="64">
        <v>20</v>
      </c>
    </row>
    <row r="262" spans="1:17">
      <c r="A262" s="64">
        <v>2.5</v>
      </c>
      <c r="B262" s="64">
        <v>1700</v>
      </c>
      <c r="C262" s="64">
        <v>2050</v>
      </c>
      <c r="D262" s="64">
        <v>1980</v>
      </c>
      <c r="E262" s="64">
        <v>1929</v>
      </c>
      <c r="F262" s="64">
        <v>1909</v>
      </c>
      <c r="G262" s="64">
        <v>1906</v>
      </c>
      <c r="H262" s="64">
        <v>124</v>
      </c>
      <c r="I262" s="64">
        <v>265</v>
      </c>
      <c r="J262" s="64">
        <v>114</v>
      </c>
      <c r="K262" s="64">
        <v>24</v>
      </c>
      <c r="L262" s="64">
        <v>62</v>
      </c>
      <c r="M262" s="64">
        <v>18</v>
      </c>
      <c r="N262" s="64">
        <v>39</v>
      </c>
      <c r="O262" s="64">
        <v>36</v>
      </c>
      <c r="P262" s="64">
        <v>56</v>
      </c>
      <c r="Q262" s="64">
        <v>22</v>
      </c>
    </row>
    <row r="263" spans="1:17">
      <c r="A263" s="64">
        <v>2.5</v>
      </c>
      <c r="B263" s="64">
        <v>1800</v>
      </c>
      <c r="C263" s="64">
        <v>2150</v>
      </c>
      <c r="D263" s="64">
        <v>2080</v>
      </c>
      <c r="E263" s="64">
        <v>2029</v>
      </c>
      <c r="F263" s="64">
        <v>2009</v>
      </c>
      <c r="G263" s="64">
        <v>2006</v>
      </c>
      <c r="H263" s="64">
        <v>130</v>
      </c>
      <c r="I263" s="64">
        <v>275</v>
      </c>
      <c r="J263" s="64">
        <v>114</v>
      </c>
      <c r="K263" s="64">
        <v>26</v>
      </c>
      <c r="L263" s="64">
        <v>64</v>
      </c>
      <c r="M263" s="64">
        <v>18</v>
      </c>
      <c r="N263" s="64">
        <v>39</v>
      </c>
      <c r="O263" s="64">
        <v>36</v>
      </c>
      <c r="P263" s="64">
        <v>64</v>
      </c>
      <c r="Q263" s="64">
        <v>24</v>
      </c>
    </row>
    <row r="264" spans="1:17">
      <c r="A264" s="64">
        <v>2.5</v>
      </c>
      <c r="B264" s="64">
        <v>1900</v>
      </c>
      <c r="C264" s="64">
        <v>2250</v>
      </c>
      <c r="D264" s="64">
        <v>2180</v>
      </c>
      <c r="E264" s="64">
        <v>2129</v>
      </c>
      <c r="F264" s="64">
        <v>2109</v>
      </c>
      <c r="G264" s="64">
        <v>2106</v>
      </c>
      <c r="H264" s="64">
        <v>142</v>
      </c>
      <c r="I264" s="64">
        <v>290</v>
      </c>
      <c r="J264" s="64">
        <v>114</v>
      </c>
      <c r="K264" s="64">
        <v>26</v>
      </c>
      <c r="L264" s="64">
        <v>64</v>
      </c>
      <c r="M264" s="64">
        <v>18</v>
      </c>
      <c r="N264" s="64">
        <v>39</v>
      </c>
      <c r="O264" s="64">
        <v>36</v>
      </c>
      <c r="P264" s="64">
        <v>68</v>
      </c>
      <c r="Q264" s="64">
        <v>24</v>
      </c>
    </row>
    <row r="265" spans="1:17">
      <c r="A265" s="65">
        <v>4</v>
      </c>
      <c r="B265" s="64">
        <v>300</v>
      </c>
      <c r="C265" s="64">
        <v>560</v>
      </c>
      <c r="D265" s="64">
        <v>515</v>
      </c>
      <c r="E265" s="64">
        <v>476</v>
      </c>
      <c r="F265" s="64">
        <v>466</v>
      </c>
      <c r="G265" s="64">
        <v>463</v>
      </c>
      <c r="H265" s="64">
        <v>48</v>
      </c>
      <c r="I265" s="64">
        <v>145</v>
      </c>
      <c r="J265" s="64">
        <v>72</v>
      </c>
      <c r="K265" s="64">
        <v>16</v>
      </c>
      <c r="L265" s="64">
        <v>40</v>
      </c>
      <c r="M265" s="64">
        <v>12</v>
      </c>
      <c r="N265" s="64">
        <v>27</v>
      </c>
      <c r="O265" s="64">
        <v>24</v>
      </c>
      <c r="P265" s="64">
        <v>20</v>
      </c>
      <c r="Q265" s="64">
        <v>12</v>
      </c>
    </row>
    <row r="266" spans="1:17">
      <c r="A266" s="65">
        <v>4</v>
      </c>
      <c r="B266" s="64">
        <v>400</v>
      </c>
      <c r="C266" s="64">
        <v>660</v>
      </c>
      <c r="D266" s="64">
        <v>615</v>
      </c>
      <c r="E266" s="64">
        <v>576</v>
      </c>
      <c r="F266" s="64">
        <v>566</v>
      </c>
      <c r="G266" s="64">
        <v>563</v>
      </c>
      <c r="H266" s="64">
        <v>50</v>
      </c>
      <c r="I266" s="64">
        <v>145</v>
      </c>
      <c r="J266" s="64">
        <v>72</v>
      </c>
      <c r="K266" s="64">
        <v>16</v>
      </c>
      <c r="L266" s="64">
        <v>40</v>
      </c>
      <c r="M266" s="64">
        <v>12</v>
      </c>
      <c r="N266" s="64">
        <v>27</v>
      </c>
      <c r="O266" s="64">
        <v>24</v>
      </c>
      <c r="P266" s="64">
        <v>24</v>
      </c>
      <c r="Q266" s="64">
        <v>12</v>
      </c>
    </row>
    <row r="267" spans="1:17">
      <c r="A267" s="65">
        <v>4</v>
      </c>
      <c r="B267" s="64">
        <v>500</v>
      </c>
      <c r="C267" s="64">
        <v>760</v>
      </c>
      <c r="D267" s="64">
        <v>715</v>
      </c>
      <c r="E267" s="64">
        <v>676</v>
      </c>
      <c r="F267" s="64">
        <v>666</v>
      </c>
      <c r="G267" s="64">
        <v>663</v>
      </c>
      <c r="H267" s="64">
        <v>54</v>
      </c>
      <c r="I267" s="64">
        <v>150</v>
      </c>
      <c r="J267" s="64">
        <v>72</v>
      </c>
      <c r="K267" s="64">
        <v>16</v>
      </c>
      <c r="L267" s="64">
        <v>40</v>
      </c>
      <c r="M267" s="64">
        <v>12</v>
      </c>
      <c r="N267" s="64">
        <v>27</v>
      </c>
      <c r="O267" s="64">
        <v>24</v>
      </c>
      <c r="P267" s="64">
        <v>32</v>
      </c>
      <c r="Q267" s="64">
        <v>12</v>
      </c>
    </row>
    <row r="268" spans="1:17">
      <c r="A268" s="65">
        <v>4</v>
      </c>
      <c r="B268" s="64">
        <v>600</v>
      </c>
      <c r="C268" s="64">
        <v>895</v>
      </c>
      <c r="D268" s="64">
        <v>840</v>
      </c>
      <c r="E268" s="64">
        <v>798</v>
      </c>
      <c r="F268" s="64">
        <v>788</v>
      </c>
      <c r="G268" s="64">
        <v>785</v>
      </c>
      <c r="H268" s="64">
        <v>68</v>
      </c>
      <c r="I268" s="64">
        <v>165</v>
      </c>
      <c r="J268" s="64">
        <v>72</v>
      </c>
      <c r="K268" s="64">
        <v>16</v>
      </c>
      <c r="L268" s="64">
        <v>40</v>
      </c>
      <c r="M268" s="64">
        <v>15</v>
      </c>
      <c r="N268" s="64">
        <v>30</v>
      </c>
      <c r="O268" s="64">
        <v>27</v>
      </c>
      <c r="P268" s="64">
        <v>32</v>
      </c>
      <c r="Q268" s="64">
        <v>14</v>
      </c>
    </row>
    <row r="269" spans="1:17">
      <c r="A269" s="65">
        <v>4</v>
      </c>
      <c r="B269" s="64">
        <v>700</v>
      </c>
      <c r="C269" s="64">
        <v>995</v>
      </c>
      <c r="D269" s="64">
        <v>940</v>
      </c>
      <c r="E269" s="64">
        <v>898</v>
      </c>
      <c r="F269" s="64">
        <v>888</v>
      </c>
      <c r="G269" s="64">
        <v>885</v>
      </c>
      <c r="H269" s="64">
        <v>74</v>
      </c>
      <c r="I269" s="64">
        <v>175</v>
      </c>
      <c r="J269" s="64">
        <v>78</v>
      </c>
      <c r="K269" s="64">
        <v>18</v>
      </c>
      <c r="L269" s="64">
        <v>44</v>
      </c>
      <c r="M269" s="64">
        <v>15</v>
      </c>
      <c r="N269" s="64">
        <v>30</v>
      </c>
      <c r="O269" s="64">
        <v>27</v>
      </c>
      <c r="P269" s="64">
        <v>40</v>
      </c>
      <c r="Q269" s="64">
        <v>16</v>
      </c>
    </row>
    <row r="270" spans="1:17">
      <c r="A270" s="65">
        <v>4</v>
      </c>
      <c r="B270" s="64">
        <v>800</v>
      </c>
      <c r="C270" s="64">
        <v>1115</v>
      </c>
      <c r="D270" s="64">
        <v>1055</v>
      </c>
      <c r="E270" s="64">
        <v>1010</v>
      </c>
      <c r="F270" s="64">
        <v>1000</v>
      </c>
      <c r="G270" s="64">
        <v>997</v>
      </c>
      <c r="H270" s="64">
        <v>86</v>
      </c>
      <c r="I270" s="64">
        <v>190</v>
      </c>
      <c r="J270" s="64">
        <v>78</v>
      </c>
      <c r="K270" s="64">
        <v>20</v>
      </c>
      <c r="L270" s="64">
        <v>46</v>
      </c>
      <c r="M270" s="64">
        <v>15</v>
      </c>
      <c r="N270" s="64">
        <v>33</v>
      </c>
      <c r="O270" s="64">
        <v>30</v>
      </c>
      <c r="P270" s="64">
        <v>40</v>
      </c>
      <c r="Q270" s="64">
        <v>16</v>
      </c>
    </row>
    <row r="271" spans="1:17">
      <c r="A271" s="65">
        <v>4</v>
      </c>
      <c r="B271" s="64">
        <v>900</v>
      </c>
      <c r="C271" s="64">
        <v>1215</v>
      </c>
      <c r="D271" s="64">
        <v>1155</v>
      </c>
      <c r="E271" s="64">
        <v>1110</v>
      </c>
      <c r="F271" s="64">
        <v>1100</v>
      </c>
      <c r="G271" s="64">
        <v>1097</v>
      </c>
      <c r="H271" s="64">
        <v>90</v>
      </c>
      <c r="I271" s="64">
        <v>205</v>
      </c>
      <c r="J271" s="64">
        <v>90</v>
      </c>
      <c r="K271" s="64">
        <v>20</v>
      </c>
      <c r="L271" s="64">
        <v>50</v>
      </c>
      <c r="M271" s="64">
        <v>15</v>
      </c>
      <c r="N271" s="64">
        <v>33</v>
      </c>
      <c r="O271" s="64">
        <v>30</v>
      </c>
      <c r="P271" s="64">
        <v>48</v>
      </c>
      <c r="Q271" s="64">
        <v>18</v>
      </c>
    </row>
    <row r="272" spans="1:17">
      <c r="A272" s="65">
        <v>4</v>
      </c>
      <c r="B272" s="64">
        <v>1000</v>
      </c>
      <c r="C272" s="64">
        <v>1350</v>
      </c>
      <c r="D272" s="64">
        <v>1280</v>
      </c>
      <c r="E272" s="64">
        <v>1229</v>
      </c>
      <c r="F272" s="64">
        <v>1209</v>
      </c>
      <c r="G272" s="64">
        <v>1206</v>
      </c>
      <c r="H272" s="64">
        <v>112</v>
      </c>
      <c r="I272" s="64">
        <v>225</v>
      </c>
      <c r="J272" s="64">
        <v>90</v>
      </c>
      <c r="K272" s="64">
        <v>22</v>
      </c>
      <c r="L272" s="64">
        <v>52</v>
      </c>
      <c r="M272" s="64">
        <v>18</v>
      </c>
      <c r="N272" s="64">
        <v>39</v>
      </c>
      <c r="O272" s="64">
        <v>36</v>
      </c>
      <c r="P272" s="64">
        <v>40</v>
      </c>
      <c r="Q272" s="64">
        <v>20</v>
      </c>
    </row>
    <row r="273" spans="1:40">
      <c r="A273" s="65">
        <v>4</v>
      </c>
      <c r="B273" s="64">
        <v>1100</v>
      </c>
      <c r="C273" s="64">
        <v>1450</v>
      </c>
      <c r="D273" s="64">
        <v>1380</v>
      </c>
      <c r="E273" s="64">
        <v>1329</v>
      </c>
      <c r="F273" s="64">
        <v>1309</v>
      </c>
      <c r="G273" s="64">
        <v>1306</v>
      </c>
      <c r="H273" s="64">
        <v>112</v>
      </c>
      <c r="I273" s="64">
        <v>235</v>
      </c>
      <c r="J273" s="64">
        <v>96</v>
      </c>
      <c r="K273" s="64">
        <v>24</v>
      </c>
      <c r="L273" s="64">
        <v>56</v>
      </c>
      <c r="M273" s="64">
        <v>18</v>
      </c>
      <c r="N273" s="64">
        <v>39</v>
      </c>
      <c r="O273" s="64">
        <v>36</v>
      </c>
      <c r="P273" s="64">
        <v>44</v>
      </c>
      <c r="Q273" s="64">
        <v>22</v>
      </c>
    </row>
    <row r="274" spans="1:40">
      <c r="A274" s="65">
        <v>4</v>
      </c>
      <c r="B274" s="64">
        <v>1200</v>
      </c>
      <c r="C274" s="64">
        <v>1550</v>
      </c>
      <c r="D274" s="64">
        <v>1480</v>
      </c>
      <c r="E274" s="64">
        <v>1429</v>
      </c>
      <c r="F274" s="64">
        <v>1409</v>
      </c>
      <c r="G274" s="64">
        <v>1406</v>
      </c>
      <c r="H274" s="64">
        <v>112</v>
      </c>
      <c r="I274" s="64">
        <v>240</v>
      </c>
      <c r="J274" s="64">
        <v>10</v>
      </c>
      <c r="K274" s="64">
        <v>26</v>
      </c>
      <c r="L274" s="64">
        <v>60</v>
      </c>
      <c r="M274" s="64">
        <v>18</v>
      </c>
      <c r="N274" s="64">
        <v>39</v>
      </c>
      <c r="O274" s="64">
        <v>36</v>
      </c>
      <c r="P274" s="64">
        <v>52</v>
      </c>
      <c r="Q274" s="64">
        <v>22</v>
      </c>
    </row>
    <row r="275" spans="1:40">
      <c r="A275" s="65">
        <v>4</v>
      </c>
      <c r="B275" s="64">
        <v>1300</v>
      </c>
      <c r="C275" s="64">
        <v>1650</v>
      </c>
      <c r="D275" s="64">
        <v>1580</v>
      </c>
      <c r="E275" s="64">
        <v>1529</v>
      </c>
      <c r="F275" s="64">
        <v>1509</v>
      </c>
      <c r="G275" s="64">
        <v>1506</v>
      </c>
      <c r="H275" s="64">
        <v>130</v>
      </c>
      <c r="I275" s="64">
        <v>260</v>
      </c>
      <c r="J275" s="64">
        <v>102</v>
      </c>
      <c r="K275" s="64">
        <v>26</v>
      </c>
      <c r="L275" s="64">
        <v>60</v>
      </c>
      <c r="M275" s="64">
        <v>18</v>
      </c>
      <c r="N275" s="64">
        <v>39</v>
      </c>
      <c r="O275" s="64">
        <v>36</v>
      </c>
      <c r="P275" s="64">
        <v>60</v>
      </c>
      <c r="Q275" s="64">
        <v>22</v>
      </c>
    </row>
    <row r="276" spans="1:40">
      <c r="A276" s="65">
        <v>4</v>
      </c>
      <c r="B276" s="64">
        <v>1400</v>
      </c>
      <c r="C276" s="64">
        <v>1750</v>
      </c>
      <c r="D276" s="64">
        <v>1680</v>
      </c>
      <c r="E276" s="64">
        <v>1629</v>
      </c>
      <c r="F276" s="64">
        <v>1609</v>
      </c>
      <c r="G276" s="64">
        <v>1606</v>
      </c>
      <c r="H276" s="64">
        <v>150</v>
      </c>
      <c r="I276" s="64">
        <v>280</v>
      </c>
      <c r="J276" s="64">
        <v>102</v>
      </c>
      <c r="K276" s="64">
        <v>26</v>
      </c>
      <c r="L276" s="64">
        <v>60</v>
      </c>
      <c r="M276" s="64">
        <v>18</v>
      </c>
      <c r="N276" s="64">
        <v>39</v>
      </c>
      <c r="O276" s="64">
        <v>36</v>
      </c>
      <c r="P276" s="64">
        <v>64</v>
      </c>
      <c r="Q276" s="64">
        <v>22</v>
      </c>
    </row>
    <row r="277" spans="1:40">
      <c r="A277" s="65">
        <v>4</v>
      </c>
      <c r="B277" s="64">
        <v>1500</v>
      </c>
      <c r="C277" s="64">
        <v>1850</v>
      </c>
      <c r="D277" s="64">
        <v>1780</v>
      </c>
      <c r="E277" s="64">
        <v>1729</v>
      </c>
      <c r="F277" s="64">
        <v>1709</v>
      </c>
      <c r="G277" s="64">
        <v>1706</v>
      </c>
      <c r="H277" s="64">
        <v>158</v>
      </c>
      <c r="I277" s="64">
        <v>395</v>
      </c>
      <c r="J277" s="64">
        <v>108</v>
      </c>
      <c r="K277" s="64">
        <v>26</v>
      </c>
      <c r="L277" s="64">
        <v>62</v>
      </c>
      <c r="M277" s="64">
        <v>18</v>
      </c>
      <c r="N277" s="64">
        <v>39</v>
      </c>
      <c r="O277" s="64">
        <v>36</v>
      </c>
      <c r="P277" s="64">
        <v>68</v>
      </c>
      <c r="Q277" s="64">
        <v>22</v>
      </c>
    </row>
    <row r="278" spans="1:40">
      <c r="A278" s="64">
        <v>6.4</v>
      </c>
      <c r="B278" s="64">
        <v>300</v>
      </c>
      <c r="C278" s="64">
        <v>560</v>
      </c>
      <c r="D278" s="64">
        <v>515</v>
      </c>
      <c r="E278" s="64">
        <v>476</v>
      </c>
      <c r="F278" s="64">
        <v>466</v>
      </c>
      <c r="G278" s="64">
        <v>463</v>
      </c>
      <c r="H278" s="64">
        <v>58</v>
      </c>
      <c r="I278" s="64">
        <v>150</v>
      </c>
      <c r="J278" s="64">
        <v>72</v>
      </c>
      <c r="K278" s="64">
        <v>16</v>
      </c>
      <c r="L278" s="64">
        <v>40</v>
      </c>
      <c r="M278" s="64">
        <v>12</v>
      </c>
      <c r="N278" s="64">
        <v>27</v>
      </c>
      <c r="O278" s="64">
        <v>24</v>
      </c>
      <c r="P278" s="64">
        <v>24</v>
      </c>
      <c r="Q278" s="64">
        <v>12</v>
      </c>
    </row>
    <row r="279" spans="1:40">
      <c r="A279" s="64">
        <v>6.4</v>
      </c>
      <c r="B279" s="64">
        <v>400</v>
      </c>
      <c r="C279" s="64">
        <v>695</v>
      </c>
      <c r="D279" s="64">
        <v>640</v>
      </c>
      <c r="E279" s="64">
        <v>598</v>
      </c>
      <c r="F279" s="64">
        <v>588</v>
      </c>
      <c r="G279" s="64">
        <v>585</v>
      </c>
      <c r="H279" s="64">
        <v>64</v>
      </c>
      <c r="I279" s="64">
        <v>160</v>
      </c>
      <c r="J279" s="64">
        <v>72</v>
      </c>
      <c r="K279" s="64">
        <v>16</v>
      </c>
      <c r="L279" s="64">
        <v>40</v>
      </c>
      <c r="M279" s="64">
        <v>15</v>
      </c>
      <c r="N279" s="64">
        <v>30</v>
      </c>
      <c r="O279" s="64">
        <v>27</v>
      </c>
      <c r="P279" s="64">
        <v>28</v>
      </c>
      <c r="Q279" s="64">
        <v>12</v>
      </c>
    </row>
    <row r="280" spans="1:40">
      <c r="A280" s="64">
        <v>6.4</v>
      </c>
      <c r="B280" s="64">
        <v>500</v>
      </c>
      <c r="C280" s="64">
        <v>815</v>
      </c>
      <c r="D280" s="64">
        <v>755</v>
      </c>
      <c r="E280" s="64">
        <v>710</v>
      </c>
      <c r="F280" s="64">
        <v>700</v>
      </c>
      <c r="G280" s="64">
        <v>697</v>
      </c>
      <c r="H280" s="64">
        <v>86</v>
      </c>
      <c r="I280" s="64">
        <v>185</v>
      </c>
      <c r="J280" s="64">
        <v>72</v>
      </c>
      <c r="K280" s="64">
        <v>16</v>
      </c>
      <c r="L280" s="64">
        <v>40</v>
      </c>
      <c r="M280" s="64">
        <v>15</v>
      </c>
      <c r="N280" s="64">
        <v>33</v>
      </c>
      <c r="O280" s="64">
        <v>30</v>
      </c>
      <c r="P280" s="64">
        <v>32</v>
      </c>
      <c r="Q280" s="64">
        <v>14</v>
      </c>
    </row>
    <row r="281" spans="1:40">
      <c r="A281" s="64">
        <v>6.4</v>
      </c>
      <c r="B281" s="64">
        <v>600</v>
      </c>
      <c r="C281" s="64">
        <v>950</v>
      </c>
      <c r="D281" s="64">
        <v>880</v>
      </c>
      <c r="E281" s="64">
        <v>829</v>
      </c>
      <c r="F281" s="64">
        <v>819</v>
      </c>
      <c r="G281" s="64">
        <v>816</v>
      </c>
      <c r="H281" s="64">
        <v>86</v>
      </c>
      <c r="I281" s="64">
        <v>205</v>
      </c>
      <c r="J281" s="64">
        <v>90</v>
      </c>
      <c r="K281" s="64">
        <v>20</v>
      </c>
      <c r="L281" s="64">
        <v>50</v>
      </c>
      <c r="M281" s="64">
        <v>18</v>
      </c>
      <c r="N281" s="64">
        <v>39</v>
      </c>
      <c r="O281" s="64">
        <v>36</v>
      </c>
      <c r="P281" s="64">
        <v>32</v>
      </c>
      <c r="Q281" s="64">
        <v>18</v>
      </c>
      <c r="R281" s="66"/>
    </row>
    <row r="282" spans="1:40">
      <c r="A282" s="64">
        <v>6.4</v>
      </c>
      <c r="B282" s="64">
        <v>700</v>
      </c>
      <c r="C282" s="64">
        <v>1050</v>
      </c>
      <c r="D282" s="64">
        <v>980</v>
      </c>
      <c r="E282" s="64">
        <v>929</v>
      </c>
      <c r="F282" s="64">
        <v>919</v>
      </c>
      <c r="G282" s="64">
        <v>916</v>
      </c>
      <c r="H282" s="64">
        <v>100</v>
      </c>
      <c r="I282" s="64">
        <v>220</v>
      </c>
      <c r="J282" s="64">
        <v>90</v>
      </c>
      <c r="K282" s="64">
        <v>22</v>
      </c>
      <c r="L282" s="64">
        <v>52</v>
      </c>
      <c r="M282" s="64">
        <v>18</v>
      </c>
      <c r="N282" s="64">
        <v>39</v>
      </c>
      <c r="O282" s="64">
        <v>36</v>
      </c>
      <c r="P282" s="64">
        <v>36</v>
      </c>
      <c r="Q282" s="67">
        <v>18</v>
      </c>
      <c r="R282" s="66"/>
    </row>
    <row r="283" spans="1:40" ht="25.15">
      <c r="A283" s="265" t="s">
        <v>197</v>
      </c>
      <c r="B283" s="266"/>
      <c r="C283" s="266"/>
      <c r="D283" s="266"/>
      <c r="E283" s="266"/>
      <c r="F283" s="266"/>
      <c r="G283" s="266"/>
      <c r="H283" s="266"/>
      <c r="I283" s="266"/>
      <c r="J283" s="266"/>
      <c r="K283" s="266"/>
      <c r="L283" s="266"/>
      <c r="M283" s="266"/>
      <c r="N283" s="266"/>
      <c r="Q283" s="263" t="s">
        <v>198</v>
      </c>
      <c r="R283" s="263"/>
      <c r="S283" s="263"/>
      <c r="T283" s="263"/>
      <c r="U283" s="263"/>
      <c r="V283" s="263"/>
      <c r="W283" s="263"/>
      <c r="X283" s="263"/>
      <c r="Y283" s="263"/>
      <c r="Z283" s="263"/>
      <c r="AA283" s="263"/>
      <c r="AB283" s="263"/>
      <c r="AC283" s="263"/>
      <c r="AD283" s="263"/>
      <c r="AE283" s="263"/>
      <c r="AF283" s="263"/>
      <c r="AG283" s="263"/>
      <c r="AH283" s="263"/>
      <c r="AI283" s="263"/>
      <c r="AJ283" s="263"/>
      <c r="AK283" s="263"/>
      <c r="AL283" s="263"/>
      <c r="AM283" s="263"/>
      <c r="AN283" s="263"/>
    </row>
    <row r="284" spans="1:40" s="68" customFormat="1" ht="18" customHeight="1">
      <c r="A284" s="214" t="s">
        <v>199</v>
      </c>
      <c r="B284" s="251" t="s">
        <v>200</v>
      </c>
      <c r="C284" s="251" t="s">
        <v>201</v>
      </c>
      <c r="D284" s="251"/>
      <c r="E284" s="204" t="s">
        <v>202</v>
      </c>
      <c r="F284" s="204"/>
      <c r="G284" s="204"/>
      <c r="H284" s="204"/>
      <c r="I284" s="204"/>
      <c r="J284" s="251" t="s">
        <v>203</v>
      </c>
      <c r="K284" s="251" t="s">
        <v>204</v>
      </c>
      <c r="L284" s="251"/>
      <c r="M284" s="259" t="s">
        <v>205</v>
      </c>
      <c r="N284" s="224"/>
      <c r="O284" s="251" t="s">
        <v>206</v>
      </c>
      <c r="Q284" s="251" t="s">
        <v>199</v>
      </c>
      <c r="R284" s="251" t="s">
        <v>200</v>
      </c>
      <c r="S284" s="251" t="s">
        <v>201</v>
      </c>
      <c r="T284" s="251"/>
      <c r="U284" s="204" t="s">
        <v>202</v>
      </c>
      <c r="V284" s="204"/>
      <c r="W284" s="204"/>
      <c r="X284" s="204"/>
      <c r="Y284" s="204"/>
      <c r="Z284" s="251" t="s">
        <v>203</v>
      </c>
      <c r="AA284" s="251" t="s">
        <v>204</v>
      </c>
      <c r="AB284" s="251"/>
      <c r="AC284" s="204" t="s">
        <v>207</v>
      </c>
      <c r="AD284" s="204"/>
      <c r="AE284" s="204"/>
      <c r="AF284" s="251" t="s">
        <v>208</v>
      </c>
      <c r="AG284" s="251" t="s">
        <v>209</v>
      </c>
      <c r="AH284" s="251" t="s">
        <v>205</v>
      </c>
      <c r="AI284" s="251"/>
      <c r="AJ284" s="251"/>
      <c r="AK284" s="251"/>
      <c r="AL284" s="251"/>
      <c r="AM284" s="251"/>
      <c r="AN284" s="251" t="s">
        <v>206</v>
      </c>
    </row>
    <row r="285" spans="1:40" s="68" customFormat="1" ht="60.75" customHeight="1">
      <c r="A285" s="235"/>
      <c r="B285" s="204"/>
      <c r="C285" s="251"/>
      <c r="D285" s="251"/>
      <c r="E285" s="251" t="s">
        <v>210</v>
      </c>
      <c r="F285" s="251" t="s">
        <v>211</v>
      </c>
      <c r="G285" s="251" t="s">
        <v>212</v>
      </c>
      <c r="H285" s="251" t="s">
        <v>213</v>
      </c>
      <c r="I285" s="251" t="s">
        <v>214</v>
      </c>
      <c r="J285" s="251"/>
      <c r="K285" s="251"/>
      <c r="L285" s="251"/>
      <c r="M285" s="260"/>
      <c r="N285" s="261"/>
      <c r="O285" s="204"/>
      <c r="Q285" s="204"/>
      <c r="R285" s="204"/>
      <c r="S285" s="251"/>
      <c r="T285" s="251"/>
      <c r="U285" s="251" t="s">
        <v>210</v>
      </c>
      <c r="V285" s="251" t="s">
        <v>211</v>
      </c>
      <c r="W285" s="251" t="s">
        <v>212</v>
      </c>
      <c r="X285" s="251" t="s">
        <v>214</v>
      </c>
      <c r="Y285" s="251" t="s">
        <v>213</v>
      </c>
      <c r="Z285" s="251"/>
      <c r="AA285" s="251"/>
      <c r="AB285" s="251"/>
      <c r="AC285" s="254" t="s">
        <v>215</v>
      </c>
      <c r="AD285" s="204"/>
      <c r="AE285" s="254" t="s">
        <v>195</v>
      </c>
      <c r="AF285" s="204"/>
      <c r="AG285" s="204"/>
      <c r="AH285" s="251"/>
      <c r="AI285" s="251"/>
      <c r="AJ285" s="251"/>
      <c r="AK285" s="251"/>
      <c r="AL285" s="251"/>
      <c r="AM285" s="251"/>
      <c r="AN285" s="204"/>
    </row>
    <row r="286" spans="1:40" s="68" customFormat="1" ht="18" customHeight="1">
      <c r="A286" s="208"/>
      <c r="B286" s="204"/>
      <c r="C286" s="20" t="s">
        <v>216</v>
      </c>
      <c r="D286" s="20" t="s">
        <v>217</v>
      </c>
      <c r="E286" s="251"/>
      <c r="F286" s="251"/>
      <c r="G286" s="251"/>
      <c r="H286" s="251"/>
      <c r="I286" s="251"/>
      <c r="J286" s="251"/>
      <c r="K286" s="20" t="s">
        <v>216</v>
      </c>
      <c r="L286" s="20" t="s">
        <v>217</v>
      </c>
      <c r="M286" s="20" t="s">
        <v>218</v>
      </c>
      <c r="N286" s="20" t="s">
        <v>184</v>
      </c>
      <c r="O286" s="20" t="s">
        <v>219</v>
      </c>
      <c r="Q286" s="204"/>
      <c r="R286" s="204"/>
      <c r="S286" s="20" t="s">
        <v>216</v>
      </c>
      <c r="T286" s="20" t="s">
        <v>217</v>
      </c>
      <c r="U286" s="251"/>
      <c r="V286" s="251"/>
      <c r="W286" s="251"/>
      <c r="X286" s="251"/>
      <c r="Y286" s="251"/>
      <c r="Z286" s="251"/>
      <c r="AA286" s="20" t="s">
        <v>216</v>
      </c>
      <c r="AB286" s="20" t="s">
        <v>217</v>
      </c>
      <c r="AC286" s="20" t="s">
        <v>216</v>
      </c>
      <c r="AD286" s="20" t="s">
        <v>217</v>
      </c>
      <c r="AE286" s="204"/>
      <c r="AF286" s="204"/>
      <c r="AG286" s="204"/>
      <c r="AH286" s="20" t="s">
        <v>184</v>
      </c>
      <c r="AI286" s="20" t="s">
        <v>220</v>
      </c>
      <c r="AJ286" s="20" t="s">
        <v>221</v>
      </c>
      <c r="AK286" s="20" t="s">
        <v>218</v>
      </c>
      <c r="AL286" s="20" t="s">
        <v>222</v>
      </c>
      <c r="AM286" s="20" t="s">
        <v>223</v>
      </c>
      <c r="AN286" s="20" t="s">
        <v>219</v>
      </c>
    </row>
    <row r="287" spans="1:40" s="68" customFormat="1">
      <c r="A287" s="20">
        <v>0.25</v>
      </c>
      <c r="B287" s="64" t="s">
        <v>224</v>
      </c>
      <c r="C287" s="64" t="s">
        <v>160</v>
      </c>
      <c r="D287" s="64" t="s">
        <v>161</v>
      </c>
      <c r="E287" s="64" t="s">
        <v>162</v>
      </c>
      <c r="F287" s="64" t="s">
        <v>163</v>
      </c>
      <c r="G287" s="64" t="s">
        <v>164</v>
      </c>
      <c r="H287" s="20">
        <v>10</v>
      </c>
      <c r="I287" s="64" t="s">
        <v>165</v>
      </c>
      <c r="J287" s="64" t="s">
        <v>166</v>
      </c>
      <c r="K287" s="64" t="s">
        <v>167</v>
      </c>
      <c r="L287" s="64" t="s">
        <v>168</v>
      </c>
      <c r="M287" s="1">
        <v>2</v>
      </c>
      <c r="N287" s="1">
        <v>33</v>
      </c>
      <c r="O287" s="64" t="s">
        <v>225</v>
      </c>
      <c r="Q287" s="64" t="s">
        <v>159</v>
      </c>
      <c r="R287" s="64" t="s">
        <v>224</v>
      </c>
      <c r="S287" s="64" t="s">
        <v>160</v>
      </c>
      <c r="T287" s="64" t="s">
        <v>161</v>
      </c>
      <c r="U287" s="64" t="s">
        <v>162</v>
      </c>
      <c r="V287" s="64" t="s">
        <v>163</v>
      </c>
      <c r="W287" s="64" t="s">
        <v>164</v>
      </c>
      <c r="X287" s="64" t="s">
        <v>165</v>
      </c>
      <c r="Y287" s="64">
        <v>10</v>
      </c>
      <c r="Z287" s="64" t="s">
        <v>166</v>
      </c>
      <c r="AA287" s="64" t="s">
        <v>167</v>
      </c>
      <c r="AB287" s="64" t="s">
        <v>168</v>
      </c>
      <c r="AC287" s="64" t="s">
        <v>169</v>
      </c>
      <c r="AD287" s="64" t="s">
        <v>169</v>
      </c>
      <c r="AE287" s="64" t="s">
        <v>170</v>
      </c>
      <c r="AF287" s="64" t="s">
        <v>171</v>
      </c>
      <c r="AG287" s="1"/>
      <c r="AH287" s="1">
        <v>33</v>
      </c>
      <c r="AI287" s="1">
        <v>34</v>
      </c>
      <c r="AJ287" s="1">
        <v>35</v>
      </c>
      <c r="AK287" s="1">
        <v>2</v>
      </c>
      <c r="AL287" s="1">
        <v>4</v>
      </c>
      <c r="AM287" s="1">
        <v>3</v>
      </c>
      <c r="AN287" s="64" t="s">
        <v>172</v>
      </c>
    </row>
    <row r="288" spans="1:40" s="68" customFormat="1">
      <c r="A288" s="20">
        <v>0.25</v>
      </c>
      <c r="B288" s="64" t="s">
        <v>168</v>
      </c>
      <c r="C288" s="64" t="s">
        <v>226</v>
      </c>
      <c r="D288" s="64" t="s">
        <v>167</v>
      </c>
      <c r="E288" s="64" t="s">
        <v>227</v>
      </c>
      <c r="F288" s="64" t="s">
        <v>228</v>
      </c>
      <c r="G288" s="64" t="s">
        <v>164</v>
      </c>
      <c r="H288" s="64">
        <v>10</v>
      </c>
      <c r="I288" s="64" t="s">
        <v>165</v>
      </c>
      <c r="J288" s="64" t="s">
        <v>166</v>
      </c>
      <c r="K288" s="64" t="s">
        <v>229</v>
      </c>
      <c r="L288" s="64" t="s">
        <v>230</v>
      </c>
      <c r="M288" s="1">
        <v>2</v>
      </c>
      <c r="N288" s="1">
        <v>38</v>
      </c>
      <c r="O288" s="64" t="s">
        <v>231</v>
      </c>
      <c r="Q288" s="64" t="s">
        <v>159</v>
      </c>
      <c r="R288" s="64" t="s">
        <v>168</v>
      </c>
      <c r="S288" s="64" t="s">
        <v>226</v>
      </c>
      <c r="T288" s="64" t="s">
        <v>167</v>
      </c>
      <c r="U288" s="64" t="s">
        <v>227</v>
      </c>
      <c r="V288" s="64" t="s">
        <v>228</v>
      </c>
      <c r="W288" s="64" t="s">
        <v>164</v>
      </c>
      <c r="X288" s="64" t="s">
        <v>165</v>
      </c>
      <c r="Y288" s="64">
        <v>10</v>
      </c>
      <c r="Z288" s="64" t="s">
        <v>166</v>
      </c>
      <c r="AA288" s="64" t="s">
        <v>229</v>
      </c>
      <c r="AB288" s="64" t="s">
        <v>230</v>
      </c>
      <c r="AC288" s="64" t="s">
        <v>232</v>
      </c>
      <c r="AD288" s="64" t="s">
        <v>232</v>
      </c>
      <c r="AE288" s="64" t="s">
        <v>170</v>
      </c>
      <c r="AF288" s="64" t="s">
        <v>171</v>
      </c>
      <c r="AG288" s="1"/>
      <c r="AH288" s="1">
        <v>38</v>
      </c>
      <c r="AI288" s="1">
        <v>39</v>
      </c>
      <c r="AJ288" s="1">
        <v>40</v>
      </c>
      <c r="AK288" s="1">
        <v>2</v>
      </c>
      <c r="AL288" s="1">
        <v>4</v>
      </c>
      <c r="AM288" s="1">
        <v>3</v>
      </c>
      <c r="AN288" s="64" t="s">
        <v>233</v>
      </c>
    </row>
    <row r="289" spans="1:40" s="68" customFormat="1">
      <c r="A289" s="20">
        <v>0.25</v>
      </c>
      <c r="B289" s="64" t="s">
        <v>171</v>
      </c>
      <c r="C289" s="64" t="s">
        <v>234</v>
      </c>
      <c r="D289" s="64" t="s">
        <v>169</v>
      </c>
      <c r="E289" s="64" t="s">
        <v>235</v>
      </c>
      <c r="F289" s="64" t="s">
        <v>236</v>
      </c>
      <c r="G289" s="64" t="s">
        <v>164</v>
      </c>
      <c r="H289" s="64">
        <v>10</v>
      </c>
      <c r="I289" s="64" t="s">
        <v>165</v>
      </c>
      <c r="J289" s="64" t="s">
        <v>161</v>
      </c>
      <c r="K289" s="64" t="s">
        <v>237</v>
      </c>
      <c r="L289" s="64" t="s">
        <v>238</v>
      </c>
      <c r="M289" s="1">
        <v>2</v>
      </c>
      <c r="N289" s="1">
        <v>48</v>
      </c>
      <c r="O289" s="64" t="s">
        <v>239</v>
      </c>
      <c r="Q289" s="64" t="s">
        <v>159</v>
      </c>
      <c r="R289" s="64" t="s">
        <v>171</v>
      </c>
      <c r="S289" s="64" t="s">
        <v>234</v>
      </c>
      <c r="T289" s="64" t="s">
        <v>169</v>
      </c>
      <c r="U289" s="64" t="s">
        <v>235</v>
      </c>
      <c r="V289" s="64" t="s">
        <v>236</v>
      </c>
      <c r="W289" s="64" t="s">
        <v>164</v>
      </c>
      <c r="X289" s="64" t="s">
        <v>165</v>
      </c>
      <c r="Y289" s="64">
        <v>10</v>
      </c>
      <c r="Z289" s="64" t="s">
        <v>161</v>
      </c>
      <c r="AA289" s="64" t="s">
        <v>237</v>
      </c>
      <c r="AB289" s="64" t="s">
        <v>238</v>
      </c>
      <c r="AC289" s="64" t="s">
        <v>240</v>
      </c>
      <c r="AD289" s="64" t="s">
        <v>240</v>
      </c>
      <c r="AE289" s="64" t="s">
        <v>165</v>
      </c>
      <c r="AF289" s="64" t="s">
        <v>241</v>
      </c>
      <c r="AG289" s="1"/>
      <c r="AH289" s="1">
        <v>48</v>
      </c>
      <c r="AI289" s="1">
        <v>50</v>
      </c>
      <c r="AJ289" s="1">
        <v>51</v>
      </c>
      <c r="AK289" s="1">
        <v>2</v>
      </c>
      <c r="AL289" s="1">
        <v>4</v>
      </c>
      <c r="AM289" s="1">
        <v>3</v>
      </c>
      <c r="AN289" s="64" t="s">
        <v>242</v>
      </c>
    </row>
    <row r="290" spans="1:40" s="68" customFormat="1">
      <c r="A290" s="20">
        <v>0.25</v>
      </c>
      <c r="B290" s="64" t="s">
        <v>169</v>
      </c>
      <c r="C290" s="64" t="s">
        <v>243</v>
      </c>
      <c r="D290" s="64" t="s">
        <v>244</v>
      </c>
      <c r="E290" s="64" t="s">
        <v>245</v>
      </c>
      <c r="F290" s="64" t="s">
        <v>162</v>
      </c>
      <c r="G290" s="64" t="s">
        <v>164</v>
      </c>
      <c r="H290" s="64">
        <v>10</v>
      </c>
      <c r="I290" s="64" t="s">
        <v>165</v>
      </c>
      <c r="J290" s="64" t="s">
        <v>161</v>
      </c>
      <c r="K290" s="64" t="s">
        <v>246</v>
      </c>
      <c r="L290" s="64" t="s">
        <v>247</v>
      </c>
      <c r="M290" s="1">
        <v>2</v>
      </c>
      <c r="N290" s="1">
        <v>58</v>
      </c>
      <c r="O290" s="64" t="s">
        <v>248</v>
      </c>
      <c r="Q290" s="64" t="s">
        <v>159</v>
      </c>
      <c r="R290" s="64" t="s">
        <v>169</v>
      </c>
      <c r="S290" s="64" t="s">
        <v>243</v>
      </c>
      <c r="T290" s="64" t="s">
        <v>244</v>
      </c>
      <c r="U290" s="64" t="s">
        <v>245</v>
      </c>
      <c r="V290" s="64" t="s">
        <v>162</v>
      </c>
      <c r="W290" s="64" t="s">
        <v>164</v>
      </c>
      <c r="X290" s="64" t="s">
        <v>165</v>
      </c>
      <c r="Y290" s="64">
        <v>10</v>
      </c>
      <c r="Z290" s="64" t="s">
        <v>161</v>
      </c>
      <c r="AA290" s="64" t="s">
        <v>246</v>
      </c>
      <c r="AB290" s="64" t="s">
        <v>247</v>
      </c>
      <c r="AC290" s="64" t="s">
        <v>163</v>
      </c>
      <c r="AD290" s="64" t="s">
        <v>163</v>
      </c>
      <c r="AE290" s="64" t="s">
        <v>165</v>
      </c>
      <c r="AF290" s="64" t="s">
        <v>241</v>
      </c>
      <c r="AG290" s="1"/>
      <c r="AH290" s="1">
        <v>58</v>
      </c>
      <c r="AI290" s="1">
        <v>57</v>
      </c>
      <c r="AJ290" s="1">
        <v>58</v>
      </c>
      <c r="AK290" s="1">
        <v>2</v>
      </c>
      <c r="AL290" s="1">
        <v>4</v>
      </c>
      <c r="AM290" s="1">
        <v>3</v>
      </c>
      <c r="AN290" s="64" t="s">
        <v>249</v>
      </c>
    </row>
    <row r="291" spans="1:40" s="68" customFormat="1">
      <c r="A291" s="20">
        <v>0.25</v>
      </c>
      <c r="B291" s="64" t="s">
        <v>244</v>
      </c>
      <c r="C291" s="64" t="s">
        <v>250</v>
      </c>
      <c r="D291" s="64" t="s">
        <v>251</v>
      </c>
      <c r="E291" s="64" t="s">
        <v>252</v>
      </c>
      <c r="F291" s="64" t="s">
        <v>235</v>
      </c>
      <c r="G291" s="64" t="s">
        <v>161</v>
      </c>
      <c r="H291" s="64">
        <v>12</v>
      </c>
      <c r="I291" s="64" t="s">
        <v>165</v>
      </c>
      <c r="J291" s="64" t="s">
        <v>253</v>
      </c>
      <c r="K291" s="64" t="s">
        <v>254</v>
      </c>
      <c r="L291" s="64" t="s">
        <v>255</v>
      </c>
      <c r="M291" s="1">
        <v>2</v>
      </c>
      <c r="N291" s="1">
        <v>69</v>
      </c>
      <c r="O291" s="64" t="s">
        <v>256</v>
      </c>
      <c r="Q291" s="64" t="s">
        <v>159</v>
      </c>
      <c r="R291" s="64" t="s">
        <v>244</v>
      </c>
      <c r="S291" s="64" t="s">
        <v>250</v>
      </c>
      <c r="T291" s="64" t="s">
        <v>251</v>
      </c>
      <c r="U291" s="64" t="s">
        <v>252</v>
      </c>
      <c r="V291" s="64" t="s">
        <v>235</v>
      </c>
      <c r="W291" s="64" t="s">
        <v>161</v>
      </c>
      <c r="X291" s="64" t="s">
        <v>165</v>
      </c>
      <c r="Y291" s="64">
        <v>12</v>
      </c>
      <c r="Z291" s="64" t="s">
        <v>253</v>
      </c>
      <c r="AA291" s="64" t="s">
        <v>254</v>
      </c>
      <c r="AB291" s="64" t="s">
        <v>255</v>
      </c>
      <c r="AC291" s="64" t="s">
        <v>257</v>
      </c>
      <c r="AD291" s="64" t="s">
        <v>257</v>
      </c>
      <c r="AE291" s="64" t="s">
        <v>258</v>
      </c>
      <c r="AF291" s="64" t="s">
        <v>238</v>
      </c>
      <c r="AG291" s="1"/>
      <c r="AH291" s="1">
        <v>69</v>
      </c>
      <c r="AI291" s="1">
        <v>65</v>
      </c>
      <c r="AJ291" s="1">
        <v>66</v>
      </c>
      <c r="AK291" s="1">
        <v>2</v>
      </c>
      <c r="AL291" s="1">
        <v>4</v>
      </c>
      <c r="AM291" s="1">
        <v>3</v>
      </c>
      <c r="AN291" s="64" t="s">
        <v>259</v>
      </c>
    </row>
    <row r="292" spans="1:40" s="68" customFormat="1">
      <c r="A292" s="20">
        <v>0.25</v>
      </c>
      <c r="B292" s="64" t="s">
        <v>240</v>
      </c>
      <c r="C292" s="64" t="s">
        <v>260</v>
      </c>
      <c r="D292" s="64" t="s">
        <v>261</v>
      </c>
      <c r="E292" s="64" t="s">
        <v>262</v>
      </c>
      <c r="F292" s="64" t="s">
        <v>245</v>
      </c>
      <c r="G292" s="64" t="s">
        <v>161</v>
      </c>
      <c r="H292" s="64">
        <v>12</v>
      </c>
      <c r="I292" s="64" t="s">
        <v>165</v>
      </c>
      <c r="J292" s="64" t="s">
        <v>253</v>
      </c>
      <c r="K292" s="64" t="s">
        <v>263</v>
      </c>
      <c r="L292" s="64" t="s">
        <v>264</v>
      </c>
      <c r="M292" s="1">
        <v>2</v>
      </c>
      <c r="N292" s="1">
        <v>78</v>
      </c>
      <c r="O292" s="64" t="s">
        <v>265</v>
      </c>
      <c r="Q292" s="64" t="s">
        <v>159</v>
      </c>
      <c r="R292" s="64" t="s">
        <v>240</v>
      </c>
      <c r="S292" s="64" t="s">
        <v>260</v>
      </c>
      <c r="T292" s="64" t="s">
        <v>261</v>
      </c>
      <c r="U292" s="64" t="s">
        <v>262</v>
      </c>
      <c r="V292" s="64" t="s">
        <v>245</v>
      </c>
      <c r="W292" s="64" t="s">
        <v>161</v>
      </c>
      <c r="X292" s="64" t="s">
        <v>165</v>
      </c>
      <c r="Y292" s="64">
        <v>12</v>
      </c>
      <c r="Z292" s="64" t="s">
        <v>253</v>
      </c>
      <c r="AA292" s="64" t="s">
        <v>263</v>
      </c>
      <c r="AB292" s="64" t="s">
        <v>264</v>
      </c>
      <c r="AC292" s="64" t="s">
        <v>266</v>
      </c>
      <c r="AD292" s="64" t="s">
        <v>266</v>
      </c>
      <c r="AE292" s="64" t="s">
        <v>258</v>
      </c>
      <c r="AF292" s="64" t="s">
        <v>238</v>
      </c>
      <c r="AG292" s="1"/>
      <c r="AH292" s="1">
        <v>78</v>
      </c>
      <c r="AI292" s="1">
        <v>75</v>
      </c>
      <c r="AJ292" s="1">
        <v>76</v>
      </c>
      <c r="AK292" s="1">
        <v>2</v>
      </c>
      <c r="AL292" s="1">
        <v>4</v>
      </c>
      <c r="AM292" s="1">
        <v>3</v>
      </c>
      <c r="AN292" s="64" t="s">
        <v>267</v>
      </c>
    </row>
    <row r="293" spans="1:40" s="68" customFormat="1">
      <c r="A293" s="20">
        <v>0.25</v>
      </c>
      <c r="B293" s="64" t="s">
        <v>163</v>
      </c>
      <c r="C293" s="64" t="s">
        <v>268</v>
      </c>
      <c r="D293" s="64" t="s">
        <v>269</v>
      </c>
      <c r="E293" s="64" t="s">
        <v>270</v>
      </c>
      <c r="F293" s="64" t="s">
        <v>271</v>
      </c>
      <c r="G293" s="64" t="s">
        <v>161</v>
      </c>
      <c r="H293" s="64">
        <v>12</v>
      </c>
      <c r="I293" s="64" t="s">
        <v>165</v>
      </c>
      <c r="J293" s="64" t="s">
        <v>253</v>
      </c>
      <c r="K293" s="64" t="s">
        <v>272</v>
      </c>
      <c r="L293" s="64" t="s">
        <v>273</v>
      </c>
      <c r="M293" s="1">
        <v>2</v>
      </c>
      <c r="N293" s="1">
        <v>88</v>
      </c>
      <c r="O293" s="64" t="s">
        <v>274</v>
      </c>
      <c r="Q293" s="64" t="s">
        <v>159</v>
      </c>
      <c r="R293" s="64" t="s">
        <v>163</v>
      </c>
      <c r="S293" s="64" t="s">
        <v>268</v>
      </c>
      <c r="T293" s="64" t="s">
        <v>269</v>
      </c>
      <c r="U293" s="64" t="s">
        <v>270</v>
      </c>
      <c r="V293" s="64" t="s">
        <v>271</v>
      </c>
      <c r="W293" s="64" t="s">
        <v>161</v>
      </c>
      <c r="X293" s="64" t="s">
        <v>165</v>
      </c>
      <c r="Y293" s="64">
        <v>12</v>
      </c>
      <c r="Z293" s="64" t="s">
        <v>253</v>
      </c>
      <c r="AA293" s="64" t="s">
        <v>272</v>
      </c>
      <c r="AB293" s="64" t="s">
        <v>273</v>
      </c>
      <c r="AC293" s="64" t="s">
        <v>227</v>
      </c>
      <c r="AD293" s="64" t="s">
        <v>227</v>
      </c>
      <c r="AE293" s="64" t="s">
        <v>258</v>
      </c>
      <c r="AF293" s="64" t="s">
        <v>275</v>
      </c>
      <c r="AG293" s="1"/>
      <c r="AH293" s="1">
        <v>88</v>
      </c>
      <c r="AI293" s="1">
        <v>87</v>
      </c>
      <c r="AJ293" s="1">
        <v>88</v>
      </c>
      <c r="AK293" s="1">
        <v>2</v>
      </c>
      <c r="AL293" s="1">
        <v>4</v>
      </c>
      <c r="AM293" s="1">
        <v>3</v>
      </c>
      <c r="AN293" s="64" t="s">
        <v>276</v>
      </c>
    </row>
    <row r="294" spans="1:40" s="68" customFormat="1">
      <c r="A294" s="20">
        <v>0.25</v>
      </c>
      <c r="B294" s="64" t="s">
        <v>236</v>
      </c>
      <c r="C294" s="64" t="s">
        <v>277</v>
      </c>
      <c r="D294" s="64" t="s">
        <v>278</v>
      </c>
      <c r="E294" s="64" t="s">
        <v>279</v>
      </c>
      <c r="F294" s="64" t="s">
        <v>262</v>
      </c>
      <c r="G294" s="64" t="s">
        <v>161</v>
      </c>
      <c r="H294" s="64">
        <v>12</v>
      </c>
      <c r="I294" s="64" t="s">
        <v>165</v>
      </c>
      <c r="J294" s="64" t="s">
        <v>253</v>
      </c>
      <c r="K294" s="64" t="s">
        <v>280</v>
      </c>
      <c r="L294" s="64" t="s">
        <v>281</v>
      </c>
      <c r="M294" s="1">
        <v>2</v>
      </c>
      <c r="N294" s="1">
        <v>108</v>
      </c>
      <c r="O294" s="64" t="s">
        <v>282</v>
      </c>
      <c r="Q294" s="64" t="s">
        <v>159</v>
      </c>
      <c r="R294" s="64" t="s">
        <v>236</v>
      </c>
      <c r="S294" s="64" t="s">
        <v>277</v>
      </c>
      <c r="T294" s="64" t="s">
        <v>278</v>
      </c>
      <c r="U294" s="64" t="s">
        <v>279</v>
      </c>
      <c r="V294" s="64" t="s">
        <v>262</v>
      </c>
      <c r="W294" s="64" t="s">
        <v>161</v>
      </c>
      <c r="X294" s="64" t="s">
        <v>165</v>
      </c>
      <c r="Y294" s="64">
        <v>12</v>
      </c>
      <c r="Z294" s="64" t="s">
        <v>253</v>
      </c>
      <c r="AA294" s="64" t="s">
        <v>280</v>
      </c>
      <c r="AB294" s="64" t="s">
        <v>281</v>
      </c>
      <c r="AC294" s="64" t="s">
        <v>245</v>
      </c>
      <c r="AD294" s="64" t="s">
        <v>245</v>
      </c>
      <c r="AE294" s="64" t="s">
        <v>283</v>
      </c>
      <c r="AF294" s="64" t="s">
        <v>244</v>
      </c>
      <c r="AG294" s="1"/>
      <c r="AH294" s="1">
        <v>108</v>
      </c>
      <c r="AI294" s="1">
        <v>109</v>
      </c>
      <c r="AJ294" s="1">
        <v>110</v>
      </c>
      <c r="AK294" s="1">
        <v>2</v>
      </c>
      <c r="AL294" s="1">
        <v>4</v>
      </c>
      <c r="AM294" s="1">
        <v>3</v>
      </c>
      <c r="AN294" s="64" t="s">
        <v>284</v>
      </c>
    </row>
    <row r="295" spans="1:40" s="68" customFormat="1">
      <c r="A295" s="20">
        <v>0.25</v>
      </c>
      <c r="B295" s="64" t="s">
        <v>227</v>
      </c>
      <c r="C295" s="64" t="s">
        <v>285</v>
      </c>
      <c r="D295" s="64" t="s">
        <v>286</v>
      </c>
      <c r="E295" s="64" t="s">
        <v>287</v>
      </c>
      <c r="F295" s="64" t="s">
        <v>288</v>
      </c>
      <c r="G295" s="64" t="s">
        <v>167</v>
      </c>
      <c r="H295" s="64">
        <v>16</v>
      </c>
      <c r="I295" s="64" t="s">
        <v>165</v>
      </c>
      <c r="J295" s="64" t="s">
        <v>167</v>
      </c>
      <c r="K295" s="64" t="s">
        <v>289</v>
      </c>
      <c r="L295" s="64" t="s">
        <v>290</v>
      </c>
      <c r="M295" s="1">
        <v>2</v>
      </c>
      <c r="N295" s="1">
        <v>124</v>
      </c>
      <c r="O295" s="64" t="s">
        <v>291</v>
      </c>
      <c r="Q295" s="64" t="s">
        <v>159</v>
      </c>
      <c r="R295" s="64" t="s">
        <v>227</v>
      </c>
      <c r="S295" s="64" t="s">
        <v>285</v>
      </c>
      <c r="T295" s="64" t="s">
        <v>286</v>
      </c>
      <c r="U295" s="64" t="s">
        <v>287</v>
      </c>
      <c r="V295" s="64" t="s">
        <v>288</v>
      </c>
      <c r="W295" s="64" t="s">
        <v>167</v>
      </c>
      <c r="X295" s="64" t="s">
        <v>165</v>
      </c>
      <c r="Y295" s="64">
        <v>16</v>
      </c>
      <c r="Z295" s="64" t="s">
        <v>167</v>
      </c>
      <c r="AA295" s="64" t="s">
        <v>289</v>
      </c>
      <c r="AB295" s="64" t="s">
        <v>290</v>
      </c>
      <c r="AC295" s="64" t="s">
        <v>271</v>
      </c>
      <c r="AD295" s="64" t="s">
        <v>271</v>
      </c>
      <c r="AE295" s="64" t="s">
        <v>283</v>
      </c>
      <c r="AF295" s="64" t="s">
        <v>292</v>
      </c>
      <c r="AG295" s="1"/>
      <c r="AH295" s="1">
        <v>124</v>
      </c>
      <c r="AI295" s="1">
        <v>120</v>
      </c>
      <c r="AJ295" s="1">
        <v>121</v>
      </c>
      <c r="AK295" s="1">
        <v>2</v>
      </c>
      <c r="AL295" s="1">
        <v>4</v>
      </c>
      <c r="AM295" s="1">
        <v>3</v>
      </c>
      <c r="AN295" s="64" t="s">
        <v>293</v>
      </c>
    </row>
    <row r="296" spans="1:40" s="68" customFormat="1">
      <c r="A296" s="20">
        <v>0.25</v>
      </c>
      <c r="B296" s="64" t="s">
        <v>245</v>
      </c>
      <c r="C296" s="64" t="s">
        <v>294</v>
      </c>
      <c r="D296" s="64" t="s">
        <v>295</v>
      </c>
      <c r="E296" s="64" t="s">
        <v>296</v>
      </c>
      <c r="F296" s="64" t="s">
        <v>297</v>
      </c>
      <c r="G296" s="64" t="s">
        <v>167</v>
      </c>
      <c r="H296" s="64">
        <v>16</v>
      </c>
      <c r="I296" s="64" t="s">
        <v>165</v>
      </c>
      <c r="J296" s="64" t="s">
        <v>167</v>
      </c>
      <c r="K296" s="64" t="s">
        <v>298</v>
      </c>
      <c r="L296" s="64" t="s">
        <v>271</v>
      </c>
      <c r="M296" s="1">
        <v>2</v>
      </c>
      <c r="N296" s="1">
        <v>144</v>
      </c>
      <c r="O296" s="64" t="s">
        <v>299</v>
      </c>
      <c r="Q296" s="64" t="s">
        <v>159</v>
      </c>
      <c r="R296" s="64" t="s">
        <v>245</v>
      </c>
      <c r="S296" s="64" t="s">
        <v>294</v>
      </c>
      <c r="T296" s="64" t="s">
        <v>295</v>
      </c>
      <c r="U296" s="64" t="s">
        <v>296</v>
      </c>
      <c r="V296" s="64" t="s">
        <v>297</v>
      </c>
      <c r="W296" s="64" t="s">
        <v>167</v>
      </c>
      <c r="X296" s="64" t="s">
        <v>165</v>
      </c>
      <c r="Y296" s="64">
        <v>16</v>
      </c>
      <c r="Z296" s="64" t="s">
        <v>167</v>
      </c>
      <c r="AA296" s="64" t="s">
        <v>298</v>
      </c>
      <c r="AB296" s="64" t="s">
        <v>271</v>
      </c>
      <c r="AC296" s="64" t="s">
        <v>262</v>
      </c>
      <c r="AD296" s="64" t="s">
        <v>262</v>
      </c>
      <c r="AE296" s="64" t="s">
        <v>283</v>
      </c>
      <c r="AF296" s="64" t="s">
        <v>240</v>
      </c>
      <c r="AG296" s="1"/>
      <c r="AH296" s="1">
        <v>144</v>
      </c>
      <c r="AI296" s="1">
        <v>149</v>
      </c>
      <c r="AJ296" s="1">
        <v>150</v>
      </c>
      <c r="AK296" s="1">
        <v>2</v>
      </c>
      <c r="AL296" s="1">
        <v>4.5</v>
      </c>
      <c r="AM296" s="1">
        <v>3.5</v>
      </c>
      <c r="AN296" s="64" t="s">
        <v>300</v>
      </c>
    </row>
    <row r="297" spans="1:40" s="68" customFormat="1">
      <c r="A297" s="20">
        <v>0.25</v>
      </c>
      <c r="B297" s="64" t="s">
        <v>301</v>
      </c>
      <c r="C297" s="64" t="s">
        <v>302</v>
      </c>
      <c r="D297" s="64" t="s">
        <v>303</v>
      </c>
      <c r="E297" s="64" t="s">
        <v>304</v>
      </c>
      <c r="F297" s="64" t="s">
        <v>305</v>
      </c>
      <c r="G297" s="64" t="s">
        <v>167</v>
      </c>
      <c r="H297" s="64">
        <v>16</v>
      </c>
      <c r="I297" s="64" t="s">
        <v>306</v>
      </c>
      <c r="J297" s="64" t="s">
        <v>171</v>
      </c>
      <c r="K297" s="64" t="s">
        <v>307</v>
      </c>
      <c r="L297" s="64" t="s">
        <v>308</v>
      </c>
      <c r="M297" s="1">
        <v>2</v>
      </c>
      <c r="N297" s="1">
        <v>174</v>
      </c>
      <c r="O297" s="64" t="s">
        <v>309</v>
      </c>
      <c r="Q297" s="64" t="s">
        <v>159</v>
      </c>
      <c r="R297" s="64" t="s">
        <v>301</v>
      </c>
      <c r="S297" s="64" t="s">
        <v>302</v>
      </c>
      <c r="T297" s="64" t="s">
        <v>303</v>
      </c>
      <c r="U297" s="64" t="s">
        <v>304</v>
      </c>
      <c r="V297" s="64" t="s">
        <v>305</v>
      </c>
      <c r="W297" s="64" t="s">
        <v>167</v>
      </c>
      <c r="X297" s="64" t="s">
        <v>306</v>
      </c>
      <c r="Y297" s="64">
        <v>16</v>
      </c>
      <c r="Z297" s="64" t="s">
        <v>171</v>
      </c>
      <c r="AA297" s="64" t="s">
        <v>307</v>
      </c>
      <c r="AB297" s="64" t="s">
        <v>308</v>
      </c>
      <c r="AC297" s="64" t="s">
        <v>279</v>
      </c>
      <c r="AD297" s="64" t="s">
        <v>279</v>
      </c>
      <c r="AE297" s="64" t="s">
        <v>283</v>
      </c>
      <c r="AF297" s="64" t="s">
        <v>310</v>
      </c>
      <c r="AG297" s="1"/>
      <c r="AH297" s="1">
        <v>174</v>
      </c>
      <c r="AI297" s="1">
        <v>175</v>
      </c>
      <c r="AJ297" s="1">
        <v>176</v>
      </c>
      <c r="AK297" s="1">
        <v>2</v>
      </c>
      <c r="AL297" s="1">
        <v>4.5</v>
      </c>
      <c r="AM297" s="1">
        <v>3.5</v>
      </c>
      <c r="AN297" s="64" t="s">
        <v>311</v>
      </c>
    </row>
    <row r="298" spans="1:40" s="68" customFormat="1">
      <c r="A298" s="20">
        <v>0.25</v>
      </c>
      <c r="B298" s="64" t="s">
        <v>288</v>
      </c>
      <c r="C298" s="64" t="s">
        <v>312</v>
      </c>
      <c r="D298" s="64" t="s">
        <v>313</v>
      </c>
      <c r="E298" s="64" t="s">
        <v>314</v>
      </c>
      <c r="F298" s="64" t="s">
        <v>315</v>
      </c>
      <c r="G298" s="64" t="s">
        <v>167</v>
      </c>
      <c r="H298" s="64">
        <v>16</v>
      </c>
      <c r="I298" s="64" t="s">
        <v>306</v>
      </c>
      <c r="J298" s="64" t="s">
        <v>171</v>
      </c>
      <c r="K298" s="64" t="s">
        <v>316</v>
      </c>
      <c r="L298" s="64" t="s">
        <v>317</v>
      </c>
      <c r="M298" s="1">
        <v>2</v>
      </c>
      <c r="N298" s="1">
        <v>199</v>
      </c>
      <c r="O298" s="64" t="s">
        <v>318</v>
      </c>
      <c r="Q298" s="64" t="s">
        <v>159</v>
      </c>
      <c r="R298" s="64" t="s">
        <v>288</v>
      </c>
      <c r="S298" s="64" t="s">
        <v>312</v>
      </c>
      <c r="T298" s="64" t="s">
        <v>313</v>
      </c>
      <c r="U298" s="64" t="s">
        <v>314</v>
      </c>
      <c r="V298" s="64" t="s">
        <v>315</v>
      </c>
      <c r="W298" s="64" t="s">
        <v>167</v>
      </c>
      <c r="X298" s="64" t="s">
        <v>306</v>
      </c>
      <c r="Y298" s="64">
        <v>16</v>
      </c>
      <c r="Z298" s="64" t="s">
        <v>171</v>
      </c>
      <c r="AA298" s="64" t="s">
        <v>316</v>
      </c>
      <c r="AB298" s="64" t="s">
        <v>317</v>
      </c>
      <c r="AC298" s="64" t="s">
        <v>319</v>
      </c>
      <c r="AD298" s="64" t="s">
        <v>319</v>
      </c>
      <c r="AE298" s="64" t="s">
        <v>306</v>
      </c>
      <c r="AF298" s="64" t="s">
        <v>310</v>
      </c>
      <c r="AG298" s="1"/>
      <c r="AH298" s="1">
        <v>199</v>
      </c>
      <c r="AI298" s="1">
        <v>203</v>
      </c>
      <c r="AJ298" s="1">
        <v>204</v>
      </c>
      <c r="AK298" s="1">
        <v>2</v>
      </c>
      <c r="AL298" s="1">
        <v>4.5</v>
      </c>
      <c r="AM298" s="1">
        <v>3.5</v>
      </c>
      <c r="AN298" s="64" t="s">
        <v>320</v>
      </c>
    </row>
    <row r="299" spans="1:40" s="68" customFormat="1">
      <c r="A299" s="20">
        <v>0.25</v>
      </c>
      <c r="B299" s="64" t="s">
        <v>305</v>
      </c>
      <c r="C299" s="64" t="s">
        <v>321</v>
      </c>
      <c r="D299" s="64" t="s">
        <v>322</v>
      </c>
      <c r="E299" s="64" t="s">
        <v>323</v>
      </c>
      <c r="F299" s="64" t="s">
        <v>324</v>
      </c>
      <c r="G299" s="64" t="s">
        <v>167</v>
      </c>
      <c r="H299" s="64">
        <v>16</v>
      </c>
      <c r="I299" s="64" t="s">
        <v>306</v>
      </c>
      <c r="J299" s="64" t="s">
        <v>229</v>
      </c>
      <c r="K299" s="64" t="s">
        <v>325</v>
      </c>
      <c r="L299" s="64" t="s">
        <v>326</v>
      </c>
      <c r="M299" s="1">
        <v>2</v>
      </c>
      <c r="N299" s="1">
        <v>254</v>
      </c>
      <c r="O299" s="64" t="s">
        <v>327</v>
      </c>
      <c r="Q299" s="64" t="s">
        <v>159</v>
      </c>
      <c r="R299" s="64" t="s">
        <v>305</v>
      </c>
      <c r="S299" s="64" t="s">
        <v>321</v>
      </c>
      <c r="T299" s="64" t="s">
        <v>322</v>
      </c>
      <c r="U299" s="64" t="s">
        <v>323</v>
      </c>
      <c r="V299" s="64" t="s">
        <v>324</v>
      </c>
      <c r="W299" s="64" t="s">
        <v>167</v>
      </c>
      <c r="X299" s="64" t="s">
        <v>306</v>
      </c>
      <c r="Y299" s="64">
        <v>16</v>
      </c>
      <c r="Z299" s="64" t="s">
        <v>229</v>
      </c>
      <c r="AA299" s="64" t="s">
        <v>325</v>
      </c>
      <c r="AB299" s="64" t="s">
        <v>326</v>
      </c>
      <c r="AC299" s="64" t="s">
        <v>304</v>
      </c>
      <c r="AD299" s="64" t="s">
        <v>304</v>
      </c>
      <c r="AE299" s="64" t="s">
        <v>306</v>
      </c>
      <c r="AF299" s="64" t="s">
        <v>310</v>
      </c>
      <c r="AG299" s="1"/>
      <c r="AH299" s="1">
        <v>254</v>
      </c>
      <c r="AI299" s="1">
        <v>259</v>
      </c>
      <c r="AJ299" s="1">
        <v>260</v>
      </c>
      <c r="AK299" s="1">
        <v>2</v>
      </c>
      <c r="AL299" s="1">
        <v>4.5</v>
      </c>
      <c r="AM299" s="1">
        <v>3.5</v>
      </c>
      <c r="AN299" s="64" t="s">
        <v>328</v>
      </c>
    </row>
    <row r="300" spans="1:40" s="68" customFormat="1">
      <c r="A300" s="20">
        <v>0.25</v>
      </c>
      <c r="B300" s="64" t="s">
        <v>329</v>
      </c>
      <c r="C300" s="64" t="s">
        <v>330</v>
      </c>
      <c r="D300" s="64" t="s">
        <v>330</v>
      </c>
      <c r="E300" s="64" t="s">
        <v>331</v>
      </c>
      <c r="F300" s="64" t="s">
        <v>332</v>
      </c>
      <c r="G300" s="64" t="s">
        <v>167</v>
      </c>
      <c r="H300" s="64">
        <v>16</v>
      </c>
      <c r="I300" s="64" t="s">
        <v>166</v>
      </c>
      <c r="J300" s="64" t="s">
        <v>241</v>
      </c>
      <c r="K300" s="64" t="s">
        <v>333</v>
      </c>
      <c r="L300" s="64" t="s">
        <v>334</v>
      </c>
      <c r="M300" s="1">
        <v>2</v>
      </c>
      <c r="N300" s="1">
        <v>309</v>
      </c>
      <c r="O300" s="64" t="s">
        <v>335</v>
      </c>
      <c r="Q300" s="64" t="s">
        <v>159</v>
      </c>
      <c r="R300" s="64" t="s">
        <v>329</v>
      </c>
      <c r="S300" s="64" t="s">
        <v>330</v>
      </c>
      <c r="T300" s="64" t="s">
        <v>330</v>
      </c>
      <c r="U300" s="64" t="s">
        <v>331</v>
      </c>
      <c r="V300" s="64" t="s">
        <v>332</v>
      </c>
      <c r="W300" s="64" t="s">
        <v>167</v>
      </c>
      <c r="X300" s="64" t="s">
        <v>166</v>
      </c>
      <c r="Y300" s="64">
        <v>16</v>
      </c>
      <c r="Z300" s="64" t="s">
        <v>241</v>
      </c>
      <c r="AA300" s="64" t="s">
        <v>333</v>
      </c>
      <c r="AB300" s="64" t="s">
        <v>334</v>
      </c>
      <c r="AC300" s="64" t="s">
        <v>336</v>
      </c>
      <c r="AD300" s="64" t="s">
        <v>336</v>
      </c>
      <c r="AE300" s="64" t="s">
        <v>224</v>
      </c>
      <c r="AF300" s="64" t="s">
        <v>310</v>
      </c>
      <c r="AG300" s="1"/>
      <c r="AH300" s="1">
        <v>309</v>
      </c>
      <c r="AI300" s="1">
        <v>312</v>
      </c>
      <c r="AJ300" s="1">
        <v>313</v>
      </c>
      <c r="AK300" s="1">
        <v>2</v>
      </c>
      <c r="AL300" s="1">
        <v>4.5</v>
      </c>
      <c r="AM300" s="1">
        <v>3.5</v>
      </c>
      <c r="AN300" s="64" t="s">
        <v>337</v>
      </c>
    </row>
    <row r="301" spans="1:40" s="68" customFormat="1">
      <c r="A301" s="20">
        <v>0.25</v>
      </c>
      <c r="B301" s="64" t="s">
        <v>338</v>
      </c>
      <c r="C301" s="64" t="s">
        <v>339</v>
      </c>
      <c r="D301" s="64" t="s">
        <v>340</v>
      </c>
      <c r="E301" s="64" t="s">
        <v>341</v>
      </c>
      <c r="F301" s="64" t="s">
        <v>342</v>
      </c>
      <c r="G301" s="64" t="s">
        <v>229</v>
      </c>
      <c r="H301" s="64">
        <v>20</v>
      </c>
      <c r="I301" s="64" t="s">
        <v>166</v>
      </c>
      <c r="J301" s="64" t="s">
        <v>241</v>
      </c>
      <c r="K301" s="64" t="s">
        <v>343</v>
      </c>
      <c r="L301" s="64" t="s">
        <v>344</v>
      </c>
      <c r="M301" s="1">
        <v>2</v>
      </c>
      <c r="N301" s="1">
        <v>363</v>
      </c>
      <c r="O301" s="64" t="s">
        <v>345</v>
      </c>
      <c r="Q301" s="64" t="s">
        <v>159</v>
      </c>
      <c r="R301" s="64" t="s">
        <v>338</v>
      </c>
      <c r="S301" s="64" t="s">
        <v>339</v>
      </c>
      <c r="T301" s="64" t="s">
        <v>340</v>
      </c>
      <c r="U301" s="64" t="s">
        <v>341</v>
      </c>
      <c r="V301" s="64" t="s">
        <v>342</v>
      </c>
      <c r="W301" s="64" t="s">
        <v>229</v>
      </c>
      <c r="X301" s="64" t="s">
        <v>166</v>
      </c>
      <c r="Y301" s="64">
        <v>20</v>
      </c>
      <c r="Z301" s="64" t="s">
        <v>241</v>
      </c>
      <c r="AA301" s="64" t="s">
        <v>343</v>
      </c>
      <c r="AB301" s="64" t="s">
        <v>344</v>
      </c>
      <c r="AC301" s="64" t="s">
        <v>346</v>
      </c>
      <c r="AD301" s="64" t="s">
        <v>346</v>
      </c>
      <c r="AE301" s="64" t="s">
        <v>224</v>
      </c>
      <c r="AF301" s="64" t="s">
        <v>310</v>
      </c>
      <c r="AG301" s="1"/>
      <c r="AH301" s="1">
        <v>363</v>
      </c>
      <c r="AI301" s="1">
        <v>363</v>
      </c>
      <c r="AJ301" s="1">
        <v>364</v>
      </c>
      <c r="AK301" s="1">
        <v>2</v>
      </c>
      <c r="AL301" s="1">
        <v>4.5</v>
      </c>
      <c r="AM301" s="1">
        <v>3.5</v>
      </c>
      <c r="AN301" s="64" t="s">
        <v>347</v>
      </c>
    </row>
    <row r="302" spans="1:40" s="68" customFormat="1">
      <c r="A302" s="20">
        <v>0.25</v>
      </c>
      <c r="B302" s="64" t="s">
        <v>348</v>
      </c>
      <c r="C302" s="64" t="s">
        <v>349</v>
      </c>
      <c r="D302" s="64" t="s">
        <v>350</v>
      </c>
      <c r="E302" s="64" t="s">
        <v>351</v>
      </c>
      <c r="F302" s="64" t="s">
        <v>352</v>
      </c>
      <c r="G302" s="64" t="s">
        <v>229</v>
      </c>
      <c r="H302" s="64">
        <v>20</v>
      </c>
      <c r="I302" s="64" t="s">
        <v>166</v>
      </c>
      <c r="J302" s="64" t="s">
        <v>238</v>
      </c>
      <c r="K302" s="64" t="s">
        <v>353</v>
      </c>
      <c r="L302" s="64" t="s">
        <v>354</v>
      </c>
      <c r="M302" s="1">
        <v>2</v>
      </c>
      <c r="N302" s="1">
        <v>413</v>
      </c>
      <c r="O302" s="64" t="s">
        <v>355</v>
      </c>
      <c r="Q302" s="64" t="s">
        <v>356</v>
      </c>
      <c r="R302" s="64" t="s">
        <v>224</v>
      </c>
      <c r="S302" s="64" t="s">
        <v>160</v>
      </c>
      <c r="T302" s="64" t="s">
        <v>161</v>
      </c>
      <c r="U302" s="64" t="s">
        <v>235</v>
      </c>
      <c r="V302" s="64" t="s">
        <v>257</v>
      </c>
      <c r="W302" s="64" t="s">
        <v>161</v>
      </c>
      <c r="X302" s="64" t="s">
        <v>165</v>
      </c>
      <c r="Y302" s="64">
        <v>12</v>
      </c>
      <c r="Z302" s="64" t="s">
        <v>161</v>
      </c>
      <c r="AA302" s="64" t="s">
        <v>167</v>
      </c>
      <c r="AB302" s="64" t="s">
        <v>168</v>
      </c>
      <c r="AC302" s="64" t="s">
        <v>232</v>
      </c>
      <c r="AD302" s="64" t="s">
        <v>232</v>
      </c>
      <c r="AE302" s="64" t="s">
        <v>170</v>
      </c>
      <c r="AF302" s="64" t="s">
        <v>229</v>
      </c>
      <c r="AG302" s="1"/>
      <c r="AH302" s="1">
        <v>41</v>
      </c>
      <c r="AI302" s="1">
        <v>34</v>
      </c>
      <c r="AJ302" s="1">
        <v>35</v>
      </c>
      <c r="AK302" s="1">
        <v>2</v>
      </c>
      <c r="AL302" s="1">
        <v>4</v>
      </c>
      <c r="AM302" s="1">
        <v>3</v>
      </c>
      <c r="AN302" s="64" t="s">
        <v>357</v>
      </c>
    </row>
    <row r="303" spans="1:40" s="68" customFormat="1">
      <c r="A303" s="20">
        <v>0.25</v>
      </c>
      <c r="B303" s="64" t="s">
        <v>358</v>
      </c>
      <c r="C303" s="64" t="s">
        <v>359</v>
      </c>
      <c r="D303" s="64" t="s">
        <v>360</v>
      </c>
      <c r="E303" s="64" t="s">
        <v>361</v>
      </c>
      <c r="F303" s="64" t="s">
        <v>362</v>
      </c>
      <c r="G303" s="64" t="s">
        <v>229</v>
      </c>
      <c r="H303" s="64">
        <v>20</v>
      </c>
      <c r="I303" s="64" t="s">
        <v>253</v>
      </c>
      <c r="J303" s="64" t="s">
        <v>275</v>
      </c>
      <c r="K303" s="64" t="s">
        <v>363</v>
      </c>
      <c r="L303" s="64" t="s">
        <v>364</v>
      </c>
      <c r="M303" s="1">
        <v>2</v>
      </c>
      <c r="N303" s="1">
        <v>463</v>
      </c>
      <c r="O303" s="64" t="s">
        <v>365</v>
      </c>
      <c r="Q303" s="64" t="s">
        <v>356</v>
      </c>
      <c r="R303" s="64" t="s">
        <v>168</v>
      </c>
      <c r="S303" s="64" t="s">
        <v>226</v>
      </c>
      <c r="T303" s="64" t="s">
        <v>167</v>
      </c>
      <c r="U303" s="64" t="s">
        <v>366</v>
      </c>
      <c r="V303" s="64" t="s">
        <v>236</v>
      </c>
      <c r="W303" s="64" t="s">
        <v>161</v>
      </c>
      <c r="X303" s="64" t="s">
        <v>165</v>
      </c>
      <c r="Y303" s="64">
        <v>12</v>
      </c>
      <c r="Z303" s="64" t="s">
        <v>161</v>
      </c>
      <c r="AA303" s="64" t="s">
        <v>229</v>
      </c>
      <c r="AB303" s="64" t="s">
        <v>230</v>
      </c>
      <c r="AC303" s="64" t="s">
        <v>367</v>
      </c>
      <c r="AD303" s="64" t="s">
        <v>367</v>
      </c>
      <c r="AE303" s="64" t="s">
        <v>170</v>
      </c>
      <c r="AF303" s="64" t="s">
        <v>229</v>
      </c>
      <c r="AG303" s="1"/>
      <c r="AH303" s="1">
        <v>46</v>
      </c>
      <c r="AI303" s="1">
        <v>39</v>
      </c>
      <c r="AJ303" s="1">
        <v>40</v>
      </c>
      <c r="AK303" s="1">
        <v>2</v>
      </c>
      <c r="AL303" s="1">
        <v>4</v>
      </c>
      <c r="AM303" s="1">
        <v>3</v>
      </c>
      <c r="AN303" s="64" t="s">
        <v>368</v>
      </c>
    </row>
    <row r="304" spans="1:40" s="68" customFormat="1">
      <c r="A304" s="20">
        <v>0.25</v>
      </c>
      <c r="B304" s="64" t="s">
        <v>369</v>
      </c>
      <c r="C304" s="64" t="s">
        <v>370</v>
      </c>
      <c r="D304" s="64" t="s">
        <v>371</v>
      </c>
      <c r="E304" s="64" t="s">
        <v>372</v>
      </c>
      <c r="F304" s="64" t="s">
        <v>373</v>
      </c>
      <c r="G304" s="64" t="s">
        <v>229</v>
      </c>
      <c r="H304" s="64">
        <v>20</v>
      </c>
      <c r="I304" s="64" t="s">
        <v>253</v>
      </c>
      <c r="J304" s="64" t="s">
        <v>232</v>
      </c>
      <c r="K304" s="64" t="s">
        <v>374</v>
      </c>
      <c r="L304" s="64" t="s">
        <v>375</v>
      </c>
      <c r="M304" s="1">
        <v>2</v>
      </c>
      <c r="N304" s="1">
        <v>518</v>
      </c>
      <c r="O304" s="64" t="s">
        <v>376</v>
      </c>
      <c r="Q304" s="64" t="s">
        <v>356</v>
      </c>
      <c r="R304" s="64" t="s">
        <v>171</v>
      </c>
      <c r="S304" s="64" t="s">
        <v>234</v>
      </c>
      <c r="T304" s="64" t="s">
        <v>169</v>
      </c>
      <c r="U304" s="64" t="s">
        <v>377</v>
      </c>
      <c r="V304" s="64" t="s">
        <v>162</v>
      </c>
      <c r="W304" s="64" t="s">
        <v>161</v>
      </c>
      <c r="X304" s="64" t="s">
        <v>165</v>
      </c>
      <c r="Y304" s="64">
        <v>12</v>
      </c>
      <c r="Z304" s="64" t="s">
        <v>253</v>
      </c>
      <c r="AA304" s="64" t="s">
        <v>237</v>
      </c>
      <c r="AB304" s="64" t="s">
        <v>238</v>
      </c>
      <c r="AC304" s="64" t="s">
        <v>261</v>
      </c>
      <c r="AD304" s="64" t="s">
        <v>261</v>
      </c>
      <c r="AE304" s="64" t="s">
        <v>165</v>
      </c>
      <c r="AF304" s="64" t="s">
        <v>238</v>
      </c>
      <c r="AG304" s="1"/>
      <c r="AH304" s="1">
        <v>56</v>
      </c>
      <c r="AI304" s="1">
        <v>50</v>
      </c>
      <c r="AJ304" s="1">
        <v>51</v>
      </c>
      <c r="AK304" s="1">
        <v>2</v>
      </c>
      <c r="AL304" s="1">
        <v>4</v>
      </c>
      <c r="AM304" s="1">
        <v>3</v>
      </c>
      <c r="AN304" s="64" t="s">
        <v>378</v>
      </c>
    </row>
    <row r="305" spans="1:40" s="68" customFormat="1">
      <c r="A305" s="20">
        <v>0.25</v>
      </c>
      <c r="B305" s="64" t="s">
        <v>379</v>
      </c>
      <c r="C305" s="64" t="s">
        <v>380</v>
      </c>
      <c r="D305" s="64" t="s">
        <v>381</v>
      </c>
      <c r="E305" s="64" t="s">
        <v>382</v>
      </c>
      <c r="F305" s="64" t="s">
        <v>383</v>
      </c>
      <c r="G305" s="64" t="s">
        <v>229</v>
      </c>
      <c r="H305" s="64">
        <v>20</v>
      </c>
      <c r="I305" s="64" t="s">
        <v>171</v>
      </c>
      <c r="J305" s="64" t="s">
        <v>244</v>
      </c>
      <c r="K305" s="64" t="s">
        <v>384</v>
      </c>
      <c r="L305" s="64" t="s">
        <v>385</v>
      </c>
      <c r="M305" s="1">
        <v>2</v>
      </c>
      <c r="N305" s="1">
        <v>568</v>
      </c>
      <c r="O305" s="64" t="s">
        <v>386</v>
      </c>
      <c r="Q305" s="64" t="s">
        <v>356</v>
      </c>
      <c r="R305" s="64" t="s">
        <v>169</v>
      </c>
      <c r="S305" s="64" t="s">
        <v>243</v>
      </c>
      <c r="T305" s="64" t="s">
        <v>244</v>
      </c>
      <c r="U305" s="64" t="s">
        <v>387</v>
      </c>
      <c r="V305" s="64" t="s">
        <v>388</v>
      </c>
      <c r="W305" s="64" t="s">
        <v>161</v>
      </c>
      <c r="X305" s="64" t="s">
        <v>165</v>
      </c>
      <c r="Y305" s="64">
        <v>12</v>
      </c>
      <c r="Z305" s="64" t="s">
        <v>253</v>
      </c>
      <c r="AA305" s="64" t="s">
        <v>246</v>
      </c>
      <c r="AB305" s="64" t="s">
        <v>247</v>
      </c>
      <c r="AC305" s="64" t="s">
        <v>389</v>
      </c>
      <c r="AD305" s="64" t="s">
        <v>389</v>
      </c>
      <c r="AE305" s="64" t="s">
        <v>165</v>
      </c>
      <c r="AF305" s="64" t="s">
        <v>275</v>
      </c>
      <c r="AG305" s="1"/>
      <c r="AH305" s="1">
        <v>65</v>
      </c>
      <c r="AI305" s="1">
        <v>57</v>
      </c>
      <c r="AJ305" s="1">
        <v>58</v>
      </c>
      <c r="AK305" s="1">
        <v>2</v>
      </c>
      <c r="AL305" s="1">
        <v>4</v>
      </c>
      <c r="AM305" s="1">
        <v>3</v>
      </c>
      <c r="AN305" s="64" t="s">
        <v>390</v>
      </c>
    </row>
    <row r="306" spans="1:40" s="68" customFormat="1">
      <c r="A306" s="20">
        <v>0.25</v>
      </c>
      <c r="B306" s="64" t="s">
        <v>383</v>
      </c>
      <c r="C306" s="64" t="s">
        <v>391</v>
      </c>
      <c r="D306" s="64" t="s">
        <v>392</v>
      </c>
      <c r="E306" s="64" t="s">
        <v>393</v>
      </c>
      <c r="F306" s="64" t="s">
        <v>394</v>
      </c>
      <c r="G306" s="64" t="s">
        <v>238</v>
      </c>
      <c r="H306" s="64">
        <v>24</v>
      </c>
      <c r="I306" s="64" t="s">
        <v>171</v>
      </c>
      <c r="J306" s="64" t="s">
        <v>395</v>
      </c>
      <c r="K306" s="64" t="s">
        <v>396</v>
      </c>
      <c r="L306" s="64" t="s">
        <v>397</v>
      </c>
      <c r="M306" s="1">
        <v>2</v>
      </c>
      <c r="N306" s="1">
        <v>667</v>
      </c>
      <c r="O306" s="64" t="s">
        <v>243</v>
      </c>
      <c r="Q306" s="64" t="s">
        <v>356</v>
      </c>
      <c r="R306" s="64" t="s">
        <v>244</v>
      </c>
      <c r="S306" s="64" t="s">
        <v>250</v>
      </c>
      <c r="T306" s="64" t="s">
        <v>251</v>
      </c>
      <c r="U306" s="64" t="s">
        <v>270</v>
      </c>
      <c r="V306" s="64" t="s">
        <v>245</v>
      </c>
      <c r="W306" s="64" t="s">
        <v>167</v>
      </c>
      <c r="X306" s="64" t="s">
        <v>165</v>
      </c>
      <c r="Y306" s="64">
        <v>16</v>
      </c>
      <c r="Z306" s="64" t="s">
        <v>167</v>
      </c>
      <c r="AA306" s="64" t="s">
        <v>254</v>
      </c>
      <c r="AB306" s="64" t="s">
        <v>255</v>
      </c>
      <c r="AC306" s="64" t="s">
        <v>257</v>
      </c>
      <c r="AD306" s="64" t="s">
        <v>257</v>
      </c>
      <c r="AE306" s="64" t="s">
        <v>258</v>
      </c>
      <c r="AF306" s="64" t="s">
        <v>232</v>
      </c>
      <c r="AG306" s="1"/>
      <c r="AH306" s="1">
        <v>76</v>
      </c>
      <c r="AI306" s="1">
        <v>65</v>
      </c>
      <c r="AJ306" s="1">
        <v>66</v>
      </c>
      <c r="AK306" s="1">
        <v>2</v>
      </c>
      <c r="AL306" s="1">
        <v>4</v>
      </c>
      <c r="AM306" s="1">
        <v>3</v>
      </c>
      <c r="AN306" s="64" t="s">
        <v>398</v>
      </c>
    </row>
    <row r="307" spans="1:40" s="68" customFormat="1">
      <c r="A307" s="20">
        <v>0.25</v>
      </c>
      <c r="B307" s="64" t="s">
        <v>399</v>
      </c>
      <c r="C307" s="64" t="s">
        <v>400</v>
      </c>
      <c r="D307" s="64" t="s">
        <v>401</v>
      </c>
      <c r="E307" s="64" t="s">
        <v>402</v>
      </c>
      <c r="F307" s="64" t="s">
        <v>403</v>
      </c>
      <c r="G307" s="64" t="s">
        <v>238</v>
      </c>
      <c r="H307" s="64">
        <v>24</v>
      </c>
      <c r="I307" s="64" t="s">
        <v>241</v>
      </c>
      <c r="J307" s="64" t="s">
        <v>395</v>
      </c>
      <c r="K307" s="64" t="s">
        <v>404</v>
      </c>
      <c r="L307" s="64" t="s">
        <v>405</v>
      </c>
      <c r="M307" s="1">
        <v>5</v>
      </c>
      <c r="N307" s="1">
        <v>772</v>
      </c>
      <c r="O307" s="64" t="s">
        <v>406</v>
      </c>
      <c r="Q307" s="64" t="s">
        <v>356</v>
      </c>
      <c r="R307" s="64" t="s">
        <v>240</v>
      </c>
      <c r="S307" s="64" t="s">
        <v>260</v>
      </c>
      <c r="T307" s="64" t="s">
        <v>261</v>
      </c>
      <c r="U307" s="64" t="s">
        <v>288</v>
      </c>
      <c r="V307" s="64" t="s">
        <v>271</v>
      </c>
      <c r="W307" s="64" t="s">
        <v>167</v>
      </c>
      <c r="X307" s="64" t="s">
        <v>165</v>
      </c>
      <c r="Y307" s="64">
        <v>16</v>
      </c>
      <c r="Z307" s="64" t="s">
        <v>167</v>
      </c>
      <c r="AA307" s="64" t="s">
        <v>263</v>
      </c>
      <c r="AB307" s="64" t="s">
        <v>264</v>
      </c>
      <c r="AC307" s="64" t="s">
        <v>266</v>
      </c>
      <c r="AD307" s="64" t="s">
        <v>266</v>
      </c>
      <c r="AE307" s="64" t="s">
        <v>258</v>
      </c>
      <c r="AF307" s="64" t="s">
        <v>244</v>
      </c>
      <c r="AG307" s="1"/>
      <c r="AH307" s="1">
        <v>84</v>
      </c>
      <c r="AI307" s="1">
        <v>75</v>
      </c>
      <c r="AJ307" s="1">
        <v>76</v>
      </c>
      <c r="AK307" s="1">
        <v>2</v>
      </c>
      <c r="AL307" s="1">
        <v>4</v>
      </c>
      <c r="AM307" s="1">
        <v>3</v>
      </c>
      <c r="AN307" s="64" t="s">
        <v>407</v>
      </c>
    </row>
    <row r="308" spans="1:40" s="68" customFormat="1">
      <c r="A308" s="20">
        <v>0.25</v>
      </c>
      <c r="B308" s="64" t="s">
        <v>408</v>
      </c>
      <c r="C308" s="64" t="s">
        <v>409</v>
      </c>
      <c r="D308" s="64" t="s">
        <v>410</v>
      </c>
      <c r="E308" s="64" t="s">
        <v>411</v>
      </c>
      <c r="F308" s="64" t="s">
        <v>412</v>
      </c>
      <c r="G308" s="64" t="s">
        <v>232</v>
      </c>
      <c r="H308" s="64">
        <v>27</v>
      </c>
      <c r="I308" s="64" t="s">
        <v>241</v>
      </c>
      <c r="J308" s="64" t="s">
        <v>251</v>
      </c>
      <c r="K308" s="64" t="s">
        <v>413</v>
      </c>
      <c r="L308" s="64" t="s">
        <v>414</v>
      </c>
      <c r="M308" s="1">
        <v>5</v>
      </c>
      <c r="N308" s="1">
        <v>878</v>
      </c>
      <c r="O308" s="64" t="s">
        <v>415</v>
      </c>
      <c r="Q308" s="64" t="s">
        <v>356</v>
      </c>
      <c r="R308" s="64" t="s">
        <v>163</v>
      </c>
      <c r="S308" s="64" t="s">
        <v>268</v>
      </c>
      <c r="T308" s="64" t="s">
        <v>269</v>
      </c>
      <c r="U308" s="64" t="s">
        <v>416</v>
      </c>
      <c r="V308" s="64" t="s">
        <v>301</v>
      </c>
      <c r="W308" s="64" t="s">
        <v>167</v>
      </c>
      <c r="X308" s="64" t="s">
        <v>165</v>
      </c>
      <c r="Y308" s="64">
        <v>16</v>
      </c>
      <c r="Z308" s="64" t="s">
        <v>171</v>
      </c>
      <c r="AA308" s="64" t="s">
        <v>272</v>
      </c>
      <c r="AB308" s="64" t="s">
        <v>273</v>
      </c>
      <c r="AC308" s="64" t="s">
        <v>417</v>
      </c>
      <c r="AD308" s="64" t="s">
        <v>417</v>
      </c>
      <c r="AE308" s="64" t="s">
        <v>258</v>
      </c>
      <c r="AF308" s="64" t="s">
        <v>292</v>
      </c>
      <c r="AG308" s="1"/>
      <c r="AH308" s="1">
        <v>99</v>
      </c>
      <c r="AI308" s="1">
        <v>87</v>
      </c>
      <c r="AJ308" s="1">
        <v>88</v>
      </c>
      <c r="AK308" s="1">
        <v>2</v>
      </c>
      <c r="AL308" s="1">
        <v>4</v>
      </c>
      <c r="AM308" s="1">
        <v>3</v>
      </c>
      <c r="AN308" s="64" t="s">
        <v>418</v>
      </c>
    </row>
    <row r="309" spans="1:40" s="68" customFormat="1">
      <c r="A309" s="20">
        <v>0.25</v>
      </c>
      <c r="B309" s="64" t="s">
        <v>419</v>
      </c>
      <c r="C309" s="64" t="s">
        <v>420</v>
      </c>
      <c r="D309" s="64" t="s">
        <v>412</v>
      </c>
      <c r="E309" s="64" t="s">
        <v>421</v>
      </c>
      <c r="F309" s="64" t="s">
        <v>422</v>
      </c>
      <c r="G309" s="64" t="s">
        <v>232</v>
      </c>
      <c r="H309" s="64">
        <v>27</v>
      </c>
      <c r="I309" s="64" t="s">
        <v>241</v>
      </c>
      <c r="J309" s="64" t="s">
        <v>240</v>
      </c>
      <c r="K309" s="64" t="s">
        <v>423</v>
      </c>
      <c r="L309" s="64" t="s">
        <v>424</v>
      </c>
      <c r="M309" s="1">
        <v>5</v>
      </c>
      <c r="N309" s="1">
        <v>978</v>
      </c>
      <c r="O309" s="64" t="s">
        <v>425</v>
      </c>
      <c r="Q309" s="64" t="s">
        <v>356</v>
      </c>
      <c r="R309" s="64" t="s">
        <v>236</v>
      </c>
      <c r="S309" s="64" t="s">
        <v>277</v>
      </c>
      <c r="T309" s="64" t="s">
        <v>278</v>
      </c>
      <c r="U309" s="64" t="s">
        <v>319</v>
      </c>
      <c r="V309" s="64" t="s">
        <v>426</v>
      </c>
      <c r="W309" s="64" t="s">
        <v>167</v>
      </c>
      <c r="X309" s="64" t="s">
        <v>165</v>
      </c>
      <c r="Y309" s="64">
        <v>16</v>
      </c>
      <c r="Z309" s="64" t="s">
        <v>171</v>
      </c>
      <c r="AA309" s="64" t="s">
        <v>280</v>
      </c>
      <c r="AB309" s="64" t="s">
        <v>281</v>
      </c>
      <c r="AC309" s="64" t="s">
        <v>427</v>
      </c>
      <c r="AD309" s="64" t="s">
        <v>427</v>
      </c>
      <c r="AE309" s="64" t="s">
        <v>283</v>
      </c>
      <c r="AF309" s="64" t="s">
        <v>244</v>
      </c>
      <c r="AG309" s="1"/>
      <c r="AH309" s="1">
        <v>118</v>
      </c>
      <c r="AI309" s="1">
        <v>109</v>
      </c>
      <c r="AJ309" s="1">
        <v>110</v>
      </c>
      <c r="AK309" s="1">
        <v>2</v>
      </c>
      <c r="AL309" s="1">
        <v>4</v>
      </c>
      <c r="AM309" s="1">
        <v>3</v>
      </c>
      <c r="AN309" s="64" t="s">
        <v>428</v>
      </c>
    </row>
    <row r="310" spans="1:40" s="68" customFormat="1">
      <c r="A310" s="20">
        <v>0.25</v>
      </c>
      <c r="B310" s="64" t="s">
        <v>429</v>
      </c>
      <c r="C310" s="64" t="s">
        <v>430</v>
      </c>
      <c r="D310" s="64" t="s">
        <v>422</v>
      </c>
      <c r="E310" s="64" t="s">
        <v>431</v>
      </c>
      <c r="F310" s="64" t="s">
        <v>432</v>
      </c>
      <c r="G310" s="64" t="s">
        <v>232</v>
      </c>
      <c r="H310" s="64">
        <v>27</v>
      </c>
      <c r="I310" s="64" t="s">
        <v>275</v>
      </c>
      <c r="J310" s="64" t="s">
        <v>433</v>
      </c>
      <c r="K310" s="64" t="s">
        <v>422</v>
      </c>
      <c r="L310" s="64" t="s">
        <v>434</v>
      </c>
      <c r="M310" s="1">
        <v>5</v>
      </c>
      <c r="N310" s="1">
        <v>1078</v>
      </c>
      <c r="O310" s="64" t="s">
        <v>435</v>
      </c>
      <c r="Q310" s="64" t="s">
        <v>356</v>
      </c>
      <c r="R310" s="64" t="s">
        <v>227</v>
      </c>
      <c r="S310" s="64" t="s">
        <v>285</v>
      </c>
      <c r="T310" s="64" t="s">
        <v>286</v>
      </c>
      <c r="U310" s="64" t="s">
        <v>305</v>
      </c>
      <c r="V310" s="64" t="s">
        <v>279</v>
      </c>
      <c r="W310" s="64" t="s">
        <v>167</v>
      </c>
      <c r="X310" s="64" t="s">
        <v>306</v>
      </c>
      <c r="Y310" s="64">
        <v>16</v>
      </c>
      <c r="Z310" s="64" t="s">
        <v>171</v>
      </c>
      <c r="AA310" s="64" t="s">
        <v>289</v>
      </c>
      <c r="AB310" s="64" t="s">
        <v>290</v>
      </c>
      <c r="AC310" s="64" t="s">
        <v>436</v>
      </c>
      <c r="AD310" s="64" t="s">
        <v>436</v>
      </c>
      <c r="AE310" s="64" t="s">
        <v>283</v>
      </c>
      <c r="AF310" s="64" t="s">
        <v>292</v>
      </c>
      <c r="AG310" s="1"/>
      <c r="AH310" s="1">
        <v>132</v>
      </c>
      <c r="AI310" s="1">
        <v>120</v>
      </c>
      <c r="AJ310" s="1">
        <v>121</v>
      </c>
      <c r="AK310" s="1">
        <v>2</v>
      </c>
      <c r="AL310" s="1">
        <v>4</v>
      </c>
      <c r="AM310" s="1">
        <v>3</v>
      </c>
      <c r="AN310" s="64" t="s">
        <v>437</v>
      </c>
    </row>
    <row r="311" spans="1:40" s="68" customFormat="1">
      <c r="A311" s="20">
        <v>0.25</v>
      </c>
      <c r="B311" s="64" t="s">
        <v>438</v>
      </c>
      <c r="C311" s="64" t="s">
        <v>439</v>
      </c>
      <c r="D311" s="64" t="s">
        <v>440</v>
      </c>
      <c r="E311" s="64" t="s">
        <v>441</v>
      </c>
      <c r="F311" s="64" t="s">
        <v>442</v>
      </c>
      <c r="G311" s="64" t="s">
        <v>232</v>
      </c>
      <c r="H311" s="64">
        <v>27</v>
      </c>
      <c r="I311" s="64" t="s">
        <v>244</v>
      </c>
      <c r="J311" s="64" t="s">
        <v>310</v>
      </c>
      <c r="K311" s="64" t="s">
        <v>443</v>
      </c>
      <c r="L311" s="64" t="s">
        <v>444</v>
      </c>
      <c r="M311" s="1">
        <v>5</v>
      </c>
      <c r="N311" s="1">
        <v>1295</v>
      </c>
      <c r="O311" s="64" t="s">
        <v>445</v>
      </c>
      <c r="Q311" s="64" t="s">
        <v>356</v>
      </c>
      <c r="R311" s="64" t="s">
        <v>245</v>
      </c>
      <c r="S311" s="64" t="s">
        <v>294</v>
      </c>
      <c r="T311" s="64" t="s">
        <v>295</v>
      </c>
      <c r="U311" s="64" t="s">
        <v>446</v>
      </c>
      <c r="V311" s="64" t="s">
        <v>447</v>
      </c>
      <c r="W311" s="64" t="s">
        <v>167</v>
      </c>
      <c r="X311" s="64" t="s">
        <v>306</v>
      </c>
      <c r="Y311" s="64">
        <v>16</v>
      </c>
      <c r="Z311" s="64" t="s">
        <v>229</v>
      </c>
      <c r="AA311" s="64" t="s">
        <v>298</v>
      </c>
      <c r="AB311" s="64" t="s">
        <v>271</v>
      </c>
      <c r="AC311" s="64" t="s">
        <v>270</v>
      </c>
      <c r="AD311" s="64" t="s">
        <v>270</v>
      </c>
      <c r="AE311" s="64" t="s">
        <v>283</v>
      </c>
      <c r="AF311" s="64" t="s">
        <v>240</v>
      </c>
      <c r="AG311" s="1"/>
      <c r="AH311" s="1">
        <v>156</v>
      </c>
      <c r="AI311" s="1">
        <v>149</v>
      </c>
      <c r="AJ311" s="1">
        <v>150</v>
      </c>
      <c r="AK311" s="1">
        <v>2</v>
      </c>
      <c r="AL311" s="1">
        <v>4.5</v>
      </c>
      <c r="AM311" s="1">
        <v>3.5</v>
      </c>
      <c r="AN311" s="64" t="s">
        <v>448</v>
      </c>
    </row>
    <row r="312" spans="1:40" s="68" customFormat="1">
      <c r="A312" s="20">
        <v>0.25</v>
      </c>
      <c r="B312" s="64" t="s">
        <v>449</v>
      </c>
      <c r="C312" s="64" t="s">
        <v>450</v>
      </c>
      <c r="D312" s="64" t="s">
        <v>451</v>
      </c>
      <c r="E312" s="64" t="s">
        <v>452</v>
      </c>
      <c r="F312" s="64" t="s">
        <v>453</v>
      </c>
      <c r="G312" s="64" t="s">
        <v>232</v>
      </c>
      <c r="H312" s="64">
        <v>27</v>
      </c>
      <c r="I312" s="64" t="s">
        <v>395</v>
      </c>
      <c r="J312" s="64" t="s">
        <v>454</v>
      </c>
      <c r="K312" s="64" t="s">
        <v>455</v>
      </c>
      <c r="L312" s="64" t="s">
        <v>456</v>
      </c>
      <c r="M312" s="1">
        <v>5</v>
      </c>
      <c r="N312" s="1">
        <v>1510</v>
      </c>
      <c r="O312" s="64" t="s">
        <v>457</v>
      </c>
      <c r="Q312" s="64" t="s">
        <v>356</v>
      </c>
      <c r="R312" s="64" t="s">
        <v>301</v>
      </c>
      <c r="S312" s="64" t="s">
        <v>302</v>
      </c>
      <c r="T312" s="64" t="s">
        <v>303</v>
      </c>
      <c r="U312" s="64" t="s">
        <v>329</v>
      </c>
      <c r="V312" s="64" t="s">
        <v>296</v>
      </c>
      <c r="W312" s="64" t="s">
        <v>167</v>
      </c>
      <c r="X312" s="64" t="s">
        <v>306</v>
      </c>
      <c r="Y312" s="64">
        <v>16</v>
      </c>
      <c r="Z312" s="64" t="s">
        <v>229</v>
      </c>
      <c r="AA312" s="64" t="s">
        <v>307</v>
      </c>
      <c r="AB312" s="64" t="s">
        <v>308</v>
      </c>
      <c r="AC312" s="64" t="s">
        <v>458</v>
      </c>
      <c r="AD312" s="64" t="s">
        <v>458</v>
      </c>
      <c r="AE312" s="64" t="s">
        <v>283</v>
      </c>
      <c r="AF312" s="64" t="s">
        <v>310</v>
      </c>
      <c r="AG312" s="1"/>
      <c r="AH312" s="1">
        <v>184</v>
      </c>
      <c r="AI312" s="1">
        <v>175</v>
      </c>
      <c r="AJ312" s="1">
        <v>176</v>
      </c>
      <c r="AK312" s="1">
        <v>2</v>
      </c>
      <c r="AL312" s="1">
        <v>4.5</v>
      </c>
      <c r="AM312" s="1">
        <v>3.5</v>
      </c>
      <c r="AN312" s="64" t="s">
        <v>459</v>
      </c>
    </row>
    <row r="313" spans="1:40" s="68" customFormat="1">
      <c r="A313" s="20">
        <v>0.25</v>
      </c>
      <c r="B313" s="64" t="s">
        <v>460</v>
      </c>
      <c r="C313" s="64" t="s">
        <v>461</v>
      </c>
      <c r="D313" s="64" t="s">
        <v>462</v>
      </c>
      <c r="E313" s="64" t="s">
        <v>463</v>
      </c>
      <c r="F313" s="64" t="s">
        <v>464</v>
      </c>
      <c r="G313" s="64" t="s">
        <v>232</v>
      </c>
      <c r="H313" s="64">
        <v>27</v>
      </c>
      <c r="I313" s="64" t="s">
        <v>240</v>
      </c>
      <c r="J313" s="64" t="s">
        <v>465</v>
      </c>
      <c r="K313" s="64" t="s">
        <v>466</v>
      </c>
      <c r="L313" s="64" t="s">
        <v>467</v>
      </c>
      <c r="M313" s="1">
        <v>5</v>
      </c>
      <c r="N313" s="1">
        <v>1710</v>
      </c>
      <c r="O313" s="64" t="s">
        <v>468</v>
      </c>
      <c r="Q313" s="64" t="s">
        <v>356</v>
      </c>
      <c r="R313" s="64" t="s">
        <v>288</v>
      </c>
      <c r="S313" s="64" t="s">
        <v>312</v>
      </c>
      <c r="T313" s="64" t="s">
        <v>313</v>
      </c>
      <c r="U313" s="64" t="s">
        <v>469</v>
      </c>
      <c r="V313" s="64" t="s">
        <v>304</v>
      </c>
      <c r="W313" s="64" t="s">
        <v>229</v>
      </c>
      <c r="X313" s="64" t="s">
        <v>306</v>
      </c>
      <c r="Y313" s="64">
        <v>20</v>
      </c>
      <c r="Z313" s="64" t="s">
        <v>241</v>
      </c>
      <c r="AA313" s="64" t="s">
        <v>316</v>
      </c>
      <c r="AB313" s="64" t="s">
        <v>317</v>
      </c>
      <c r="AC313" s="64" t="s">
        <v>470</v>
      </c>
      <c r="AD313" s="64" t="s">
        <v>470</v>
      </c>
      <c r="AE313" s="64" t="s">
        <v>306</v>
      </c>
      <c r="AF313" s="64" t="s">
        <v>310</v>
      </c>
      <c r="AG313" s="1"/>
      <c r="AH313" s="1">
        <v>211</v>
      </c>
      <c r="AI313" s="1">
        <v>203</v>
      </c>
      <c r="AJ313" s="1">
        <v>204</v>
      </c>
      <c r="AK313" s="1">
        <v>2</v>
      </c>
      <c r="AL313" s="1">
        <v>4.5</v>
      </c>
      <c r="AM313" s="1">
        <v>3.5</v>
      </c>
      <c r="AN313" s="64" t="s">
        <v>471</v>
      </c>
    </row>
    <row r="314" spans="1:40" s="68" customFormat="1">
      <c r="A314" s="20">
        <v>0.25</v>
      </c>
      <c r="B314" s="64" t="s">
        <v>472</v>
      </c>
      <c r="C314" s="64" t="s">
        <v>473</v>
      </c>
      <c r="D314" s="64" t="s">
        <v>474</v>
      </c>
      <c r="E314" s="64" t="s">
        <v>475</v>
      </c>
      <c r="F314" s="64" t="s">
        <v>476</v>
      </c>
      <c r="G314" s="64" t="s">
        <v>232</v>
      </c>
      <c r="H314" s="64">
        <v>27</v>
      </c>
      <c r="I314" s="64" t="s">
        <v>310</v>
      </c>
      <c r="J314" s="64" t="s">
        <v>477</v>
      </c>
      <c r="K314" s="64" t="s">
        <v>478</v>
      </c>
      <c r="L314" s="64" t="s">
        <v>479</v>
      </c>
      <c r="M314" s="1">
        <v>5</v>
      </c>
      <c r="N314" s="1">
        <v>1918</v>
      </c>
      <c r="O314" s="64" t="s">
        <v>480</v>
      </c>
      <c r="Q314" s="64" t="s">
        <v>356</v>
      </c>
      <c r="R314" s="64" t="s">
        <v>305</v>
      </c>
      <c r="S314" s="64" t="s">
        <v>321</v>
      </c>
      <c r="T314" s="64" t="s">
        <v>322</v>
      </c>
      <c r="U314" s="64" t="s">
        <v>481</v>
      </c>
      <c r="V314" s="64" t="s">
        <v>336</v>
      </c>
      <c r="W314" s="64" t="s">
        <v>229</v>
      </c>
      <c r="X314" s="64" t="s">
        <v>306</v>
      </c>
      <c r="Y314" s="64">
        <v>20</v>
      </c>
      <c r="Z314" s="64" t="s">
        <v>241</v>
      </c>
      <c r="AA314" s="64" t="s">
        <v>325</v>
      </c>
      <c r="AB314" s="64" t="s">
        <v>326</v>
      </c>
      <c r="AC314" s="64" t="s">
        <v>482</v>
      </c>
      <c r="AD314" s="64" t="s">
        <v>482</v>
      </c>
      <c r="AE314" s="64" t="s">
        <v>306</v>
      </c>
      <c r="AF314" s="64" t="s">
        <v>310</v>
      </c>
      <c r="AG314" s="1"/>
      <c r="AH314" s="1">
        <v>266</v>
      </c>
      <c r="AI314" s="1">
        <v>259</v>
      </c>
      <c r="AJ314" s="1">
        <v>260</v>
      </c>
      <c r="AK314" s="1">
        <v>2</v>
      </c>
      <c r="AL314" s="1">
        <v>4.5</v>
      </c>
      <c r="AM314" s="1">
        <v>3.5</v>
      </c>
      <c r="AN314" s="64" t="s">
        <v>483</v>
      </c>
    </row>
    <row r="315" spans="1:40" s="68" customFormat="1">
      <c r="A315" s="20">
        <v>0.25</v>
      </c>
      <c r="B315" s="64" t="s">
        <v>484</v>
      </c>
      <c r="C315" s="64" t="s">
        <v>485</v>
      </c>
      <c r="D315" s="64" t="s">
        <v>486</v>
      </c>
      <c r="E315" s="64" t="s">
        <v>487</v>
      </c>
      <c r="F315" s="64" t="s">
        <v>488</v>
      </c>
      <c r="G315" s="64" t="s">
        <v>232</v>
      </c>
      <c r="H315" s="64">
        <v>27</v>
      </c>
      <c r="I315" s="64" t="s">
        <v>454</v>
      </c>
      <c r="J315" s="64" t="s">
        <v>489</v>
      </c>
      <c r="K315" s="64" t="s">
        <v>490</v>
      </c>
      <c r="L315" s="64" t="s">
        <v>491</v>
      </c>
      <c r="M315" s="1">
        <v>5</v>
      </c>
      <c r="N315" s="1">
        <v>2125</v>
      </c>
      <c r="O315" s="64" t="s">
        <v>492</v>
      </c>
      <c r="Q315" s="64" t="s">
        <v>356</v>
      </c>
      <c r="R315" s="64" t="s">
        <v>329</v>
      </c>
      <c r="S315" s="64" t="s">
        <v>330</v>
      </c>
      <c r="T315" s="64" t="s">
        <v>330</v>
      </c>
      <c r="U315" s="64" t="s">
        <v>342</v>
      </c>
      <c r="V315" s="64" t="s">
        <v>348</v>
      </c>
      <c r="W315" s="64" t="s">
        <v>229</v>
      </c>
      <c r="X315" s="64" t="s">
        <v>166</v>
      </c>
      <c r="Y315" s="64">
        <v>20</v>
      </c>
      <c r="Z315" s="64" t="s">
        <v>238</v>
      </c>
      <c r="AA315" s="64" t="s">
        <v>333</v>
      </c>
      <c r="AB315" s="64" t="s">
        <v>334</v>
      </c>
      <c r="AC315" s="64" t="s">
        <v>493</v>
      </c>
      <c r="AD315" s="64" t="s">
        <v>493</v>
      </c>
      <c r="AE315" s="64" t="s">
        <v>224</v>
      </c>
      <c r="AF315" s="64" t="s">
        <v>264</v>
      </c>
      <c r="AG315" s="1"/>
      <c r="AH315" s="1">
        <v>319</v>
      </c>
      <c r="AI315" s="1">
        <v>312</v>
      </c>
      <c r="AJ315" s="1">
        <v>313</v>
      </c>
      <c r="AK315" s="1">
        <v>2</v>
      </c>
      <c r="AL315" s="1">
        <v>4.5</v>
      </c>
      <c r="AM315" s="1">
        <v>3.5</v>
      </c>
      <c r="AN315" s="64" t="s">
        <v>494</v>
      </c>
    </row>
    <row r="316" spans="1:40" s="68" customFormat="1">
      <c r="A316" s="64">
        <v>0.6</v>
      </c>
      <c r="B316" s="64" t="s">
        <v>224</v>
      </c>
      <c r="C316" s="64" t="s">
        <v>160</v>
      </c>
      <c r="D316" s="64" t="s">
        <v>161</v>
      </c>
      <c r="E316" s="64" t="s">
        <v>162</v>
      </c>
      <c r="F316" s="64" t="s">
        <v>163</v>
      </c>
      <c r="G316" s="64" t="s">
        <v>164</v>
      </c>
      <c r="H316" s="64">
        <v>10</v>
      </c>
      <c r="I316" s="64" t="s">
        <v>165</v>
      </c>
      <c r="J316" s="64" t="s">
        <v>166</v>
      </c>
      <c r="K316" s="64" t="s">
        <v>167</v>
      </c>
      <c r="L316" s="64" t="s">
        <v>168</v>
      </c>
      <c r="M316" s="1">
        <v>2</v>
      </c>
      <c r="N316" s="1">
        <v>33</v>
      </c>
      <c r="O316" s="64" t="s">
        <v>225</v>
      </c>
      <c r="Q316" s="64" t="s">
        <v>356</v>
      </c>
      <c r="R316" s="64" t="s">
        <v>338</v>
      </c>
      <c r="S316" s="64" t="s">
        <v>339</v>
      </c>
      <c r="T316" s="64" t="s">
        <v>340</v>
      </c>
      <c r="U316" s="64" t="s">
        <v>352</v>
      </c>
      <c r="V316" s="64" t="s">
        <v>358</v>
      </c>
      <c r="W316" s="64" t="s">
        <v>229</v>
      </c>
      <c r="X316" s="64" t="s">
        <v>166</v>
      </c>
      <c r="Y316" s="64">
        <v>20</v>
      </c>
      <c r="Z316" s="64" t="s">
        <v>238</v>
      </c>
      <c r="AA316" s="64" t="s">
        <v>343</v>
      </c>
      <c r="AB316" s="64" t="s">
        <v>344</v>
      </c>
      <c r="AC316" s="64" t="s">
        <v>348</v>
      </c>
      <c r="AD316" s="64" t="s">
        <v>348</v>
      </c>
      <c r="AE316" s="64" t="s">
        <v>224</v>
      </c>
      <c r="AF316" s="64" t="s">
        <v>264</v>
      </c>
      <c r="AG316" s="1"/>
      <c r="AH316" s="1">
        <v>370</v>
      </c>
      <c r="AI316" s="1">
        <v>363</v>
      </c>
      <c r="AJ316" s="1">
        <v>364</v>
      </c>
      <c r="AK316" s="1">
        <v>2</v>
      </c>
      <c r="AL316" s="1">
        <v>4.5</v>
      </c>
      <c r="AM316" s="1">
        <v>3.5</v>
      </c>
      <c r="AN316" s="64" t="s">
        <v>495</v>
      </c>
    </row>
    <row r="317" spans="1:40" s="68" customFormat="1">
      <c r="A317" s="64">
        <v>0.6</v>
      </c>
      <c r="B317" s="64" t="s">
        <v>168</v>
      </c>
      <c r="C317" s="64" t="s">
        <v>226</v>
      </c>
      <c r="D317" s="64" t="s">
        <v>167</v>
      </c>
      <c r="E317" s="64" t="s">
        <v>227</v>
      </c>
      <c r="F317" s="64" t="s">
        <v>228</v>
      </c>
      <c r="G317" s="64" t="s">
        <v>164</v>
      </c>
      <c r="H317" s="64">
        <v>10</v>
      </c>
      <c r="I317" s="64" t="s">
        <v>165</v>
      </c>
      <c r="J317" s="64" t="s">
        <v>166</v>
      </c>
      <c r="K317" s="64" t="s">
        <v>229</v>
      </c>
      <c r="L317" s="64" t="s">
        <v>230</v>
      </c>
      <c r="M317" s="1">
        <v>2</v>
      </c>
      <c r="N317" s="1">
        <v>38</v>
      </c>
      <c r="O317" s="64" t="s">
        <v>231</v>
      </c>
      <c r="Q317" s="64" t="s">
        <v>356</v>
      </c>
      <c r="R317" s="64" t="s">
        <v>348</v>
      </c>
      <c r="S317" s="64" t="s">
        <v>349</v>
      </c>
      <c r="T317" s="64" t="s">
        <v>350</v>
      </c>
      <c r="U317" s="64" t="s">
        <v>496</v>
      </c>
      <c r="V317" s="64" t="s">
        <v>497</v>
      </c>
      <c r="W317" s="64" t="s">
        <v>229</v>
      </c>
      <c r="X317" s="64" t="s">
        <v>253</v>
      </c>
      <c r="Y317" s="64">
        <v>20</v>
      </c>
      <c r="Z317" s="64" t="s">
        <v>238</v>
      </c>
      <c r="AA317" s="64" t="s">
        <v>353</v>
      </c>
      <c r="AB317" s="64" t="s">
        <v>354</v>
      </c>
      <c r="AC317" s="64" t="s">
        <v>358</v>
      </c>
      <c r="AD317" s="64" t="s">
        <v>498</v>
      </c>
      <c r="AE317" s="64" t="s">
        <v>224</v>
      </c>
      <c r="AF317" s="64" t="s">
        <v>499</v>
      </c>
      <c r="AG317" s="1"/>
      <c r="AH317" s="1">
        <v>429</v>
      </c>
      <c r="AI317" s="1">
        <v>421</v>
      </c>
      <c r="AJ317" s="1">
        <v>422</v>
      </c>
      <c r="AK317" s="1">
        <v>2</v>
      </c>
      <c r="AL317" s="1">
        <v>5</v>
      </c>
      <c r="AM317" s="1">
        <v>4</v>
      </c>
      <c r="AN317" s="64" t="s">
        <v>376</v>
      </c>
    </row>
    <row r="318" spans="1:40" s="68" customFormat="1">
      <c r="A318" s="64">
        <v>0.6</v>
      </c>
      <c r="B318" s="64" t="s">
        <v>171</v>
      </c>
      <c r="C318" s="64" t="s">
        <v>234</v>
      </c>
      <c r="D318" s="64" t="s">
        <v>169</v>
      </c>
      <c r="E318" s="64" t="s">
        <v>235</v>
      </c>
      <c r="F318" s="64" t="s">
        <v>236</v>
      </c>
      <c r="G318" s="64" t="s">
        <v>164</v>
      </c>
      <c r="H318" s="64">
        <v>10</v>
      </c>
      <c r="I318" s="64" t="s">
        <v>165</v>
      </c>
      <c r="J318" s="64" t="s">
        <v>161</v>
      </c>
      <c r="K318" s="64" t="s">
        <v>237</v>
      </c>
      <c r="L318" s="64" t="s">
        <v>238</v>
      </c>
      <c r="M318" s="1">
        <v>2</v>
      </c>
      <c r="N318" s="1">
        <v>48</v>
      </c>
      <c r="O318" s="64" t="s">
        <v>239</v>
      </c>
      <c r="Q318" s="64" t="s">
        <v>356</v>
      </c>
      <c r="R318" s="64" t="s">
        <v>358</v>
      </c>
      <c r="S318" s="64" t="s">
        <v>359</v>
      </c>
      <c r="T318" s="64" t="s">
        <v>360</v>
      </c>
      <c r="U318" s="64" t="s">
        <v>500</v>
      </c>
      <c r="V318" s="64" t="s">
        <v>501</v>
      </c>
      <c r="W318" s="64" t="s">
        <v>238</v>
      </c>
      <c r="X318" s="64" t="s">
        <v>253</v>
      </c>
      <c r="Y318" s="64">
        <v>24</v>
      </c>
      <c r="Z318" s="64" t="s">
        <v>238</v>
      </c>
      <c r="AA318" s="64" t="s">
        <v>363</v>
      </c>
      <c r="AB318" s="64" t="s">
        <v>364</v>
      </c>
      <c r="AC318" s="64" t="s">
        <v>502</v>
      </c>
      <c r="AD318" s="64" t="s">
        <v>503</v>
      </c>
      <c r="AE318" s="64" t="s">
        <v>224</v>
      </c>
      <c r="AF318" s="64" t="s">
        <v>269</v>
      </c>
      <c r="AG318" s="1"/>
      <c r="AH318" s="1">
        <v>480</v>
      </c>
      <c r="AI318" s="1">
        <v>273</v>
      </c>
      <c r="AJ318" s="1">
        <v>474</v>
      </c>
      <c r="AK318" s="1">
        <v>2</v>
      </c>
      <c r="AL318" s="1">
        <v>5</v>
      </c>
      <c r="AM318" s="1">
        <v>4</v>
      </c>
      <c r="AN318" s="64" t="s">
        <v>504</v>
      </c>
    </row>
    <row r="319" spans="1:40" s="68" customFormat="1">
      <c r="A319" s="64">
        <v>0.6</v>
      </c>
      <c r="B319" s="64" t="s">
        <v>169</v>
      </c>
      <c r="C319" s="64" t="s">
        <v>243</v>
      </c>
      <c r="D319" s="64" t="s">
        <v>244</v>
      </c>
      <c r="E319" s="64" t="s">
        <v>245</v>
      </c>
      <c r="F319" s="64" t="s">
        <v>162</v>
      </c>
      <c r="G319" s="64" t="s">
        <v>164</v>
      </c>
      <c r="H319" s="64">
        <v>10</v>
      </c>
      <c r="I319" s="64" t="s">
        <v>165</v>
      </c>
      <c r="J319" s="64" t="s">
        <v>161</v>
      </c>
      <c r="K319" s="64" t="s">
        <v>246</v>
      </c>
      <c r="L319" s="64" t="s">
        <v>247</v>
      </c>
      <c r="M319" s="1">
        <v>2</v>
      </c>
      <c r="N319" s="1">
        <v>58</v>
      </c>
      <c r="O319" s="64" t="s">
        <v>248</v>
      </c>
      <c r="Q319" s="64" t="s">
        <v>356</v>
      </c>
      <c r="R319" s="64" t="s">
        <v>369</v>
      </c>
      <c r="S319" s="64" t="s">
        <v>370</v>
      </c>
      <c r="T319" s="64" t="s">
        <v>371</v>
      </c>
      <c r="U319" s="64" t="s">
        <v>505</v>
      </c>
      <c r="V319" s="64" t="s">
        <v>500</v>
      </c>
      <c r="W319" s="64" t="s">
        <v>238</v>
      </c>
      <c r="X319" s="64" t="s">
        <v>171</v>
      </c>
      <c r="Y319" s="64">
        <v>24</v>
      </c>
      <c r="Z319" s="64" t="s">
        <v>275</v>
      </c>
      <c r="AA319" s="64" t="s">
        <v>374</v>
      </c>
      <c r="AB319" s="64" t="s">
        <v>375</v>
      </c>
      <c r="AC319" s="64" t="s">
        <v>506</v>
      </c>
      <c r="AD319" s="64" t="s">
        <v>507</v>
      </c>
      <c r="AE319" s="64" t="s">
        <v>166</v>
      </c>
      <c r="AF319" s="64" t="s">
        <v>508</v>
      </c>
      <c r="AG319" s="64" t="s">
        <v>166</v>
      </c>
      <c r="AH319" s="1">
        <v>530</v>
      </c>
      <c r="AI319" s="1">
        <v>523</v>
      </c>
      <c r="AJ319" s="1">
        <v>524</v>
      </c>
      <c r="AK319" s="1">
        <v>2</v>
      </c>
      <c r="AL319" s="1">
        <v>5</v>
      </c>
      <c r="AM319" s="1">
        <v>4</v>
      </c>
      <c r="AN319" s="64" t="s">
        <v>509</v>
      </c>
    </row>
    <row r="320" spans="1:40" s="68" customFormat="1">
      <c r="A320" s="64">
        <v>0.6</v>
      </c>
      <c r="B320" s="64" t="s">
        <v>244</v>
      </c>
      <c r="C320" s="64" t="s">
        <v>250</v>
      </c>
      <c r="D320" s="64" t="s">
        <v>251</v>
      </c>
      <c r="E320" s="64" t="s">
        <v>252</v>
      </c>
      <c r="F320" s="64" t="s">
        <v>235</v>
      </c>
      <c r="G320" s="64" t="s">
        <v>161</v>
      </c>
      <c r="H320" s="64">
        <v>12</v>
      </c>
      <c r="I320" s="64" t="s">
        <v>165</v>
      </c>
      <c r="J320" s="64" t="s">
        <v>253</v>
      </c>
      <c r="K320" s="64" t="s">
        <v>254</v>
      </c>
      <c r="L320" s="64" t="s">
        <v>255</v>
      </c>
      <c r="M320" s="1">
        <v>2</v>
      </c>
      <c r="N320" s="1">
        <v>69</v>
      </c>
      <c r="O320" s="64" t="s">
        <v>256</v>
      </c>
      <c r="Q320" s="64" t="s">
        <v>356</v>
      </c>
      <c r="R320" s="64" t="s">
        <v>379</v>
      </c>
      <c r="S320" s="64" t="s">
        <v>380</v>
      </c>
      <c r="T320" s="64" t="s">
        <v>381</v>
      </c>
      <c r="U320" s="64" t="s">
        <v>510</v>
      </c>
      <c r="V320" s="64" t="s">
        <v>511</v>
      </c>
      <c r="W320" s="64" t="s">
        <v>238</v>
      </c>
      <c r="X320" s="64" t="s">
        <v>171</v>
      </c>
      <c r="Y320" s="64">
        <v>24</v>
      </c>
      <c r="Z320" s="64" t="s">
        <v>275</v>
      </c>
      <c r="AA320" s="64" t="s">
        <v>384</v>
      </c>
      <c r="AB320" s="64" t="s">
        <v>385</v>
      </c>
      <c r="AC320" s="64" t="s">
        <v>512</v>
      </c>
      <c r="AD320" s="64" t="s">
        <v>513</v>
      </c>
      <c r="AE320" s="64" t="s">
        <v>166</v>
      </c>
      <c r="AF320" s="64" t="s">
        <v>514</v>
      </c>
      <c r="AG320" s="64" t="s">
        <v>166</v>
      </c>
      <c r="AH320" s="1">
        <v>582</v>
      </c>
      <c r="AI320" s="1">
        <v>575</v>
      </c>
      <c r="AJ320" s="1">
        <v>576</v>
      </c>
      <c r="AK320" s="1">
        <v>2</v>
      </c>
      <c r="AL320" s="1">
        <v>5</v>
      </c>
      <c r="AM320" s="1">
        <v>4</v>
      </c>
      <c r="AN320" s="64" t="s">
        <v>515</v>
      </c>
    </row>
    <row r="321" spans="1:40" s="68" customFormat="1">
      <c r="A321" s="64">
        <v>0.6</v>
      </c>
      <c r="B321" s="64" t="s">
        <v>240</v>
      </c>
      <c r="C321" s="64" t="s">
        <v>260</v>
      </c>
      <c r="D321" s="64" t="s">
        <v>261</v>
      </c>
      <c r="E321" s="64" t="s">
        <v>262</v>
      </c>
      <c r="F321" s="64" t="s">
        <v>245</v>
      </c>
      <c r="G321" s="64" t="s">
        <v>161</v>
      </c>
      <c r="H321" s="64">
        <v>12</v>
      </c>
      <c r="I321" s="64" t="s">
        <v>165</v>
      </c>
      <c r="J321" s="64" t="s">
        <v>253</v>
      </c>
      <c r="K321" s="64" t="s">
        <v>263</v>
      </c>
      <c r="L321" s="64" t="s">
        <v>264</v>
      </c>
      <c r="M321" s="1">
        <v>2</v>
      </c>
      <c r="N321" s="1">
        <v>78</v>
      </c>
      <c r="O321" s="64" t="s">
        <v>265</v>
      </c>
      <c r="Q321" s="64" t="s">
        <v>356</v>
      </c>
      <c r="R321" s="64" t="s">
        <v>383</v>
      </c>
      <c r="S321" s="64" t="s">
        <v>391</v>
      </c>
      <c r="T321" s="64" t="s">
        <v>392</v>
      </c>
      <c r="U321" s="64" t="s">
        <v>516</v>
      </c>
      <c r="V321" s="64" t="s">
        <v>517</v>
      </c>
      <c r="W321" s="64" t="s">
        <v>232</v>
      </c>
      <c r="X321" s="64" t="s">
        <v>171</v>
      </c>
      <c r="Y321" s="64">
        <v>27</v>
      </c>
      <c r="Z321" s="64" t="s">
        <v>275</v>
      </c>
      <c r="AA321" s="64" t="s">
        <v>396</v>
      </c>
      <c r="AB321" s="64" t="s">
        <v>397</v>
      </c>
      <c r="AC321" s="64" t="s">
        <v>518</v>
      </c>
      <c r="AD321" s="64" t="s">
        <v>519</v>
      </c>
      <c r="AE321" s="64" t="s">
        <v>166</v>
      </c>
      <c r="AF321" s="64" t="s">
        <v>162</v>
      </c>
      <c r="AG321" s="64" t="s">
        <v>166</v>
      </c>
      <c r="AH321" s="1">
        <v>682</v>
      </c>
      <c r="AI321" s="1">
        <v>675</v>
      </c>
      <c r="AJ321" s="1">
        <v>676</v>
      </c>
      <c r="AK321" s="1">
        <v>2</v>
      </c>
      <c r="AL321" s="1">
        <v>5</v>
      </c>
      <c r="AM321" s="1">
        <v>4</v>
      </c>
      <c r="AN321" s="64" t="s">
        <v>520</v>
      </c>
    </row>
    <row r="322" spans="1:40" s="68" customFormat="1">
      <c r="A322" s="64">
        <v>0.6</v>
      </c>
      <c r="B322" s="64" t="s">
        <v>163</v>
      </c>
      <c r="C322" s="64" t="s">
        <v>268</v>
      </c>
      <c r="D322" s="64" t="s">
        <v>269</v>
      </c>
      <c r="E322" s="64" t="s">
        <v>270</v>
      </c>
      <c r="F322" s="64" t="s">
        <v>271</v>
      </c>
      <c r="G322" s="64" t="s">
        <v>161</v>
      </c>
      <c r="H322" s="64">
        <v>12</v>
      </c>
      <c r="I322" s="64" t="s">
        <v>165</v>
      </c>
      <c r="J322" s="64" t="s">
        <v>253</v>
      </c>
      <c r="K322" s="64" t="s">
        <v>272</v>
      </c>
      <c r="L322" s="64" t="s">
        <v>273</v>
      </c>
      <c r="M322" s="1">
        <v>2</v>
      </c>
      <c r="N322" s="1">
        <v>88</v>
      </c>
      <c r="O322" s="64" t="s">
        <v>274</v>
      </c>
      <c r="Q322" s="64" t="s">
        <v>521</v>
      </c>
      <c r="R322" s="64" t="s">
        <v>224</v>
      </c>
      <c r="S322" s="64" t="s">
        <v>160</v>
      </c>
      <c r="T322" s="64" t="s">
        <v>161</v>
      </c>
      <c r="U322" s="64" t="s">
        <v>235</v>
      </c>
      <c r="V322" s="64" t="s">
        <v>257</v>
      </c>
      <c r="W322" s="64" t="s">
        <v>161</v>
      </c>
      <c r="X322" s="64" t="s">
        <v>165</v>
      </c>
      <c r="Y322" s="64">
        <v>12</v>
      </c>
      <c r="Z322" s="64" t="s">
        <v>161</v>
      </c>
      <c r="AA322" s="64" t="s">
        <v>167</v>
      </c>
      <c r="AB322" s="64" t="s">
        <v>168</v>
      </c>
      <c r="AC322" s="64" t="s">
        <v>232</v>
      </c>
      <c r="AD322" s="64" t="s">
        <v>232</v>
      </c>
      <c r="AE322" s="64" t="s">
        <v>170</v>
      </c>
      <c r="AF322" s="64" t="s">
        <v>229</v>
      </c>
      <c r="AG322" s="64" t="s">
        <v>165</v>
      </c>
      <c r="AH322" s="1">
        <v>41</v>
      </c>
      <c r="AI322" s="1">
        <v>34</v>
      </c>
      <c r="AJ322" s="1">
        <v>35</v>
      </c>
      <c r="AK322" s="1">
        <v>2</v>
      </c>
      <c r="AL322" s="1">
        <v>4</v>
      </c>
      <c r="AM322" s="1">
        <v>3</v>
      </c>
      <c r="AN322" s="64" t="s">
        <v>522</v>
      </c>
    </row>
    <row r="323" spans="1:40" s="68" customFormat="1">
      <c r="A323" s="64">
        <v>0.6</v>
      </c>
      <c r="B323" s="64" t="s">
        <v>236</v>
      </c>
      <c r="C323" s="64" t="s">
        <v>277</v>
      </c>
      <c r="D323" s="64" t="s">
        <v>278</v>
      </c>
      <c r="E323" s="64" t="s">
        <v>279</v>
      </c>
      <c r="F323" s="64" t="s">
        <v>262</v>
      </c>
      <c r="G323" s="64" t="s">
        <v>161</v>
      </c>
      <c r="H323" s="64">
        <v>12</v>
      </c>
      <c r="I323" s="64" t="s">
        <v>165</v>
      </c>
      <c r="J323" s="64" t="s">
        <v>253</v>
      </c>
      <c r="K323" s="64" t="s">
        <v>280</v>
      </c>
      <c r="L323" s="64" t="s">
        <v>281</v>
      </c>
      <c r="M323" s="1">
        <v>2</v>
      </c>
      <c r="N323" s="1">
        <v>108</v>
      </c>
      <c r="O323" s="64" t="s">
        <v>282</v>
      </c>
      <c r="Q323" s="64" t="s">
        <v>521</v>
      </c>
      <c r="R323" s="64" t="s">
        <v>168</v>
      </c>
      <c r="S323" s="64" t="s">
        <v>226</v>
      </c>
      <c r="T323" s="64" t="s">
        <v>167</v>
      </c>
      <c r="U323" s="64" t="s">
        <v>366</v>
      </c>
      <c r="V323" s="64" t="s">
        <v>236</v>
      </c>
      <c r="W323" s="64" t="s">
        <v>161</v>
      </c>
      <c r="X323" s="64" t="s">
        <v>165</v>
      </c>
      <c r="Y323" s="64">
        <v>12</v>
      </c>
      <c r="Z323" s="64" t="s">
        <v>161</v>
      </c>
      <c r="AA323" s="64" t="s">
        <v>229</v>
      </c>
      <c r="AB323" s="64" t="s">
        <v>230</v>
      </c>
      <c r="AC323" s="64" t="s">
        <v>367</v>
      </c>
      <c r="AD323" s="64" t="s">
        <v>367</v>
      </c>
      <c r="AE323" s="64" t="s">
        <v>170</v>
      </c>
      <c r="AF323" s="64" t="s">
        <v>229</v>
      </c>
      <c r="AG323" s="64" t="s">
        <v>165</v>
      </c>
      <c r="AH323" s="1">
        <v>46</v>
      </c>
      <c r="AI323" s="1">
        <v>39</v>
      </c>
      <c r="AJ323" s="1">
        <v>40</v>
      </c>
      <c r="AK323" s="1">
        <v>2</v>
      </c>
      <c r="AL323" s="1">
        <v>4</v>
      </c>
      <c r="AM323" s="1">
        <v>3</v>
      </c>
      <c r="AN323" s="64" t="s">
        <v>523</v>
      </c>
    </row>
    <row r="324" spans="1:40" s="68" customFormat="1">
      <c r="A324" s="64">
        <v>0.6</v>
      </c>
      <c r="B324" s="64" t="s">
        <v>227</v>
      </c>
      <c r="C324" s="64" t="s">
        <v>285</v>
      </c>
      <c r="D324" s="64" t="s">
        <v>286</v>
      </c>
      <c r="E324" s="64" t="s">
        <v>287</v>
      </c>
      <c r="F324" s="64" t="s">
        <v>288</v>
      </c>
      <c r="G324" s="64" t="s">
        <v>167</v>
      </c>
      <c r="H324" s="64">
        <v>16</v>
      </c>
      <c r="I324" s="64" t="s">
        <v>165</v>
      </c>
      <c r="J324" s="64" t="s">
        <v>167</v>
      </c>
      <c r="K324" s="64" t="s">
        <v>289</v>
      </c>
      <c r="L324" s="64" t="s">
        <v>290</v>
      </c>
      <c r="M324" s="1">
        <v>2</v>
      </c>
      <c r="N324" s="1">
        <v>124</v>
      </c>
      <c r="O324" s="64" t="s">
        <v>291</v>
      </c>
      <c r="Q324" s="64" t="s">
        <v>521</v>
      </c>
      <c r="R324" s="64" t="s">
        <v>171</v>
      </c>
      <c r="S324" s="64" t="s">
        <v>234</v>
      </c>
      <c r="T324" s="64" t="s">
        <v>169</v>
      </c>
      <c r="U324" s="64" t="s">
        <v>377</v>
      </c>
      <c r="V324" s="64" t="s">
        <v>162</v>
      </c>
      <c r="W324" s="64" t="s">
        <v>161</v>
      </c>
      <c r="X324" s="64" t="s">
        <v>165</v>
      </c>
      <c r="Y324" s="64">
        <v>12</v>
      </c>
      <c r="Z324" s="64" t="s">
        <v>253</v>
      </c>
      <c r="AA324" s="64" t="s">
        <v>237</v>
      </c>
      <c r="AB324" s="64" t="s">
        <v>238</v>
      </c>
      <c r="AC324" s="64" t="s">
        <v>261</v>
      </c>
      <c r="AD324" s="64" t="s">
        <v>261</v>
      </c>
      <c r="AE324" s="64" t="s">
        <v>165</v>
      </c>
      <c r="AF324" s="64" t="s">
        <v>238</v>
      </c>
      <c r="AG324" s="64" t="s">
        <v>165</v>
      </c>
      <c r="AH324" s="1">
        <v>56</v>
      </c>
      <c r="AI324" s="1">
        <v>50</v>
      </c>
      <c r="AJ324" s="1">
        <v>51</v>
      </c>
      <c r="AK324" s="1">
        <v>2</v>
      </c>
      <c r="AL324" s="1">
        <v>4</v>
      </c>
      <c r="AM324" s="1">
        <v>3</v>
      </c>
      <c r="AN324" s="64" t="s">
        <v>378</v>
      </c>
    </row>
    <row r="325" spans="1:40" s="68" customFormat="1">
      <c r="A325" s="64">
        <v>0.6</v>
      </c>
      <c r="B325" s="64" t="s">
        <v>245</v>
      </c>
      <c r="C325" s="64" t="s">
        <v>294</v>
      </c>
      <c r="D325" s="64" t="s">
        <v>295</v>
      </c>
      <c r="E325" s="64" t="s">
        <v>296</v>
      </c>
      <c r="F325" s="64" t="s">
        <v>297</v>
      </c>
      <c r="G325" s="64" t="s">
        <v>167</v>
      </c>
      <c r="H325" s="64">
        <v>16</v>
      </c>
      <c r="I325" s="64" t="s">
        <v>165</v>
      </c>
      <c r="J325" s="64" t="s">
        <v>167</v>
      </c>
      <c r="K325" s="64" t="s">
        <v>298</v>
      </c>
      <c r="L325" s="64" t="s">
        <v>271</v>
      </c>
      <c r="M325" s="1">
        <v>2</v>
      </c>
      <c r="N325" s="1">
        <v>144</v>
      </c>
      <c r="O325" s="64" t="s">
        <v>299</v>
      </c>
      <c r="Q325" s="64" t="s">
        <v>521</v>
      </c>
      <c r="R325" s="64" t="s">
        <v>169</v>
      </c>
      <c r="S325" s="64" t="s">
        <v>243</v>
      </c>
      <c r="T325" s="64" t="s">
        <v>244</v>
      </c>
      <c r="U325" s="64" t="s">
        <v>387</v>
      </c>
      <c r="V325" s="64" t="s">
        <v>388</v>
      </c>
      <c r="W325" s="64" t="s">
        <v>161</v>
      </c>
      <c r="X325" s="64" t="s">
        <v>165</v>
      </c>
      <c r="Y325" s="64">
        <v>12</v>
      </c>
      <c r="Z325" s="64" t="s">
        <v>253</v>
      </c>
      <c r="AA325" s="64" t="s">
        <v>246</v>
      </c>
      <c r="AB325" s="64" t="s">
        <v>247</v>
      </c>
      <c r="AC325" s="64" t="s">
        <v>389</v>
      </c>
      <c r="AD325" s="64" t="s">
        <v>389</v>
      </c>
      <c r="AE325" s="64" t="s">
        <v>165</v>
      </c>
      <c r="AF325" s="64" t="s">
        <v>275</v>
      </c>
      <c r="AG325" s="64" t="s">
        <v>258</v>
      </c>
      <c r="AH325" s="1">
        <v>65</v>
      </c>
      <c r="AI325" s="1">
        <v>57</v>
      </c>
      <c r="AJ325" s="1">
        <v>58</v>
      </c>
      <c r="AK325" s="1">
        <v>2</v>
      </c>
      <c r="AL325" s="1">
        <v>4</v>
      </c>
      <c r="AM325" s="1">
        <v>3</v>
      </c>
      <c r="AN325" s="64" t="s">
        <v>390</v>
      </c>
    </row>
    <row r="326" spans="1:40" s="68" customFormat="1">
      <c r="A326" s="64">
        <v>0.6</v>
      </c>
      <c r="B326" s="64" t="s">
        <v>301</v>
      </c>
      <c r="C326" s="64" t="s">
        <v>302</v>
      </c>
      <c r="D326" s="64" t="s">
        <v>303</v>
      </c>
      <c r="E326" s="64" t="s">
        <v>304</v>
      </c>
      <c r="F326" s="64" t="s">
        <v>305</v>
      </c>
      <c r="G326" s="64" t="s">
        <v>167</v>
      </c>
      <c r="H326" s="64">
        <v>16</v>
      </c>
      <c r="I326" s="64" t="s">
        <v>306</v>
      </c>
      <c r="J326" s="64" t="s">
        <v>171</v>
      </c>
      <c r="K326" s="64" t="s">
        <v>307</v>
      </c>
      <c r="L326" s="64" t="s">
        <v>308</v>
      </c>
      <c r="M326" s="1">
        <v>2</v>
      </c>
      <c r="N326" s="1">
        <v>174</v>
      </c>
      <c r="O326" s="64" t="s">
        <v>437</v>
      </c>
      <c r="Q326" s="64" t="s">
        <v>521</v>
      </c>
      <c r="R326" s="64" t="s">
        <v>244</v>
      </c>
      <c r="S326" s="64" t="s">
        <v>250</v>
      </c>
      <c r="T326" s="64" t="s">
        <v>251</v>
      </c>
      <c r="U326" s="64" t="s">
        <v>270</v>
      </c>
      <c r="V326" s="64" t="s">
        <v>245</v>
      </c>
      <c r="W326" s="64" t="s">
        <v>167</v>
      </c>
      <c r="X326" s="64" t="s">
        <v>165</v>
      </c>
      <c r="Y326" s="64">
        <v>16</v>
      </c>
      <c r="Z326" s="64" t="s">
        <v>167</v>
      </c>
      <c r="AA326" s="64" t="s">
        <v>254</v>
      </c>
      <c r="AB326" s="64" t="s">
        <v>255</v>
      </c>
      <c r="AC326" s="64" t="s">
        <v>257</v>
      </c>
      <c r="AD326" s="64" t="s">
        <v>257</v>
      </c>
      <c r="AE326" s="64" t="s">
        <v>258</v>
      </c>
      <c r="AF326" s="64" t="s">
        <v>232</v>
      </c>
      <c r="AG326" s="64" t="s">
        <v>258</v>
      </c>
      <c r="AH326" s="1">
        <v>76</v>
      </c>
      <c r="AI326" s="1">
        <v>65</v>
      </c>
      <c r="AJ326" s="1">
        <v>66</v>
      </c>
      <c r="AK326" s="1">
        <v>2</v>
      </c>
      <c r="AL326" s="1">
        <v>4</v>
      </c>
      <c r="AM326" s="1">
        <v>3</v>
      </c>
      <c r="AN326" s="64" t="s">
        <v>398</v>
      </c>
    </row>
    <row r="327" spans="1:40" s="68" customFormat="1">
      <c r="A327" s="64">
        <v>0.6</v>
      </c>
      <c r="B327" s="64" t="s">
        <v>288</v>
      </c>
      <c r="C327" s="64" t="s">
        <v>312</v>
      </c>
      <c r="D327" s="64" t="s">
        <v>313</v>
      </c>
      <c r="E327" s="64" t="s">
        <v>314</v>
      </c>
      <c r="F327" s="64" t="s">
        <v>315</v>
      </c>
      <c r="G327" s="64" t="s">
        <v>167</v>
      </c>
      <c r="H327" s="64">
        <v>16</v>
      </c>
      <c r="I327" s="64" t="s">
        <v>306</v>
      </c>
      <c r="J327" s="64" t="s">
        <v>171</v>
      </c>
      <c r="K327" s="64" t="s">
        <v>316</v>
      </c>
      <c r="L327" s="64" t="s">
        <v>317</v>
      </c>
      <c r="M327" s="1">
        <v>2</v>
      </c>
      <c r="N327" s="1">
        <v>199</v>
      </c>
      <c r="O327" s="64" t="s">
        <v>318</v>
      </c>
      <c r="Q327" s="64" t="s">
        <v>521</v>
      </c>
      <c r="R327" s="64" t="s">
        <v>240</v>
      </c>
      <c r="S327" s="64" t="s">
        <v>260</v>
      </c>
      <c r="T327" s="64" t="s">
        <v>261</v>
      </c>
      <c r="U327" s="64" t="s">
        <v>288</v>
      </c>
      <c r="V327" s="64" t="s">
        <v>271</v>
      </c>
      <c r="W327" s="64" t="s">
        <v>167</v>
      </c>
      <c r="X327" s="64" t="s">
        <v>165</v>
      </c>
      <c r="Y327" s="64">
        <v>16</v>
      </c>
      <c r="Z327" s="64" t="s">
        <v>167</v>
      </c>
      <c r="AA327" s="64" t="s">
        <v>263</v>
      </c>
      <c r="AB327" s="64" t="s">
        <v>264</v>
      </c>
      <c r="AC327" s="64" t="s">
        <v>266</v>
      </c>
      <c r="AD327" s="64" t="s">
        <v>266</v>
      </c>
      <c r="AE327" s="64" t="s">
        <v>258</v>
      </c>
      <c r="AF327" s="64" t="s">
        <v>244</v>
      </c>
      <c r="AG327" s="64" t="s">
        <v>258</v>
      </c>
      <c r="AH327" s="1">
        <v>84</v>
      </c>
      <c r="AI327" s="1">
        <v>75</v>
      </c>
      <c r="AJ327" s="1">
        <v>76</v>
      </c>
      <c r="AK327" s="1">
        <v>2</v>
      </c>
      <c r="AL327" s="1">
        <v>4</v>
      </c>
      <c r="AM327" s="1">
        <v>3</v>
      </c>
      <c r="AN327" s="64" t="s">
        <v>407</v>
      </c>
    </row>
    <row r="328" spans="1:40" s="68" customFormat="1">
      <c r="A328" s="64">
        <v>0.6</v>
      </c>
      <c r="B328" s="64" t="s">
        <v>305</v>
      </c>
      <c r="C328" s="64" t="s">
        <v>321</v>
      </c>
      <c r="D328" s="64" t="s">
        <v>322</v>
      </c>
      <c r="E328" s="64" t="s">
        <v>323</v>
      </c>
      <c r="F328" s="64" t="s">
        <v>324</v>
      </c>
      <c r="G328" s="64" t="s">
        <v>167</v>
      </c>
      <c r="H328" s="64">
        <v>16</v>
      </c>
      <c r="I328" s="64" t="s">
        <v>306</v>
      </c>
      <c r="J328" s="64" t="s">
        <v>229</v>
      </c>
      <c r="K328" s="64" t="s">
        <v>325</v>
      </c>
      <c r="L328" s="64" t="s">
        <v>326</v>
      </c>
      <c r="M328" s="1">
        <v>2</v>
      </c>
      <c r="N328" s="1">
        <v>254</v>
      </c>
      <c r="O328" s="64" t="s">
        <v>327</v>
      </c>
      <c r="Q328" s="64" t="s">
        <v>521</v>
      </c>
      <c r="R328" s="64" t="s">
        <v>163</v>
      </c>
      <c r="S328" s="64" t="s">
        <v>268</v>
      </c>
      <c r="T328" s="64" t="s">
        <v>269</v>
      </c>
      <c r="U328" s="64" t="s">
        <v>416</v>
      </c>
      <c r="V328" s="64" t="s">
        <v>301</v>
      </c>
      <c r="W328" s="64" t="s">
        <v>167</v>
      </c>
      <c r="X328" s="64" t="s">
        <v>165</v>
      </c>
      <c r="Y328" s="64">
        <v>16</v>
      </c>
      <c r="Z328" s="64" t="s">
        <v>171</v>
      </c>
      <c r="AA328" s="64" t="s">
        <v>272</v>
      </c>
      <c r="AB328" s="64" t="s">
        <v>273</v>
      </c>
      <c r="AC328" s="64" t="s">
        <v>417</v>
      </c>
      <c r="AD328" s="64" t="s">
        <v>417</v>
      </c>
      <c r="AE328" s="64" t="s">
        <v>258</v>
      </c>
      <c r="AF328" s="64" t="s">
        <v>292</v>
      </c>
      <c r="AG328" s="64" t="s">
        <v>258</v>
      </c>
      <c r="AH328" s="1">
        <v>99</v>
      </c>
      <c r="AI328" s="1">
        <v>87</v>
      </c>
      <c r="AJ328" s="1">
        <v>88</v>
      </c>
      <c r="AK328" s="1">
        <v>2</v>
      </c>
      <c r="AL328" s="1">
        <v>4</v>
      </c>
      <c r="AM328" s="1">
        <v>3</v>
      </c>
      <c r="AN328" s="64" t="s">
        <v>418</v>
      </c>
    </row>
    <row r="329" spans="1:40" s="68" customFormat="1">
      <c r="A329" s="64">
        <v>0.6</v>
      </c>
      <c r="B329" s="64" t="s">
        <v>329</v>
      </c>
      <c r="C329" s="64" t="s">
        <v>330</v>
      </c>
      <c r="D329" s="64" t="s">
        <v>330</v>
      </c>
      <c r="E329" s="64" t="s">
        <v>331</v>
      </c>
      <c r="F329" s="64" t="s">
        <v>332</v>
      </c>
      <c r="G329" s="64" t="s">
        <v>167</v>
      </c>
      <c r="H329" s="64">
        <v>16</v>
      </c>
      <c r="I329" s="64" t="s">
        <v>166</v>
      </c>
      <c r="J329" s="64" t="s">
        <v>241</v>
      </c>
      <c r="K329" s="64" t="s">
        <v>333</v>
      </c>
      <c r="L329" s="64" t="s">
        <v>334</v>
      </c>
      <c r="M329" s="1">
        <v>2</v>
      </c>
      <c r="N329" s="1">
        <v>309</v>
      </c>
      <c r="O329" s="64" t="s">
        <v>335</v>
      </c>
      <c r="Q329" s="64" t="s">
        <v>521</v>
      </c>
      <c r="R329" s="64" t="s">
        <v>236</v>
      </c>
      <c r="S329" s="64" t="s">
        <v>277</v>
      </c>
      <c r="T329" s="64" t="s">
        <v>278</v>
      </c>
      <c r="U329" s="64" t="s">
        <v>319</v>
      </c>
      <c r="V329" s="64" t="s">
        <v>426</v>
      </c>
      <c r="W329" s="64" t="s">
        <v>167</v>
      </c>
      <c r="X329" s="64" t="s">
        <v>165</v>
      </c>
      <c r="Y329" s="64">
        <v>16</v>
      </c>
      <c r="Z329" s="64" t="s">
        <v>171</v>
      </c>
      <c r="AA329" s="64" t="s">
        <v>280</v>
      </c>
      <c r="AB329" s="64" t="s">
        <v>281</v>
      </c>
      <c r="AC329" s="64" t="s">
        <v>427</v>
      </c>
      <c r="AD329" s="64" t="s">
        <v>427</v>
      </c>
      <c r="AE329" s="64" t="s">
        <v>283</v>
      </c>
      <c r="AF329" s="64" t="s">
        <v>244</v>
      </c>
      <c r="AG329" s="64" t="s">
        <v>283</v>
      </c>
      <c r="AH329" s="1">
        <v>118</v>
      </c>
      <c r="AI329" s="1">
        <v>109</v>
      </c>
      <c r="AJ329" s="1">
        <v>110</v>
      </c>
      <c r="AK329" s="1">
        <v>2</v>
      </c>
      <c r="AL329" s="1">
        <v>4</v>
      </c>
      <c r="AM329" s="1">
        <v>3</v>
      </c>
      <c r="AN329" s="64" t="s">
        <v>428</v>
      </c>
    </row>
    <row r="330" spans="1:40" s="68" customFormat="1">
      <c r="A330" s="64">
        <v>0.6</v>
      </c>
      <c r="B330" s="64" t="s">
        <v>338</v>
      </c>
      <c r="C330" s="64" t="s">
        <v>339</v>
      </c>
      <c r="D330" s="64" t="s">
        <v>340</v>
      </c>
      <c r="E330" s="64" t="s">
        <v>341</v>
      </c>
      <c r="F330" s="64" t="s">
        <v>342</v>
      </c>
      <c r="G330" s="64" t="s">
        <v>229</v>
      </c>
      <c r="H330" s="64">
        <v>20</v>
      </c>
      <c r="I330" s="64" t="s">
        <v>166</v>
      </c>
      <c r="J330" s="64" t="s">
        <v>241</v>
      </c>
      <c r="K330" s="64" t="s">
        <v>343</v>
      </c>
      <c r="L330" s="64" t="s">
        <v>344</v>
      </c>
      <c r="M330" s="1">
        <v>2</v>
      </c>
      <c r="N330" s="1">
        <v>363</v>
      </c>
      <c r="O330" s="64" t="s">
        <v>345</v>
      </c>
      <c r="Q330" s="64" t="s">
        <v>521</v>
      </c>
      <c r="R330" s="64" t="s">
        <v>227</v>
      </c>
      <c r="S330" s="64" t="s">
        <v>285</v>
      </c>
      <c r="T330" s="64" t="s">
        <v>286</v>
      </c>
      <c r="U330" s="64" t="s">
        <v>305</v>
      </c>
      <c r="V330" s="64" t="s">
        <v>279</v>
      </c>
      <c r="W330" s="64" t="s">
        <v>167</v>
      </c>
      <c r="X330" s="64" t="s">
        <v>306</v>
      </c>
      <c r="Y330" s="64">
        <v>16</v>
      </c>
      <c r="Z330" s="64" t="s">
        <v>171</v>
      </c>
      <c r="AA330" s="64" t="s">
        <v>289</v>
      </c>
      <c r="AB330" s="64" t="s">
        <v>290</v>
      </c>
      <c r="AC330" s="64" t="s">
        <v>436</v>
      </c>
      <c r="AD330" s="64" t="s">
        <v>436</v>
      </c>
      <c r="AE330" s="64" t="s">
        <v>283</v>
      </c>
      <c r="AF330" s="64" t="s">
        <v>292</v>
      </c>
      <c r="AG330" s="64" t="s">
        <v>283</v>
      </c>
      <c r="AH330" s="1">
        <v>132</v>
      </c>
      <c r="AI330" s="1">
        <v>120</v>
      </c>
      <c r="AJ330" s="1">
        <v>121</v>
      </c>
      <c r="AK330" s="1">
        <v>2</v>
      </c>
      <c r="AL330" s="1">
        <v>4</v>
      </c>
      <c r="AM330" s="1">
        <v>3</v>
      </c>
      <c r="AN330" s="64" t="s">
        <v>437</v>
      </c>
    </row>
    <row r="331" spans="1:40" s="68" customFormat="1">
      <c r="A331" s="64">
        <v>0.6</v>
      </c>
      <c r="B331" s="64" t="s">
        <v>348</v>
      </c>
      <c r="C331" s="64" t="s">
        <v>349</v>
      </c>
      <c r="D331" s="64" t="s">
        <v>350</v>
      </c>
      <c r="E331" s="64" t="s">
        <v>351</v>
      </c>
      <c r="F331" s="64" t="s">
        <v>352</v>
      </c>
      <c r="G331" s="64" t="s">
        <v>229</v>
      </c>
      <c r="H331" s="64">
        <v>20</v>
      </c>
      <c r="I331" s="64" t="s">
        <v>166</v>
      </c>
      <c r="J331" s="64" t="s">
        <v>238</v>
      </c>
      <c r="K331" s="64" t="s">
        <v>353</v>
      </c>
      <c r="L331" s="64" t="s">
        <v>354</v>
      </c>
      <c r="M331" s="1">
        <v>2</v>
      </c>
      <c r="N331" s="1">
        <v>413</v>
      </c>
      <c r="O331" s="64" t="s">
        <v>355</v>
      </c>
      <c r="Q331" s="64" t="s">
        <v>521</v>
      </c>
      <c r="R331" s="64" t="s">
        <v>245</v>
      </c>
      <c r="S331" s="64" t="s">
        <v>294</v>
      </c>
      <c r="T331" s="64" t="s">
        <v>295</v>
      </c>
      <c r="U331" s="64" t="s">
        <v>446</v>
      </c>
      <c r="V331" s="64" t="s">
        <v>447</v>
      </c>
      <c r="W331" s="64" t="s">
        <v>167</v>
      </c>
      <c r="X331" s="64" t="s">
        <v>306</v>
      </c>
      <c r="Y331" s="64">
        <v>16</v>
      </c>
      <c r="Z331" s="64" t="s">
        <v>229</v>
      </c>
      <c r="AA331" s="64" t="s">
        <v>298</v>
      </c>
      <c r="AB331" s="64" t="s">
        <v>271</v>
      </c>
      <c r="AC331" s="64" t="s">
        <v>270</v>
      </c>
      <c r="AD331" s="64" t="s">
        <v>270</v>
      </c>
      <c r="AE331" s="64" t="s">
        <v>283</v>
      </c>
      <c r="AF331" s="64" t="s">
        <v>240</v>
      </c>
      <c r="AG331" s="64" t="s">
        <v>283</v>
      </c>
      <c r="AH331" s="1">
        <v>156</v>
      </c>
      <c r="AI331" s="1">
        <v>149</v>
      </c>
      <c r="AJ331" s="1">
        <v>150</v>
      </c>
      <c r="AK331" s="1">
        <v>2</v>
      </c>
      <c r="AL331" s="1">
        <v>4.5</v>
      </c>
      <c r="AM331" s="1">
        <v>3.5</v>
      </c>
      <c r="AN331" s="64" t="s">
        <v>448</v>
      </c>
    </row>
    <row r="332" spans="1:40" s="68" customFormat="1">
      <c r="A332" s="64">
        <v>0.6</v>
      </c>
      <c r="B332" s="64" t="s">
        <v>358</v>
      </c>
      <c r="C332" s="64" t="s">
        <v>359</v>
      </c>
      <c r="D332" s="64" t="s">
        <v>360</v>
      </c>
      <c r="E332" s="64" t="s">
        <v>361</v>
      </c>
      <c r="F332" s="64" t="s">
        <v>362</v>
      </c>
      <c r="G332" s="64" t="s">
        <v>229</v>
      </c>
      <c r="H332" s="64">
        <v>20</v>
      </c>
      <c r="I332" s="64" t="s">
        <v>253</v>
      </c>
      <c r="J332" s="64" t="s">
        <v>275</v>
      </c>
      <c r="K332" s="64" t="s">
        <v>363</v>
      </c>
      <c r="L332" s="64" t="s">
        <v>364</v>
      </c>
      <c r="M332" s="1">
        <v>2</v>
      </c>
      <c r="N332" s="1">
        <v>463</v>
      </c>
      <c r="O332" s="64" t="s">
        <v>365</v>
      </c>
      <c r="Q332" s="64" t="s">
        <v>521</v>
      </c>
      <c r="R332" s="64" t="s">
        <v>301</v>
      </c>
      <c r="S332" s="64" t="s">
        <v>302</v>
      </c>
      <c r="T332" s="64" t="s">
        <v>303</v>
      </c>
      <c r="U332" s="64" t="s">
        <v>329</v>
      </c>
      <c r="V332" s="64" t="s">
        <v>296</v>
      </c>
      <c r="W332" s="64" t="s">
        <v>167</v>
      </c>
      <c r="X332" s="64" t="s">
        <v>306</v>
      </c>
      <c r="Y332" s="64">
        <v>16</v>
      </c>
      <c r="Z332" s="64" t="s">
        <v>229</v>
      </c>
      <c r="AA332" s="64" t="s">
        <v>307</v>
      </c>
      <c r="AB332" s="64" t="s">
        <v>308</v>
      </c>
      <c r="AC332" s="64" t="s">
        <v>458</v>
      </c>
      <c r="AD332" s="64" t="s">
        <v>458</v>
      </c>
      <c r="AE332" s="64" t="s">
        <v>283</v>
      </c>
      <c r="AF332" s="64" t="s">
        <v>310</v>
      </c>
      <c r="AG332" s="64" t="s">
        <v>283</v>
      </c>
      <c r="AH332" s="1">
        <v>184</v>
      </c>
      <c r="AI332" s="1">
        <v>175</v>
      </c>
      <c r="AJ332" s="1">
        <v>176</v>
      </c>
      <c r="AK332" s="1">
        <v>2</v>
      </c>
      <c r="AL332" s="1">
        <v>4.5</v>
      </c>
      <c r="AM332" s="1">
        <v>3.5</v>
      </c>
      <c r="AN332" s="64" t="s">
        <v>459</v>
      </c>
    </row>
    <row r="333" spans="1:40" s="68" customFormat="1">
      <c r="A333" s="64">
        <v>0.6</v>
      </c>
      <c r="B333" s="64" t="s">
        <v>369</v>
      </c>
      <c r="C333" s="64" t="s">
        <v>370</v>
      </c>
      <c r="D333" s="64" t="s">
        <v>371</v>
      </c>
      <c r="E333" s="64" t="s">
        <v>372</v>
      </c>
      <c r="F333" s="64" t="s">
        <v>373</v>
      </c>
      <c r="G333" s="64" t="s">
        <v>229</v>
      </c>
      <c r="H333" s="64">
        <v>20</v>
      </c>
      <c r="I333" s="64" t="s">
        <v>253</v>
      </c>
      <c r="J333" s="64" t="s">
        <v>232</v>
      </c>
      <c r="K333" s="64" t="s">
        <v>374</v>
      </c>
      <c r="L333" s="64" t="s">
        <v>375</v>
      </c>
      <c r="M333" s="1">
        <v>2</v>
      </c>
      <c r="N333" s="1">
        <v>518</v>
      </c>
      <c r="O333" s="64" t="s">
        <v>376</v>
      </c>
      <c r="Q333" s="64" t="s">
        <v>521</v>
      </c>
      <c r="R333" s="64" t="s">
        <v>288</v>
      </c>
      <c r="S333" s="64" t="s">
        <v>312</v>
      </c>
      <c r="T333" s="64" t="s">
        <v>313</v>
      </c>
      <c r="U333" s="64" t="s">
        <v>469</v>
      </c>
      <c r="V333" s="64" t="s">
        <v>304</v>
      </c>
      <c r="W333" s="64" t="s">
        <v>229</v>
      </c>
      <c r="X333" s="64" t="s">
        <v>306</v>
      </c>
      <c r="Y333" s="64">
        <v>20</v>
      </c>
      <c r="Z333" s="64" t="s">
        <v>241</v>
      </c>
      <c r="AA333" s="64" t="s">
        <v>316</v>
      </c>
      <c r="AB333" s="64" t="s">
        <v>317</v>
      </c>
      <c r="AC333" s="64" t="s">
        <v>470</v>
      </c>
      <c r="AD333" s="64" t="s">
        <v>470</v>
      </c>
      <c r="AE333" s="64" t="s">
        <v>306</v>
      </c>
      <c r="AF333" s="64" t="s">
        <v>310</v>
      </c>
      <c r="AG333" s="64" t="s">
        <v>283</v>
      </c>
      <c r="AH333" s="1">
        <v>211</v>
      </c>
      <c r="AI333" s="1">
        <v>203</v>
      </c>
      <c r="AJ333" s="1">
        <v>204</v>
      </c>
      <c r="AK333" s="1">
        <v>2</v>
      </c>
      <c r="AL333" s="1">
        <v>4.5</v>
      </c>
      <c r="AM333" s="1">
        <v>3.5</v>
      </c>
      <c r="AN333" s="64" t="s">
        <v>471</v>
      </c>
    </row>
    <row r="334" spans="1:40" s="68" customFormat="1">
      <c r="A334" s="64">
        <v>0.6</v>
      </c>
      <c r="B334" s="64" t="s">
        <v>379</v>
      </c>
      <c r="C334" s="64" t="s">
        <v>380</v>
      </c>
      <c r="D334" s="64" t="s">
        <v>381</v>
      </c>
      <c r="E334" s="64" t="s">
        <v>382</v>
      </c>
      <c r="F334" s="64" t="s">
        <v>383</v>
      </c>
      <c r="G334" s="64" t="s">
        <v>229</v>
      </c>
      <c r="H334" s="64">
        <v>20</v>
      </c>
      <c r="I334" s="64" t="s">
        <v>171</v>
      </c>
      <c r="J334" s="64" t="s">
        <v>244</v>
      </c>
      <c r="K334" s="64" t="s">
        <v>384</v>
      </c>
      <c r="L334" s="64" t="s">
        <v>385</v>
      </c>
      <c r="M334" s="1">
        <v>2</v>
      </c>
      <c r="N334" s="1">
        <v>568</v>
      </c>
      <c r="O334" s="64" t="s">
        <v>386</v>
      </c>
      <c r="Q334" s="64" t="s">
        <v>521</v>
      </c>
      <c r="R334" s="64" t="s">
        <v>305</v>
      </c>
      <c r="S334" s="64" t="s">
        <v>321</v>
      </c>
      <c r="T334" s="64" t="s">
        <v>322</v>
      </c>
      <c r="U334" s="64" t="s">
        <v>481</v>
      </c>
      <c r="V334" s="64" t="s">
        <v>336</v>
      </c>
      <c r="W334" s="64" t="s">
        <v>229</v>
      </c>
      <c r="X334" s="64" t="s">
        <v>166</v>
      </c>
      <c r="Y334" s="64">
        <v>20</v>
      </c>
      <c r="Z334" s="64" t="s">
        <v>241</v>
      </c>
      <c r="AA334" s="64" t="s">
        <v>325</v>
      </c>
      <c r="AB334" s="64" t="s">
        <v>326</v>
      </c>
      <c r="AC334" s="64" t="s">
        <v>482</v>
      </c>
      <c r="AD334" s="64" t="s">
        <v>482</v>
      </c>
      <c r="AE334" s="64" t="s">
        <v>306</v>
      </c>
      <c r="AF334" s="64" t="s">
        <v>310</v>
      </c>
      <c r="AG334" s="64" t="s">
        <v>306</v>
      </c>
      <c r="AH334" s="1">
        <v>266</v>
      </c>
      <c r="AI334" s="1">
        <v>259</v>
      </c>
      <c r="AJ334" s="1">
        <v>260</v>
      </c>
      <c r="AK334" s="1">
        <v>2</v>
      </c>
      <c r="AL334" s="1">
        <v>4.5</v>
      </c>
      <c r="AM334" s="1">
        <v>3.5</v>
      </c>
      <c r="AN334" s="64" t="s">
        <v>337</v>
      </c>
    </row>
    <row r="335" spans="1:40" s="68" customFormat="1">
      <c r="A335" s="64">
        <v>0.6</v>
      </c>
      <c r="B335" s="64" t="s">
        <v>383</v>
      </c>
      <c r="C335" s="64" t="s">
        <v>391</v>
      </c>
      <c r="D335" s="64" t="s">
        <v>392</v>
      </c>
      <c r="E335" s="64" t="s">
        <v>393</v>
      </c>
      <c r="F335" s="64" t="s">
        <v>394</v>
      </c>
      <c r="G335" s="64" t="s">
        <v>238</v>
      </c>
      <c r="H335" s="64">
        <v>24</v>
      </c>
      <c r="I335" s="64" t="s">
        <v>171</v>
      </c>
      <c r="J335" s="64" t="s">
        <v>395</v>
      </c>
      <c r="K335" s="64" t="s">
        <v>396</v>
      </c>
      <c r="L335" s="64" t="s">
        <v>397</v>
      </c>
      <c r="M335" s="1">
        <v>2</v>
      </c>
      <c r="N335" s="1">
        <v>667</v>
      </c>
      <c r="O335" s="64" t="s">
        <v>243</v>
      </c>
      <c r="Q335" s="64" t="s">
        <v>521</v>
      </c>
      <c r="R335" s="64" t="s">
        <v>329</v>
      </c>
      <c r="S335" s="64" t="s">
        <v>330</v>
      </c>
      <c r="T335" s="64" t="s">
        <v>330</v>
      </c>
      <c r="U335" s="64" t="s">
        <v>524</v>
      </c>
      <c r="V335" s="64" t="s">
        <v>346</v>
      </c>
      <c r="W335" s="64" t="s">
        <v>238</v>
      </c>
      <c r="X335" s="64" t="s">
        <v>166</v>
      </c>
      <c r="Y335" s="64">
        <v>24</v>
      </c>
      <c r="Z335" s="64" t="s">
        <v>238</v>
      </c>
      <c r="AA335" s="64" t="s">
        <v>333</v>
      </c>
      <c r="AB335" s="64" t="s">
        <v>334</v>
      </c>
      <c r="AC335" s="64" t="s">
        <v>493</v>
      </c>
      <c r="AD335" s="64" t="s">
        <v>493</v>
      </c>
      <c r="AE335" s="64" t="s">
        <v>224</v>
      </c>
      <c r="AF335" s="64" t="s">
        <v>264</v>
      </c>
      <c r="AG335" s="64" t="s">
        <v>224</v>
      </c>
      <c r="AH335" s="1">
        <v>319</v>
      </c>
      <c r="AI335" s="1">
        <v>312</v>
      </c>
      <c r="AJ335" s="1">
        <v>313</v>
      </c>
      <c r="AK335" s="1">
        <v>2</v>
      </c>
      <c r="AL335" s="1">
        <v>4.5</v>
      </c>
      <c r="AM335" s="1">
        <v>3.5</v>
      </c>
      <c r="AN335" s="64" t="s">
        <v>355</v>
      </c>
    </row>
    <row r="336" spans="1:40" s="68" customFormat="1">
      <c r="A336" s="64">
        <v>0.6</v>
      </c>
      <c r="B336" s="64" t="s">
        <v>399</v>
      </c>
      <c r="C336" s="64" t="s">
        <v>400</v>
      </c>
      <c r="D336" s="64" t="s">
        <v>401</v>
      </c>
      <c r="E336" s="64" t="s">
        <v>402</v>
      </c>
      <c r="F336" s="64" t="s">
        <v>403</v>
      </c>
      <c r="G336" s="64" t="s">
        <v>238</v>
      </c>
      <c r="H336" s="64">
        <v>24</v>
      </c>
      <c r="I336" s="64" t="s">
        <v>241</v>
      </c>
      <c r="J336" s="64" t="s">
        <v>240</v>
      </c>
      <c r="K336" s="64" t="s">
        <v>404</v>
      </c>
      <c r="L336" s="64" t="s">
        <v>405</v>
      </c>
      <c r="M336" s="1">
        <v>5</v>
      </c>
      <c r="N336" s="1">
        <v>772</v>
      </c>
      <c r="O336" s="64" t="s">
        <v>525</v>
      </c>
      <c r="Q336" s="64" t="s">
        <v>521</v>
      </c>
      <c r="R336" s="64" t="s">
        <v>338</v>
      </c>
      <c r="S336" s="64" t="s">
        <v>339</v>
      </c>
      <c r="T336" s="64" t="s">
        <v>340</v>
      </c>
      <c r="U336" s="64" t="s">
        <v>497</v>
      </c>
      <c r="V336" s="64" t="s">
        <v>526</v>
      </c>
      <c r="W336" s="64" t="s">
        <v>238</v>
      </c>
      <c r="X336" s="64" t="s">
        <v>166</v>
      </c>
      <c r="Y336" s="64">
        <v>24</v>
      </c>
      <c r="Z336" s="64" t="s">
        <v>275</v>
      </c>
      <c r="AA336" s="64" t="s">
        <v>343</v>
      </c>
      <c r="AB336" s="64" t="s">
        <v>344</v>
      </c>
      <c r="AC336" s="64" t="s">
        <v>348</v>
      </c>
      <c r="AD336" s="64" t="s">
        <v>348</v>
      </c>
      <c r="AE336" s="64" t="s">
        <v>224</v>
      </c>
      <c r="AF336" s="64" t="s">
        <v>499</v>
      </c>
      <c r="AG336" s="64" t="s">
        <v>164</v>
      </c>
      <c r="AH336" s="1">
        <v>370</v>
      </c>
      <c r="AI336" s="1">
        <v>363</v>
      </c>
      <c r="AJ336" s="1">
        <v>364</v>
      </c>
      <c r="AK336" s="1">
        <v>2</v>
      </c>
      <c r="AL336" s="1">
        <v>4.5</v>
      </c>
      <c r="AM336" s="1">
        <v>3.5</v>
      </c>
      <c r="AN336" s="64" t="s">
        <v>527</v>
      </c>
    </row>
    <row r="337" spans="1:40" s="68" customFormat="1">
      <c r="A337" s="64">
        <v>0.6</v>
      </c>
      <c r="B337" s="64" t="s">
        <v>408</v>
      </c>
      <c r="C337" s="64" t="s">
        <v>409</v>
      </c>
      <c r="D337" s="64" t="s">
        <v>410</v>
      </c>
      <c r="E337" s="64" t="s">
        <v>411</v>
      </c>
      <c r="F337" s="64" t="s">
        <v>412</v>
      </c>
      <c r="G337" s="64" t="s">
        <v>232</v>
      </c>
      <c r="H337" s="64">
        <v>27</v>
      </c>
      <c r="I337" s="64" t="s">
        <v>241</v>
      </c>
      <c r="J337" s="64" t="s">
        <v>310</v>
      </c>
      <c r="K337" s="64" t="s">
        <v>413</v>
      </c>
      <c r="L337" s="64" t="s">
        <v>414</v>
      </c>
      <c r="M337" s="1">
        <v>5</v>
      </c>
      <c r="N337" s="1">
        <v>878</v>
      </c>
      <c r="O337" s="64" t="s">
        <v>528</v>
      </c>
      <c r="Q337" s="64" t="s">
        <v>521</v>
      </c>
      <c r="R337" s="64" t="s">
        <v>348</v>
      </c>
      <c r="S337" s="64" t="s">
        <v>349</v>
      </c>
      <c r="T337" s="64" t="s">
        <v>350</v>
      </c>
      <c r="U337" s="64" t="s">
        <v>529</v>
      </c>
      <c r="V337" s="64" t="s">
        <v>530</v>
      </c>
      <c r="W337" s="64" t="s">
        <v>238</v>
      </c>
      <c r="X337" s="64" t="s">
        <v>253</v>
      </c>
      <c r="Y337" s="64">
        <v>24</v>
      </c>
      <c r="Z337" s="64" t="s">
        <v>232</v>
      </c>
      <c r="AA337" s="64" t="s">
        <v>353</v>
      </c>
      <c r="AB337" s="64" t="s">
        <v>354</v>
      </c>
      <c r="AC337" s="64" t="s">
        <v>358</v>
      </c>
      <c r="AD337" s="64" t="s">
        <v>498</v>
      </c>
      <c r="AE337" s="64" t="s">
        <v>224</v>
      </c>
      <c r="AF337" s="64" t="s">
        <v>269</v>
      </c>
      <c r="AG337" s="64" t="s">
        <v>166</v>
      </c>
      <c r="AH337" s="1">
        <v>429</v>
      </c>
      <c r="AI337" s="1">
        <v>421</v>
      </c>
      <c r="AJ337" s="1">
        <v>422</v>
      </c>
      <c r="AK337" s="1">
        <v>2</v>
      </c>
      <c r="AL337" s="1">
        <v>5</v>
      </c>
      <c r="AM337" s="1">
        <v>4</v>
      </c>
      <c r="AN337" s="64" t="s">
        <v>531</v>
      </c>
    </row>
    <row r="338" spans="1:40" s="68" customFormat="1">
      <c r="A338" s="64">
        <v>0.6</v>
      </c>
      <c r="B338" s="64" t="s">
        <v>419</v>
      </c>
      <c r="C338" s="64" t="s">
        <v>420</v>
      </c>
      <c r="D338" s="64" t="s">
        <v>412</v>
      </c>
      <c r="E338" s="64" t="s">
        <v>421</v>
      </c>
      <c r="F338" s="64" t="s">
        <v>422</v>
      </c>
      <c r="G338" s="64" t="s">
        <v>232</v>
      </c>
      <c r="H338" s="64">
        <v>27</v>
      </c>
      <c r="I338" s="64" t="s">
        <v>241</v>
      </c>
      <c r="J338" s="64" t="s">
        <v>454</v>
      </c>
      <c r="K338" s="64" t="s">
        <v>423</v>
      </c>
      <c r="L338" s="64" t="s">
        <v>424</v>
      </c>
      <c r="M338" s="1">
        <v>5</v>
      </c>
      <c r="N338" s="1">
        <v>978</v>
      </c>
      <c r="O338" s="64" t="s">
        <v>532</v>
      </c>
      <c r="Q338" s="64" t="s">
        <v>521</v>
      </c>
      <c r="R338" s="64" t="s">
        <v>358</v>
      </c>
      <c r="S338" s="64" t="s">
        <v>359</v>
      </c>
      <c r="T338" s="64" t="s">
        <v>360</v>
      </c>
      <c r="U338" s="64" t="s">
        <v>533</v>
      </c>
      <c r="V338" s="64" t="s">
        <v>507</v>
      </c>
      <c r="W338" s="64" t="s">
        <v>232</v>
      </c>
      <c r="X338" s="64" t="s">
        <v>253</v>
      </c>
      <c r="Y338" s="64">
        <v>27</v>
      </c>
      <c r="Z338" s="64" t="s">
        <v>244</v>
      </c>
      <c r="AA338" s="64" t="s">
        <v>363</v>
      </c>
      <c r="AB338" s="64" t="s">
        <v>364</v>
      </c>
      <c r="AC338" s="64" t="s">
        <v>502</v>
      </c>
      <c r="AD338" s="64" t="s">
        <v>503</v>
      </c>
      <c r="AE338" s="64" t="s">
        <v>224</v>
      </c>
      <c r="AF338" s="64" t="s">
        <v>508</v>
      </c>
      <c r="AG338" s="64" t="s">
        <v>166</v>
      </c>
      <c r="AH338" s="1">
        <v>480</v>
      </c>
      <c r="AI338" s="1">
        <v>273</v>
      </c>
      <c r="AJ338" s="1">
        <v>474</v>
      </c>
      <c r="AK338" s="1">
        <v>2</v>
      </c>
      <c r="AL338" s="1">
        <v>5</v>
      </c>
      <c r="AM338" s="1">
        <v>4</v>
      </c>
      <c r="AN338" s="64" t="s">
        <v>534</v>
      </c>
    </row>
    <row r="339" spans="1:40" s="68" customFormat="1">
      <c r="A339" s="64">
        <v>0.6</v>
      </c>
      <c r="B339" s="64" t="s">
        <v>429</v>
      </c>
      <c r="C339" s="64" t="s">
        <v>430</v>
      </c>
      <c r="D339" s="64" t="s">
        <v>422</v>
      </c>
      <c r="E339" s="64" t="s">
        <v>431</v>
      </c>
      <c r="F339" s="64" t="s">
        <v>432</v>
      </c>
      <c r="G339" s="64" t="s">
        <v>232</v>
      </c>
      <c r="H339" s="64">
        <v>27</v>
      </c>
      <c r="I339" s="64" t="s">
        <v>275</v>
      </c>
      <c r="J339" s="64" t="s">
        <v>389</v>
      </c>
      <c r="K339" s="64" t="s">
        <v>422</v>
      </c>
      <c r="L339" s="64" t="s">
        <v>434</v>
      </c>
      <c r="M339" s="1">
        <v>5</v>
      </c>
      <c r="N339" s="1">
        <v>1078</v>
      </c>
      <c r="O339" s="64" t="s">
        <v>535</v>
      </c>
      <c r="Q339" s="64" t="s">
        <v>521</v>
      </c>
      <c r="R339" s="64" t="s">
        <v>369</v>
      </c>
      <c r="S339" s="64" t="s">
        <v>370</v>
      </c>
      <c r="T339" s="64" t="s">
        <v>371</v>
      </c>
      <c r="U339" s="64" t="s">
        <v>536</v>
      </c>
      <c r="V339" s="64" t="s">
        <v>537</v>
      </c>
      <c r="W339" s="64" t="s">
        <v>232</v>
      </c>
      <c r="X339" s="64" t="s">
        <v>171</v>
      </c>
      <c r="Y339" s="64">
        <v>27</v>
      </c>
      <c r="Z339" s="64" t="s">
        <v>292</v>
      </c>
      <c r="AA339" s="64" t="s">
        <v>374</v>
      </c>
      <c r="AB339" s="64" t="s">
        <v>375</v>
      </c>
      <c r="AC339" s="64" t="s">
        <v>506</v>
      </c>
      <c r="AD339" s="64" t="s">
        <v>507</v>
      </c>
      <c r="AE339" s="64" t="s">
        <v>166</v>
      </c>
      <c r="AF339" s="64" t="s">
        <v>538</v>
      </c>
      <c r="AG339" s="64" t="s">
        <v>166</v>
      </c>
      <c r="AH339" s="1">
        <v>548</v>
      </c>
      <c r="AI339" s="1">
        <v>523</v>
      </c>
      <c r="AJ339" s="1">
        <v>524</v>
      </c>
      <c r="AK339" s="1">
        <v>2</v>
      </c>
      <c r="AL339" s="1">
        <v>5</v>
      </c>
      <c r="AM339" s="1">
        <v>4</v>
      </c>
      <c r="AN339" s="64" t="s">
        <v>539</v>
      </c>
    </row>
    <row r="340" spans="1:40" s="68" customFormat="1">
      <c r="A340" s="64">
        <v>0.6</v>
      </c>
      <c r="B340" s="64" t="s">
        <v>438</v>
      </c>
      <c r="C340" s="64" t="s">
        <v>439</v>
      </c>
      <c r="D340" s="64" t="s">
        <v>440</v>
      </c>
      <c r="E340" s="64" t="s">
        <v>540</v>
      </c>
      <c r="F340" s="64" t="s">
        <v>541</v>
      </c>
      <c r="G340" s="64" t="s">
        <v>247</v>
      </c>
      <c r="H340" s="64">
        <v>30</v>
      </c>
      <c r="I340" s="64" t="s">
        <v>244</v>
      </c>
      <c r="J340" s="64" t="s">
        <v>257</v>
      </c>
      <c r="K340" s="64" t="s">
        <v>443</v>
      </c>
      <c r="L340" s="64" t="s">
        <v>444</v>
      </c>
      <c r="M340" s="1">
        <v>5</v>
      </c>
      <c r="N340" s="1">
        <v>1295</v>
      </c>
      <c r="O340" s="64" t="s">
        <v>542</v>
      </c>
      <c r="Q340" s="64" t="s">
        <v>521</v>
      </c>
      <c r="R340" s="64" t="s">
        <v>379</v>
      </c>
      <c r="S340" s="64" t="s">
        <v>380</v>
      </c>
      <c r="T340" s="64" t="s">
        <v>381</v>
      </c>
      <c r="U340" s="64" t="s">
        <v>404</v>
      </c>
      <c r="V340" s="64" t="s">
        <v>543</v>
      </c>
      <c r="W340" s="64" t="s">
        <v>247</v>
      </c>
      <c r="X340" s="64" t="s">
        <v>171</v>
      </c>
      <c r="Y340" s="64">
        <v>30</v>
      </c>
      <c r="Z340" s="64" t="s">
        <v>292</v>
      </c>
      <c r="AA340" s="64" t="s">
        <v>384</v>
      </c>
      <c r="AB340" s="64" t="s">
        <v>385</v>
      </c>
      <c r="AC340" s="64" t="s">
        <v>512</v>
      </c>
      <c r="AD340" s="64" t="s">
        <v>513</v>
      </c>
      <c r="AE340" s="64" t="s">
        <v>166</v>
      </c>
      <c r="AF340" s="64" t="s">
        <v>544</v>
      </c>
      <c r="AG340" s="64" t="s">
        <v>166</v>
      </c>
      <c r="AH340" s="1">
        <v>609</v>
      </c>
      <c r="AI340" s="1">
        <v>575</v>
      </c>
      <c r="AJ340" s="1">
        <v>576</v>
      </c>
      <c r="AK340" s="1">
        <v>2</v>
      </c>
      <c r="AL340" s="1">
        <v>5</v>
      </c>
      <c r="AM340" s="1">
        <v>4</v>
      </c>
      <c r="AN340" s="64" t="s">
        <v>545</v>
      </c>
    </row>
    <row r="341" spans="1:40" s="68" customFormat="1">
      <c r="A341" s="64">
        <v>0.6</v>
      </c>
      <c r="B341" s="64" t="s">
        <v>449</v>
      </c>
      <c r="C341" s="64" t="s">
        <v>450</v>
      </c>
      <c r="D341" s="64" t="s">
        <v>451</v>
      </c>
      <c r="E341" s="64" t="s">
        <v>466</v>
      </c>
      <c r="F341" s="64" t="s">
        <v>546</v>
      </c>
      <c r="G341" s="64" t="s">
        <v>395</v>
      </c>
      <c r="H341" s="64">
        <v>33</v>
      </c>
      <c r="I341" s="64" t="s">
        <v>395</v>
      </c>
      <c r="J341" s="64" t="s">
        <v>538</v>
      </c>
      <c r="K341" s="64" t="s">
        <v>455</v>
      </c>
      <c r="L341" s="64" t="s">
        <v>456</v>
      </c>
      <c r="M341" s="1">
        <v>5</v>
      </c>
      <c r="N341" s="1">
        <v>1510</v>
      </c>
      <c r="O341" s="64" t="s">
        <v>547</v>
      </c>
      <c r="Q341" s="64" t="s">
        <v>521</v>
      </c>
      <c r="R341" s="64" t="s">
        <v>383</v>
      </c>
      <c r="S341" s="64" t="s">
        <v>391</v>
      </c>
      <c r="T341" s="64" t="s">
        <v>392</v>
      </c>
      <c r="U341" s="64" t="s">
        <v>548</v>
      </c>
      <c r="V341" s="64" t="s">
        <v>549</v>
      </c>
      <c r="W341" s="64" t="s">
        <v>395</v>
      </c>
      <c r="X341" s="64" t="s">
        <v>171</v>
      </c>
      <c r="Y341" s="64">
        <v>33</v>
      </c>
      <c r="Z341" s="64" t="s">
        <v>395</v>
      </c>
      <c r="AA341" s="64" t="s">
        <v>396</v>
      </c>
      <c r="AB341" s="64" t="s">
        <v>397</v>
      </c>
      <c r="AC341" s="64" t="s">
        <v>518</v>
      </c>
      <c r="AD341" s="64" t="s">
        <v>519</v>
      </c>
      <c r="AE341" s="64" t="s">
        <v>166</v>
      </c>
      <c r="AF341" s="64" t="s">
        <v>550</v>
      </c>
      <c r="AG341" s="64" t="s">
        <v>166</v>
      </c>
      <c r="AH341" s="1">
        <v>720</v>
      </c>
      <c r="AI341" s="1">
        <v>675</v>
      </c>
      <c r="AJ341" s="1">
        <v>676</v>
      </c>
      <c r="AK341" s="1">
        <v>2</v>
      </c>
      <c r="AL341" s="1">
        <v>5</v>
      </c>
      <c r="AM341" s="1">
        <v>4</v>
      </c>
      <c r="AN341" s="64" t="s">
        <v>551</v>
      </c>
    </row>
    <row r="342" spans="1:40" s="68" customFormat="1">
      <c r="A342" s="64">
        <v>0.6</v>
      </c>
      <c r="B342" s="64" t="s">
        <v>460</v>
      </c>
      <c r="C342" s="64" t="s">
        <v>461</v>
      </c>
      <c r="D342" s="64" t="s">
        <v>462</v>
      </c>
      <c r="E342" s="64" t="s">
        <v>552</v>
      </c>
      <c r="F342" s="64" t="s">
        <v>553</v>
      </c>
      <c r="G342" s="64" t="s">
        <v>395</v>
      </c>
      <c r="H342" s="64">
        <v>33</v>
      </c>
      <c r="I342" s="64" t="s">
        <v>240</v>
      </c>
      <c r="J342" s="64" t="s">
        <v>278</v>
      </c>
      <c r="K342" s="64" t="s">
        <v>466</v>
      </c>
      <c r="L342" s="64" t="s">
        <v>467</v>
      </c>
      <c r="M342" s="1">
        <v>5</v>
      </c>
      <c r="N342" s="1">
        <v>1710</v>
      </c>
      <c r="O342" s="64" t="s">
        <v>554</v>
      </c>
      <c r="Q342" s="64" t="s">
        <v>555</v>
      </c>
      <c r="R342" s="64" t="s">
        <v>224</v>
      </c>
      <c r="S342" s="64" t="s">
        <v>160</v>
      </c>
      <c r="T342" s="64" t="s">
        <v>161</v>
      </c>
      <c r="U342" s="64" t="s">
        <v>235</v>
      </c>
      <c r="V342" s="64" t="s">
        <v>257</v>
      </c>
      <c r="W342" s="64" t="s">
        <v>161</v>
      </c>
      <c r="X342" s="64" t="s">
        <v>165</v>
      </c>
      <c r="Y342" s="64">
        <v>12</v>
      </c>
      <c r="Z342" s="64" t="s">
        <v>161</v>
      </c>
      <c r="AA342" s="64" t="s">
        <v>167</v>
      </c>
      <c r="AB342" s="64" t="s">
        <v>168</v>
      </c>
      <c r="AC342" s="64" t="s">
        <v>232</v>
      </c>
      <c r="AD342" s="64" t="s">
        <v>232</v>
      </c>
      <c r="AE342" s="64" t="s">
        <v>170</v>
      </c>
      <c r="AF342" s="64" t="s">
        <v>229</v>
      </c>
      <c r="AG342" s="64" t="s">
        <v>165</v>
      </c>
      <c r="AH342" s="1">
        <v>41</v>
      </c>
      <c r="AI342" s="1">
        <v>34</v>
      </c>
      <c r="AJ342" s="1">
        <v>35</v>
      </c>
      <c r="AK342" s="1">
        <v>2</v>
      </c>
      <c r="AL342" s="1">
        <v>4</v>
      </c>
      <c r="AM342" s="1">
        <v>3</v>
      </c>
      <c r="AN342" s="64" t="s">
        <v>522</v>
      </c>
    </row>
    <row r="343" spans="1:40" s="68" customFormat="1">
      <c r="A343" s="64">
        <v>0.6</v>
      </c>
      <c r="B343" s="64" t="s">
        <v>472</v>
      </c>
      <c r="C343" s="64" t="s">
        <v>473</v>
      </c>
      <c r="D343" s="64" t="s">
        <v>474</v>
      </c>
      <c r="E343" s="64" t="s">
        <v>556</v>
      </c>
      <c r="F343" s="64" t="s">
        <v>557</v>
      </c>
      <c r="G343" s="64" t="s">
        <v>255</v>
      </c>
      <c r="H343" s="64">
        <v>36</v>
      </c>
      <c r="I343" s="64" t="s">
        <v>310</v>
      </c>
      <c r="J343" s="64" t="s">
        <v>417</v>
      </c>
      <c r="K343" s="64" t="s">
        <v>478</v>
      </c>
      <c r="L343" s="64" t="s">
        <v>479</v>
      </c>
      <c r="M343" s="1">
        <v>5</v>
      </c>
      <c r="N343" s="1">
        <v>1918</v>
      </c>
      <c r="O343" s="64" t="s">
        <v>558</v>
      </c>
      <c r="Q343" s="64" t="s">
        <v>555</v>
      </c>
      <c r="R343" s="64" t="s">
        <v>168</v>
      </c>
      <c r="S343" s="64" t="s">
        <v>226</v>
      </c>
      <c r="T343" s="64" t="s">
        <v>167</v>
      </c>
      <c r="U343" s="64" t="s">
        <v>366</v>
      </c>
      <c r="V343" s="64" t="s">
        <v>236</v>
      </c>
      <c r="W343" s="64" t="s">
        <v>161</v>
      </c>
      <c r="X343" s="64" t="s">
        <v>165</v>
      </c>
      <c r="Y343" s="64">
        <v>12</v>
      </c>
      <c r="Z343" s="64" t="s">
        <v>161</v>
      </c>
      <c r="AA343" s="64" t="s">
        <v>229</v>
      </c>
      <c r="AB343" s="64" t="s">
        <v>230</v>
      </c>
      <c r="AC343" s="64" t="s">
        <v>367</v>
      </c>
      <c r="AD343" s="64" t="s">
        <v>367</v>
      </c>
      <c r="AE343" s="64" t="s">
        <v>170</v>
      </c>
      <c r="AF343" s="64" t="s">
        <v>229</v>
      </c>
      <c r="AG343" s="64" t="s">
        <v>165</v>
      </c>
      <c r="AH343" s="1">
        <v>46</v>
      </c>
      <c r="AI343" s="1">
        <v>39</v>
      </c>
      <c r="AJ343" s="1">
        <v>40</v>
      </c>
      <c r="AK343" s="1">
        <v>2</v>
      </c>
      <c r="AL343" s="1">
        <v>4</v>
      </c>
      <c r="AM343" s="1">
        <v>3</v>
      </c>
      <c r="AN343" s="64" t="s">
        <v>523</v>
      </c>
    </row>
    <row r="344" spans="1:40" s="68" customFormat="1">
      <c r="A344" s="64">
        <v>0.6</v>
      </c>
      <c r="B344" s="64" t="s">
        <v>484</v>
      </c>
      <c r="C344" s="64" t="s">
        <v>485</v>
      </c>
      <c r="D344" s="64" t="s">
        <v>486</v>
      </c>
      <c r="E344" s="64" t="s">
        <v>559</v>
      </c>
      <c r="F344" s="64" t="s">
        <v>560</v>
      </c>
      <c r="G344" s="64" t="s">
        <v>433</v>
      </c>
      <c r="H344" s="64">
        <v>39</v>
      </c>
      <c r="I344" s="64" t="s">
        <v>454</v>
      </c>
      <c r="J344" s="64" t="s">
        <v>561</v>
      </c>
      <c r="K344" s="64" t="s">
        <v>490</v>
      </c>
      <c r="L344" s="64" t="s">
        <v>491</v>
      </c>
      <c r="M344" s="1">
        <v>5</v>
      </c>
      <c r="N344" s="1">
        <v>2125</v>
      </c>
      <c r="O344" s="64" t="s">
        <v>562</v>
      </c>
      <c r="Q344" s="64" t="s">
        <v>555</v>
      </c>
      <c r="R344" s="64" t="s">
        <v>171</v>
      </c>
      <c r="S344" s="64" t="s">
        <v>234</v>
      </c>
      <c r="T344" s="64" t="s">
        <v>169</v>
      </c>
      <c r="U344" s="64" t="s">
        <v>377</v>
      </c>
      <c r="V344" s="64" t="s">
        <v>162</v>
      </c>
      <c r="W344" s="64" t="s">
        <v>161</v>
      </c>
      <c r="X344" s="64" t="s">
        <v>165</v>
      </c>
      <c r="Y344" s="64">
        <v>12</v>
      </c>
      <c r="Z344" s="64" t="s">
        <v>253</v>
      </c>
      <c r="AA344" s="64" t="s">
        <v>237</v>
      </c>
      <c r="AB344" s="64" t="s">
        <v>238</v>
      </c>
      <c r="AC344" s="64" t="s">
        <v>261</v>
      </c>
      <c r="AD344" s="64" t="s">
        <v>261</v>
      </c>
      <c r="AE344" s="64" t="s">
        <v>165</v>
      </c>
      <c r="AF344" s="64" t="s">
        <v>238</v>
      </c>
      <c r="AG344" s="64" t="s">
        <v>165</v>
      </c>
      <c r="AH344" s="1">
        <v>56</v>
      </c>
      <c r="AI344" s="1">
        <v>50</v>
      </c>
      <c r="AJ344" s="1">
        <v>51</v>
      </c>
      <c r="AK344" s="1">
        <v>2</v>
      </c>
      <c r="AL344" s="1">
        <v>4</v>
      </c>
      <c r="AM344" s="1">
        <v>3</v>
      </c>
      <c r="AN344" s="64" t="s">
        <v>378</v>
      </c>
    </row>
    <row r="345" spans="1:40" s="68" customFormat="1">
      <c r="A345" s="65">
        <v>1</v>
      </c>
      <c r="B345" s="64" t="s">
        <v>224</v>
      </c>
      <c r="C345" s="64" t="s">
        <v>160</v>
      </c>
      <c r="D345" s="64" t="s">
        <v>161</v>
      </c>
      <c r="E345" s="64" t="s">
        <v>235</v>
      </c>
      <c r="F345" s="64" t="s">
        <v>257</v>
      </c>
      <c r="G345" s="64" t="s">
        <v>161</v>
      </c>
      <c r="H345" s="64">
        <v>12</v>
      </c>
      <c r="I345" s="64" t="s">
        <v>165</v>
      </c>
      <c r="J345" s="64" t="s">
        <v>161</v>
      </c>
      <c r="K345" s="64" t="s">
        <v>167</v>
      </c>
      <c r="L345" s="64" t="s">
        <v>168</v>
      </c>
      <c r="M345" s="1">
        <v>2</v>
      </c>
      <c r="N345" s="1">
        <v>41</v>
      </c>
      <c r="O345" s="64" t="s">
        <v>563</v>
      </c>
      <c r="Q345" s="64" t="s">
        <v>555</v>
      </c>
      <c r="R345" s="64" t="s">
        <v>169</v>
      </c>
      <c r="S345" s="64" t="s">
        <v>243</v>
      </c>
      <c r="T345" s="64" t="s">
        <v>244</v>
      </c>
      <c r="U345" s="64" t="s">
        <v>387</v>
      </c>
      <c r="V345" s="64" t="s">
        <v>388</v>
      </c>
      <c r="W345" s="64" t="s">
        <v>161</v>
      </c>
      <c r="X345" s="64" t="s">
        <v>165</v>
      </c>
      <c r="Y345" s="64">
        <v>12</v>
      </c>
      <c r="Z345" s="64" t="s">
        <v>253</v>
      </c>
      <c r="AA345" s="64" t="s">
        <v>246</v>
      </c>
      <c r="AB345" s="64" t="s">
        <v>247</v>
      </c>
      <c r="AC345" s="64" t="s">
        <v>389</v>
      </c>
      <c r="AD345" s="64" t="s">
        <v>389</v>
      </c>
      <c r="AE345" s="64" t="s">
        <v>165</v>
      </c>
      <c r="AF345" s="64" t="s">
        <v>275</v>
      </c>
      <c r="AG345" s="64" t="s">
        <v>258</v>
      </c>
      <c r="AH345" s="1">
        <v>65</v>
      </c>
      <c r="AI345" s="1">
        <v>57</v>
      </c>
      <c r="AJ345" s="1">
        <v>58</v>
      </c>
      <c r="AK345" s="1">
        <v>2</v>
      </c>
      <c r="AL345" s="1">
        <v>4</v>
      </c>
      <c r="AM345" s="1">
        <v>3</v>
      </c>
      <c r="AN345" s="64" t="s">
        <v>390</v>
      </c>
    </row>
    <row r="346" spans="1:40" s="68" customFormat="1">
      <c r="A346" s="65">
        <v>1</v>
      </c>
      <c r="B346" s="64" t="s">
        <v>168</v>
      </c>
      <c r="C346" s="64" t="s">
        <v>226</v>
      </c>
      <c r="D346" s="64" t="s">
        <v>167</v>
      </c>
      <c r="E346" s="64" t="s">
        <v>366</v>
      </c>
      <c r="F346" s="64" t="s">
        <v>236</v>
      </c>
      <c r="G346" s="64" t="s">
        <v>161</v>
      </c>
      <c r="H346" s="64">
        <v>12</v>
      </c>
      <c r="I346" s="64" t="s">
        <v>165</v>
      </c>
      <c r="J346" s="64" t="s">
        <v>161</v>
      </c>
      <c r="K346" s="64" t="s">
        <v>229</v>
      </c>
      <c r="L346" s="64" t="s">
        <v>230</v>
      </c>
      <c r="M346" s="1">
        <v>2</v>
      </c>
      <c r="N346" s="1">
        <v>46</v>
      </c>
      <c r="O346" s="64" t="s">
        <v>564</v>
      </c>
      <c r="Q346" s="64" t="s">
        <v>555</v>
      </c>
      <c r="R346" s="64" t="s">
        <v>244</v>
      </c>
      <c r="S346" s="64" t="s">
        <v>250</v>
      </c>
      <c r="T346" s="64" t="s">
        <v>251</v>
      </c>
      <c r="U346" s="64" t="s">
        <v>270</v>
      </c>
      <c r="V346" s="64" t="s">
        <v>245</v>
      </c>
      <c r="W346" s="64" t="s">
        <v>167</v>
      </c>
      <c r="X346" s="64" t="s">
        <v>165</v>
      </c>
      <c r="Y346" s="64">
        <v>16</v>
      </c>
      <c r="Z346" s="64" t="s">
        <v>167</v>
      </c>
      <c r="AA346" s="64" t="s">
        <v>254</v>
      </c>
      <c r="AB346" s="64" t="s">
        <v>255</v>
      </c>
      <c r="AC346" s="64" t="s">
        <v>257</v>
      </c>
      <c r="AD346" s="64" t="s">
        <v>257</v>
      </c>
      <c r="AE346" s="64" t="s">
        <v>258</v>
      </c>
      <c r="AF346" s="64" t="s">
        <v>232</v>
      </c>
      <c r="AG346" s="64" t="s">
        <v>258</v>
      </c>
      <c r="AH346" s="1">
        <v>76</v>
      </c>
      <c r="AI346" s="1">
        <v>65</v>
      </c>
      <c r="AJ346" s="1">
        <v>66</v>
      </c>
      <c r="AK346" s="1">
        <v>2</v>
      </c>
      <c r="AL346" s="1">
        <v>4</v>
      </c>
      <c r="AM346" s="1">
        <v>3</v>
      </c>
      <c r="AN346" s="64" t="s">
        <v>398</v>
      </c>
    </row>
    <row r="347" spans="1:40" s="68" customFormat="1">
      <c r="A347" s="65">
        <v>1</v>
      </c>
      <c r="B347" s="64" t="s">
        <v>171</v>
      </c>
      <c r="C347" s="64" t="s">
        <v>234</v>
      </c>
      <c r="D347" s="64" t="s">
        <v>169</v>
      </c>
      <c r="E347" s="64" t="s">
        <v>377</v>
      </c>
      <c r="F347" s="64" t="s">
        <v>162</v>
      </c>
      <c r="G347" s="64" t="s">
        <v>161</v>
      </c>
      <c r="H347" s="64">
        <v>12</v>
      </c>
      <c r="I347" s="64" t="s">
        <v>165</v>
      </c>
      <c r="J347" s="64" t="s">
        <v>253</v>
      </c>
      <c r="K347" s="64" t="s">
        <v>237</v>
      </c>
      <c r="L347" s="64" t="s">
        <v>238</v>
      </c>
      <c r="M347" s="1">
        <v>2</v>
      </c>
      <c r="N347" s="1">
        <v>56</v>
      </c>
      <c r="O347" s="64" t="s">
        <v>565</v>
      </c>
      <c r="Q347" s="64" t="s">
        <v>555</v>
      </c>
      <c r="R347" s="64" t="s">
        <v>240</v>
      </c>
      <c r="S347" s="64" t="s">
        <v>260</v>
      </c>
      <c r="T347" s="64" t="s">
        <v>261</v>
      </c>
      <c r="U347" s="64" t="s">
        <v>288</v>
      </c>
      <c r="V347" s="64" t="s">
        <v>271</v>
      </c>
      <c r="W347" s="64" t="s">
        <v>167</v>
      </c>
      <c r="X347" s="64" t="s">
        <v>165</v>
      </c>
      <c r="Y347" s="64">
        <v>16</v>
      </c>
      <c r="Z347" s="64" t="s">
        <v>167</v>
      </c>
      <c r="AA347" s="64" t="s">
        <v>263</v>
      </c>
      <c r="AB347" s="64" t="s">
        <v>264</v>
      </c>
      <c r="AC347" s="64" t="s">
        <v>266</v>
      </c>
      <c r="AD347" s="64" t="s">
        <v>266</v>
      </c>
      <c r="AE347" s="64" t="s">
        <v>258</v>
      </c>
      <c r="AF347" s="64" t="s">
        <v>244</v>
      </c>
      <c r="AG347" s="64" t="s">
        <v>258</v>
      </c>
      <c r="AH347" s="1">
        <v>84</v>
      </c>
      <c r="AI347" s="1">
        <v>75</v>
      </c>
      <c r="AJ347" s="1">
        <v>76</v>
      </c>
      <c r="AK347" s="1">
        <v>2</v>
      </c>
      <c r="AL347" s="1">
        <v>4</v>
      </c>
      <c r="AM347" s="1">
        <v>3</v>
      </c>
      <c r="AN347" s="64" t="s">
        <v>407</v>
      </c>
    </row>
    <row r="348" spans="1:40" s="68" customFormat="1">
      <c r="A348" s="65">
        <v>1</v>
      </c>
      <c r="B348" s="64" t="s">
        <v>169</v>
      </c>
      <c r="C348" s="64" t="s">
        <v>243</v>
      </c>
      <c r="D348" s="64" t="s">
        <v>244</v>
      </c>
      <c r="E348" s="64" t="s">
        <v>387</v>
      </c>
      <c r="F348" s="64" t="s">
        <v>388</v>
      </c>
      <c r="G348" s="64" t="s">
        <v>161</v>
      </c>
      <c r="H348" s="64">
        <v>12</v>
      </c>
      <c r="I348" s="64" t="s">
        <v>165</v>
      </c>
      <c r="J348" s="64" t="s">
        <v>253</v>
      </c>
      <c r="K348" s="64" t="s">
        <v>246</v>
      </c>
      <c r="L348" s="64" t="s">
        <v>247</v>
      </c>
      <c r="M348" s="1">
        <v>2</v>
      </c>
      <c r="N348" s="1">
        <v>65</v>
      </c>
      <c r="O348" s="64" t="s">
        <v>566</v>
      </c>
      <c r="Q348" s="64" t="s">
        <v>555</v>
      </c>
      <c r="R348" s="64" t="s">
        <v>163</v>
      </c>
      <c r="S348" s="64" t="s">
        <v>268</v>
      </c>
      <c r="T348" s="64" t="s">
        <v>269</v>
      </c>
      <c r="U348" s="64" t="s">
        <v>416</v>
      </c>
      <c r="V348" s="64" t="s">
        <v>301</v>
      </c>
      <c r="W348" s="64" t="s">
        <v>167</v>
      </c>
      <c r="X348" s="64" t="s">
        <v>165</v>
      </c>
      <c r="Y348" s="64">
        <v>16</v>
      </c>
      <c r="Z348" s="64" t="s">
        <v>171</v>
      </c>
      <c r="AA348" s="64" t="s">
        <v>272</v>
      </c>
      <c r="AB348" s="64" t="s">
        <v>273</v>
      </c>
      <c r="AC348" s="64" t="s">
        <v>417</v>
      </c>
      <c r="AD348" s="64" t="s">
        <v>417</v>
      </c>
      <c r="AE348" s="64" t="s">
        <v>258</v>
      </c>
      <c r="AF348" s="64" t="s">
        <v>292</v>
      </c>
      <c r="AG348" s="64" t="s">
        <v>258</v>
      </c>
      <c r="AH348" s="1">
        <v>99</v>
      </c>
      <c r="AI348" s="1">
        <v>87</v>
      </c>
      <c r="AJ348" s="1">
        <v>88</v>
      </c>
      <c r="AK348" s="1">
        <v>2</v>
      </c>
      <c r="AL348" s="1">
        <v>4</v>
      </c>
      <c r="AM348" s="1">
        <v>3</v>
      </c>
      <c r="AN348" s="64" t="s">
        <v>418</v>
      </c>
    </row>
    <row r="349" spans="1:40" s="68" customFormat="1">
      <c r="A349" s="65">
        <v>1</v>
      </c>
      <c r="B349" s="64" t="s">
        <v>244</v>
      </c>
      <c r="C349" s="64" t="s">
        <v>250</v>
      </c>
      <c r="D349" s="64" t="s">
        <v>251</v>
      </c>
      <c r="E349" s="64" t="s">
        <v>270</v>
      </c>
      <c r="F349" s="64" t="s">
        <v>245</v>
      </c>
      <c r="G349" s="64" t="s">
        <v>167</v>
      </c>
      <c r="H349" s="64">
        <v>16</v>
      </c>
      <c r="I349" s="64" t="s">
        <v>165</v>
      </c>
      <c r="J349" s="64" t="s">
        <v>167</v>
      </c>
      <c r="K349" s="64" t="s">
        <v>254</v>
      </c>
      <c r="L349" s="64" t="s">
        <v>255</v>
      </c>
      <c r="M349" s="1">
        <v>2</v>
      </c>
      <c r="N349" s="1">
        <v>76</v>
      </c>
      <c r="O349" s="64" t="s">
        <v>567</v>
      </c>
      <c r="Q349" s="64" t="s">
        <v>555</v>
      </c>
      <c r="R349" s="64" t="s">
        <v>236</v>
      </c>
      <c r="S349" s="64" t="s">
        <v>277</v>
      </c>
      <c r="T349" s="64" t="s">
        <v>278</v>
      </c>
      <c r="U349" s="64" t="s">
        <v>319</v>
      </c>
      <c r="V349" s="64" t="s">
        <v>426</v>
      </c>
      <c r="W349" s="64" t="s">
        <v>167</v>
      </c>
      <c r="X349" s="64" t="s">
        <v>306</v>
      </c>
      <c r="Y349" s="64">
        <v>16</v>
      </c>
      <c r="Z349" s="64" t="s">
        <v>229</v>
      </c>
      <c r="AA349" s="64" t="s">
        <v>280</v>
      </c>
      <c r="AB349" s="64" t="s">
        <v>281</v>
      </c>
      <c r="AC349" s="64" t="s">
        <v>427</v>
      </c>
      <c r="AD349" s="64" t="s">
        <v>427</v>
      </c>
      <c r="AE349" s="64" t="s">
        <v>283</v>
      </c>
      <c r="AF349" s="64" t="s">
        <v>251</v>
      </c>
      <c r="AG349" s="64" t="s">
        <v>283</v>
      </c>
      <c r="AH349" s="1">
        <v>118</v>
      </c>
      <c r="AI349" s="1">
        <v>109</v>
      </c>
      <c r="AJ349" s="1">
        <v>110</v>
      </c>
      <c r="AK349" s="1">
        <v>2</v>
      </c>
      <c r="AL349" s="1">
        <v>4</v>
      </c>
      <c r="AM349" s="1">
        <v>3</v>
      </c>
      <c r="AN349" s="64" t="s">
        <v>568</v>
      </c>
    </row>
    <row r="350" spans="1:40" s="68" customFormat="1">
      <c r="A350" s="65">
        <v>1</v>
      </c>
      <c r="B350" s="64" t="s">
        <v>240</v>
      </c>
      <c r="C350" s="64" t="s">
        <v>260</v>
      </c>
      <c r="D350" s="64" t="s">
        <v>261</v>
      </c>
      <c r="E350" s="64" t="s">
        <v>288</v>
      </c>
      <c r="F350" s="64" t="s">
        <v>271</v>
      </c>
      <c r="G350" s="64" t="s">
        <v>167</v>
      </c>
      <c r="H350" s="64">
        <v>16</v>
      </c>
      <c r="I350" s="64" t="s">
        <v>165</v>
      </c>
      <c r="J350" s="64" t="s">
        <v>167</v>
      </c>
      <c r="K350" s="64" t="s">
        <v>263</v>
      </c>
      <c r="L350" s="64" t="s">
        <v>264</v>
      </c>
      <c r="M350" s="1">
        <v>2</v>
      </c>
      <c r="N350" s="1">
        <v>84</v>
      </c>
      <c r="O350" s="64" t="s">
        <v>569</v>
      </c>
      <c r="Q350" s="64" t="s">
        <v>555</v>
      </c>
      <c r="R350" s="64" t="s">
        <v>227</v>
      </c>
      <c r="S350" s="64" t="s">
        <v>285</v>
      </c>
      <c r="T350" s="64" t="s">
        <v>286</v>
      </c>
      <c r="U350" s="64" t="s">
        <v>305</v>
      </c>
      <c r="V350" s="64" t="s">
        <v>279</v>
      </c>
      <c r="W350" s="64" t="s">
        <v>167</v>
      </c>
      <c r="X350" s="64" t="s">
        <v>306</v>
      </c>
      <c r="Y350" s="64">
        <v>16</v>
      </c>
      <c r="Z350" s="64" t="s">
        <v>241</v>
      </c>
      <c r="AA350" s="64" t="s">
        <v>289</v>
      </c>
      <c r="AB350" s="64" t="s">
        <v>290</v>
      </c>
      <c r="AC350" s="64" t="s">
        <v>436</v>
      </c>
      <c r="AD350" s="64" t="s">
        <v>436</v>
      </c>
      <c r="AE350" s="64" t="s">
        <v>283</v>
      </c>
      <c r="AF350" s="64" t="s">
        <v>240</v>
      </c>
      <c r="AG350" s="64" t="s">
        <v>283</v>
      </c>
      <c r="AH350" s="1">
        <v>132</v>
      </c>
      <c r="AI350" s="1">
        <v>120</v>
      </c>
      <c r="AJ350" s="1">
        <v>121</v>
      </c>
      <c r="AK350" s="1">
        <v>2</v>
      </c>
      <c r="AL350" s="1">
        <v>4</v>
      </c>
      <c r="AM350" s="1">
        <v>3</v>
      </c>
      <c r="AN350" s="64" t="s">
        <v>570</v>
      </c>
    </row>
    <row r="351" spans="1:40" s="68" customFormat="1">
      <c r="A351" s="65">
        <v>1</v>
      </c>
      <c r="B351" s="64" t="s">
        <v>163</v>
      </c>
      <c r="C351" s="64" t="s">
        <v>268</v>
      </c>
      <c r="D351" s="64" t="s">
        <v>269</v>
      </c>
      <c r="E351" s="64" t="s">
        <v>416</v>
      </c>
      <c r="F351" s="64" t="s">
        <v>301</v>
      </c>
      <c r="G351" s="64" t="s">
        <v>167</v>
      </c>
      <c r="H351" s="64">
        <v>16</v>
      </c>
      <c r="I351" s="64" t="s">
        <v>165</v>
      </c>
      <c r="J351" s="64" t="s">
        <v>171</v>
      </c>
      <c r="K351" s="64" t="s">
        <v>272</v>
      </c>
      <c r="L351" s="64" t="s">
        <v>273</v>
      </c>
      <c r="M351" s="1">
        <v>2</v>
      </c>
      <c r="N351" s="1">
        <v>99</v>
      </c>
      <c r="O351" s="64" t="s">
        <v>571</v>
      </c>
      <c r="Q351" s="64" t="s">
        <v>555</v>
      </c>
      <c r="R351" s="64" t="s">
        <v>245</v>
      </c>
      <c r="S351" s="64" t="s">
        <v>294</v>
      </c>
      <c r="T351" s="64" t="s">
        <v>295</v>
      </c>
      <c r="U351" s="64" t="s">
        <v>572</v>
      </c>
      <c r="V351" s="64" t="s">
        <v>287</v>
      </c>
      <c r="W351" s="64" t="s">
        <v>229</v>
      </c>
      <c r="X351" s="64" t="s">
        <v>306</v>
      </c>
      <c r="Y351" s="64">
        <v>20</v>
      </c>
      <c r="Z351" s="64" t="s">
        <v>238</v>
      </c>
      <c r="AA351" s="64" t="s">
        <v>298</v>
      </c>
      <c r="AB351" s="64" t="s">
        <v>271</v>
      </c>
      <c r="AC351" s="64" t="s">
        <v>426</v>
      </c>
      <c r="AD351" s="64" t="s">
        <v>426</v>
      </c>
      <c r="AE351" s="64" t="s">
        <v>283</v>
      </c>
      <c r="AF351" s="64" t="s">
        <v>310</v>
      </c>
      <c r="AG351" s="64" t="s">
        <v>283</v>
      </c>
      <c r="AH351" s="1">
        <v>156</v>
      </c>
      <c r="AI351" s="1">
        <v>149</v>
      </c>
      <c r="AJ351" s="1">
        <v>150</v>
      </c>
      <c r="AK351" s="1">
        <v>2</v>
      </c>
      <c r="AL351" s="1">
        <v>4.5</v>
      </c>
      <c r="AM351" s="1">
        <v>3.5</v>
      </c>
      <c r="AN351" s="64" t="s">
        <v>573</v>
      </c>
    </row>
    <row r="352" spans="1:40" s="68" customFormat="1">
      <c r="A352" s="65">
        <v>1</v>
      </c>
      <c r="B352" s="64" t="s">
        <v>236</v>
      </c>
      <c r="C352" s="64" t="s">
        <v>277</v>
      </c>
      <c r="D352" s="64" t="s">
        <v>278</v>
      </c>
      <c r="E352" s="64" t="s">
        <v>319</v>
      </c>
      <c r="F352" s="64" t="s">
        <v>426</v>
      </c>
      <c r="G352" s="64" t="s">
        <v>167</v>
      </c>
      <c r="H352" s="64">
        <v>16</v>
      </c>
      <c r="I352" s="64" t="s">
        <v>165</v>
      </c>
      <c r="J352" s="64" t="s">
        <v>171</v>
      </c>
      <c r="K352" s="64" t="s">
        <v>280</v>
      </c>
      <c r="L352" s="64" t="s">
        <v>281</v>
      </c>
      <c r="M352" s="1">
        <v>2</v>
      </c>
      <c r="N352" s="1">
        <v>118</v>
      </c>
      <c r="O352" s="64" t="s">
        <v>574</v>
      </c>
      <c r="Q352" s="64" t="s">
        <v>555</v>
      </c>
      <c r="R352" s="64" t="s">
        <v>301</v>
      </c>
      <c r="S352" s="64" t="s">
        <v>302</v>
      </c>
      <c r="T352" s="64" t="s">
        <v>303</v>
      </c>
      <c r="U352" s="64" t="s">
        <v>575</v>
      </c>
      <c r="V352" s="64" t="s">
        <v>446</v>
      </c>
      <c r="W352" s="64" t="s">
        <v>238</v>
      </c>
      <c r="X352" s="64" t="s">
        <v>306</v>
      </c>
      <c r="Y352" s="64">
        <v>24</v>
      </c>
      <c r="Z352" s="64" t="s">
        <v>275</v>
      </c>
      <c r="AA352" s="64" t="s">
        <v>307</v>
      </c>
      <c r="AB352" s="64" t="s">
        <v>308</v>
      </c>
      <c r="AC352" s="64" t="s">
        <v>297</v>
      </c>
      <c r="AD352" s="64" t="s">
        <v>297</v>
      </c>
      <c r="AE352" s="64" t="s">
        <v>283</v>
      </c>
      <c r="AF352" s="64" t="s">
        <v>454</v>
      </c>
      <c r="AG352" s="64" t="s">
        <v>283</v>
      </c>
      <c r="AH352" s="1">
        <v>184</v>
      </c>
      <c r="AI352" s="1">
        <v>175</v>
      </c>
      <c r="AJ352" s="1">
        <v>176</v>
      </c>
      <c r="AK352" s="1">
        <v>2</v>
      </c>
      <c r="AL352" s="1">
        <v>4.5</v>
      </c>
      <c r="AM352" s="1">
        <v>3.5</v>
      </c>
      <c r="AN352" s="64" t="s">
        <v>576</v>
      </c>
    </row>
    <row r="353" spans="1:40" s="68" customFormat="1">
      <c r="A353" s="65">
        <v>1</v>
      </c>
      <c r="B353" s="64" t="s">
        <v>227</v>
      </c>
      <c r="C353" s="64" t="s">
        <v>285</v>
      </c>
      <c r="D353" s="64" t="s">
        <v>286</v>
      </c>
      <c r="E353" s="64" t="s">
        <v>305</v>
      </c>
      <c r="F353" s="64" t="s">
        <v>279</v>
      </c>
      <c r="G353" s="64" t="s">
        <v>167</v>
      </c>
      <c r="H353" s="64">
        <v>16</v>
      </c>
      <c r="I353" s="64" t="s">
        <v>306</v>
      </c>
      <c r="J353" s="64" t="s">
        <v>171</v>
      </c>
      <c r="K353" s="64" t="s">
        <v>289</v>
      </c>
      <c r="L353" s="64" t="s">
        <v>290</v>
      </c>
      <c r="M353" s="1">
        <v>2</v>
      </c>
      <c r="N353" s="1">
        <v>132</v>
      </c>
      <c r="O353" s="64" t="s">
        <v>577</v>
      </c>
      <c r="Q353" s="64" t="s">
        <v>555</v>
      </c>
      <c r="R353" s="64" t="s">
        <v>288</v>
      </c>
      <c r="S353" s="64" t="s">
        <v>312</v>
      </c>
      <c r="T353" s="64" t="s">
        <v>313</v>
      </c>
      <c r="U353" s="64" t="s">
        <v>338</v>
      </c>
      <c r="V353" s="64" t="s">
        <v>329</v>
      </c>
      <c r="W353" s="64" t="s">
        <v>238</v>
      </c>
      <c r="X353" s="64" t="s">
        <v>306</v>
      </c>
      <c r="Y353" s="64">
        <v>24</v>
      </c>
      <c r="Z353" s="64" t="s">
        <v>232</v>
      </c>
      <c r="AA353" s="64" t="s">
        <v>316</v>
      </c>
      <c r="AB353" s="64" t="s">
        <v>317</v>
      </c>
      <c r="AC353" s="64" t="s">
        <v>305</v>
      </c>
      <c r="AD353" s="64" t="s">
        <v>305</v>
      </c>
      <c r="AE353" s="64" t="s">
        <v>306</v>
      </c>
      <c r="AF353" s="64" t="s">
        <v>389</v>
      </c>
      <c r="AG353" s="64" t="s">
        <v>283</v>
      </c>
      <c r="AH353" s="1">
        <v>211</v>
      </c>
      <c r="AI353" s="1">
        <v>203</v>
      </c>
      <c r="AJ353" s="1">
        <v>204</v>
      </c>
      <c r="AK353" s="1">
        <v>2</v>
      </c>
      <c r="AL353" s="1">
        <v>4.5</v>
      </c>
      <c r="AM353" s="1">
        <v>3.5</v>
      </c>
      <c r="AN353" s="64" t="s">
        <v>578</v>
      </c>
    </row>
    <row r="354" spans="1:40" s="68" customFormat="1">
      <c r="A354" s="65">
        <v>1</v>
      </c>
      <c r="B354" s="64" t="s">
        <v>245</v>
      </c>
      <c r="C354" s="64" t="s">
        <v>294</v>
      </c>
      <c r="D354" s="64" t="s">
        <v>295</v>
      </c>
      <c r="E354" s="64" t="s">
        <v>446</v>
      </c>
      <c r="F354" s="64" t="s">
        <v>447</v>
      </c>
      <c r="G354" s="64" t="s">
        <v>167</v>
      </c>
      <c r="H354" s="64">
        <v>16</v>
      </c>
      <c r="I354" s="64" t="s">
        <v>306</v>
      </c>
      <c r="J354" s="64" t="s">
        <v>229</v>
      </c>
      <c r="K354" s="64" t="s">
        <v>298</v>
      </c>
      <c r="L354" s="64" t="s">
        <v>271</v>
      </c>
      <c r="M354" s="1">
        <v>2</v>
      </c>
      <c r="N354" s="1">
        <v>156</v>
      </c>
      <c r="O354" s="64" t="s">
        <v>579</v>
      </c>
      <c r="Q354" s="64" t="s">
        <v>555</v>
      </c>
      <c r="R354" s="64" t="s">
        <v>305</v>
      </c>
      <c r="S354" s="64" t="s">
        <v>321</v>
      </c>
      <c r="T354" s="64" t="s">
        <v>322</v>
      </c>
      <c r="U354" s="64" t="s">
        <v>580</v>
      </c>
      <c r="V354" s="64" t="s">
        <v>581</v>
      </c>
      <c r="W354" s="64" t="s">
        <v>238</v>
      </c>
      <c r="X354" s="64" t="s">
        <v>166</v>
      </c>
      <c r="Y354" s="64">
        <v>24</v>
      </c>
      <c r="Z354" s="64" t="s">
        <v>244</v>
      </c>
      <c r="AA354" s="64" t="s">
        <v>325</v>
      </c>
      <c r="AB354" s="64" t="s">
        <v>326</v>
      </c>
      <c r="AC354" s="64" t="s">
        <v>582</v>
      </c>
      <c r="AD354" s="64" t="s">
        <v>582</v>
      </c>
      <c r="AE354" s="64" t="s">
        <v>306</v>
      </c>
      <c r="AF354" s="64" t="s">
        <v>389</v>
      </c>
      <c r="AG354" s="64" t="s">
        <v>306</v>
      </c>
      <c r="AH354" s="1">
        <v>266</v>
      </c>
      <c r="AI354" s="1">
        <v>259</v>
      </c>
      <c r="AJ354" s="1">
        <v>260</v>
      </c>
      <c r="AK354" s="1">
        <v>2</v>
      </c>
      <c r="AL354" s="1">
        <v>4.5</v>
      </c>
      <c r="AM354" s="1">
        <v>3.5</v>
      </c>
      <c r="AN354" s="64" t="s">
        <v>583</v>
      </c>
    </row>
    <row r="355" spans="1:40" s="68" customFormat="1">
      <c r="A355" s="65">
        <v>1</v>
      </c>
      <c r="B355" s="64" t="s">
        <v>301</v>
      </c>
      <c r="C355" s="64" t="s">
        <v>302</v>
      </c>
      <c r="D355" s="64" t="s">
        <v>303</v>
      </c>
      <c r="E355" s="64" t="s">
        <v>329</v>
      </c>
      <c r="F355" s="64" t="s">
        <v>296</v>
      </c>
      <c r="G355" s="64" t="s">
        <v>167</v>
      </c>
      <c r="H355" s="64">
        <v>16</v>
      </c>
      <c r="I355" s="64" t="s">
        <v>306</v>
      </c>
      <c r="J355" s="64" t="s">
        <v>229</v>
      </c>
      <c r="K355" s="64" t="s">
        <v>307</v>
      </c>
      <c r="L355" s="64" t="s">
        <v>308</v>
      </c>
      <c r="M355" s="1">
        <v>2</v>
      </c>
      <c r="N355" s="1">
        <v>184</v>
      </c>
      <c r="O355" s="64" t="s">
        <v>584</v>
      </c>
      <c r="Q355" s="64" t="s">
        <v>555</v>
      </c>
      <c r="R355" s="64" t="s">
        <v>329</v>
      </c>
      <c r="S355" s="64" t="s">
        <v>330</v>
      </c>
      <c r="T355" s="64" t="s">
        <v>330</v>
      </c>
      <c r="U355" s="64" t="s">
        <v>585</v>
      </c>
      <c r="V355" s="64" t="s">
        <v>586</v>
      </c>
      <c r="W355" s="64" t="s">
        <v>232</v>
      </c>
      <c r="X355" s="64" t="s">
        <v>166</v>
      </c>
      <c r="Y355" s="64">
        <v>27</v>
      </c>
      <c r="Z355" s="64" t="s">
        <v>367</v>
      </c>
      <c r="AA355" s="64" t="s">
        <v>333</v>
      </c>
      <c r="AB355" s="64" t="s">
        <v>334</v>
      </c>
      <c r="AC355" s="64" t="s">
        <v>581</v>
      </c>
      <c r="AD355" s="64" t="s">
        <v>581</v>
      </c>
      <c r="AE355" s="64" t="s">
        <v>224</v>
      </c>
      <c r="AF355" s="64" t="s">
        <v>257</v>
      </c>
      <c r="AG355" s="64" t="s">
        <v>224</v>
      </c>
      <c r="AH355" s="1">
        <v>330</v>
      </c>
      <c r="AI355" s="1">
        <v>312</v>
      </c>
      <c r="AJ355" s="1">
        <v>313</v>
      </c>
      <c r="AK355" s="1">
        <v>2</v>
      </c>
      <c r="AL355" s="1">
        <v>4.5</v>
      </c>
      <c r="AM355" s="1">
        <v>3.5</v>
      </c>
      <c r="AN355" s="64" t="s">
        <v>587</v>
      </c>
    </row>
    <row r="356" spans="1:40" s="68" customFormat="1">
      <c r="A356" s="65">
        <v>1</v>
      </c>
      <c r="B356" s="64" t="s">
        <v>288</v>
      </c>
      <c r="C356" s="64" t="s">
        <v>312</v>
      </c>
      <c r="D356" s="64" t="s">
        <v>313</v>
      </c>
      <c r="E356" s="64" t="s">
        <v>469</v>
      </c>
      <c r="F356" s="64" t="s">
        <v>304</v>
      </c>
      <c r="G356" s="64" t="s">
        <v>229</v>
      </c>
      <c r="H356" s="64">
        <v>20</v>
      </c>
      <c r="I356" s="64" t="s">
        <v>306</v>
      </c>
      <c r="J356" s="64" t="s">
        <v>241</v>
      </c>
      <c r="K356" s="64" t="s">
        <v>316</v>
      </c>
      <c r="L356" s="64" t="s">
        <v>317</v>
      </c>
      <c r="M356" s="1">
        <v>2</v>
      </c>
      <c r="N356" s="1">
        <v>211</v>
      </c>
      <c r="O356" s="64" t="s">
        <v>588</v>
      </c>
      <c r="Q356" s="64" t="s">
        <v>555</v>
      </c>
      <c r="R356" s="64" t="s">
        <v>338</v>
      </c>
      <c r="S356" s="64" t="s">
        <v>339</v>
      </c>
      <c r="T356" s="64" t="s">
        <v>340</v>
      </c>
      <c r="U356" s="64" t="s">
        <v>375</v>
      </c>
      <c r="V356" s="64" t="s">
        <v>364</v>
      </c>
      <c r="W356" s="64" t="s">
        <v>232</v>
      </c>
      <c r="X356" s="64" t="s">
        <v>253</v>
      </c>
      <c r="Y356" s="64">
        <v>27</v>
      </c>
      <c r="Z356" s="64" t="s">
        <v>251</v>
      </c>
      <c r="AA356" s="64" t="s">
        <v>343</v>
      </c>
      <c r="AB356" s="64" t="s">
        <v>344</v>
      </c>
      <c r="AC356" s="64" t="s">
        <v>589</v>
      </c>
      <c r="AD356" s="64" t="s">
        <v>589</v>
      </c>
      <c r="AE356" s="64" t="s">
        <v>224</v>
      </c>
      <c r="AF356" s="64" t="s">
        <v>514</v>
      </c>
      <c r="AG356" s="64" t="s">
        <v>164</v>
      </c>
      <c r="AH356" s="1">
        <v>389</v>
      </c>
      <c r="AI356" s="1">
        <v>363</v>
      </c>
      <c r="AJ356" s="1">
        <v>364</v>
      </c>
      <c r="AK356" s="1">
        <v>2</v>
      </c>
      <c r="AL356" s="1">
        <v>4.5</v>
      </c>
      <c r="AM356" s="1">
        <v>3.5</v>
      </c>
      <c r="AN356" s="64" t="s">
        <v>590</v>
      </c>
    </row>
    <row r="357" spans="1:40" s="68" customFormat="1">
      <c r="A357" s="65">
        <v>1</v>
      </c>
      <c r="B357" s="64" t="s">
        <v>305</v>
      </c>
      <c r="C357" s="64" t="s">
        <v>321</v>
      </c>
      <c r="D357" s="64" t="s">
        <v>322</v>
      </c>
      <c r="E357" s="64" t="s">
        <v>481</v>
      </c>
      <c r="F357" s="64" t="s">
        <v>336</v>
      </c>
      <c r="G357" s="64" t="s">
        <v>229</v>
      </c>
      <c r="H357" s="64">
        <v>20</v>
      </c>
      <c r="I357" s="64" t="s">
        <v>306</v>
      </c>
      <c r="J357" s="64" t="s">
        <v>241</v>
      </c>
      <c r="K357" s="64" t="s">
        <v>325</v>
      </c>
      <c r="L357" s="64" t="s">
        <v>326</v>
      </c>
      <c r="M357" s="1">
        <v>2</v>
      </c>
      <c r="N357" s="1">
        <v>266</v>
      </c>
      <c r="O357" s="64" t="s">
        <v>591</v>
      </c>
      <c r="Q357" s="64" t="s">
        <v>555</v>
      </c>
      <c r="R357" s="64" t="s">
        <v>348</v>
      </c>
      <c r="S357" s="64" t="s">
        <v>349</v>
      </c>
      <c r="T357" s="64" t="s">
        <v>350</v>
      </c>
      <c r="U357" s="64" t="s">
        <v>592</v>
      </c>
      <c r="V357" s="64" t="s">
        <v>351</v>
      </c>
      <c r="W357" s="64" t="s">
        <v>247</v>
      </c>
      <c r="X357" s="64" t="s">
        <v>253</v>
      </c>
      <c r="Y357" s="64">
        <v>30</v>
      </c>
      <c r="Z357" s="64" t="s">
        <v>433</v>
      </c>
      <c r="AA357" s="64" t="s">
        <v>353</v>
      </c>
      <c r="AB357" s="64" t="s">
        <v>354</v>
      </c>
      <c r="AC357" s="64" t="s">
        <v>593</v>
      </c>
      <c r="AD357" s="64" t="s">
        <v>364</v>
      </c>
      <c r="AE357" s="64" t="s">
        <v>224</v>
      </c>
      <c r="AF357" s="64" t="s">
        <v>594</v>
      </c>
      <c r="AG357" s="64" t="s">
        <v>166</v>
      </c>
      <c r="AH357" s="1">
        <v>448</v>
      </c>
      <c r="AI357" s="1">
        <v>421</v>
      </c>
      <c r="AJ357" s="1">
        <v>422</v>
      </c>
      <c r="AK357" s="1">
        <v>2</v>
      </c>
      <c r="AL357" s="1">
        <v>5</v>
      </c>
      <c r="AM357" s="1">
        <v>4</v>
      </c>
      <c r="AN357" s="64" t="s">
        <v>250</v>
      </c>
    </row>
    <row r="358" spans="1:40" s="68" customFormat="1">
      <c r="A358" s="65">
        <v>1</v>
      </c>
      <c r="B358" s="64" t="s">
        <v>329</v>
      </c>
      <c r="C358" s="64" t="s">
        <v>330</v>
      </c>
      <c r="D358" s="64" t="s">
        <v>330</v>
      </c>
      <c r="E358" s="64" t="s">
        <v>342</v>
      </c>
      <c r="F358" s="64" t="s">
        <v>348</v>
      </c>
      <c r="G358" s="64" t="s">
        <v>229</v>
      </c>
      <c r="H358" s="64">
        <v>20</v>
      </c>
      <c r="I358" s="64" t="s">
        <v>166</v>
      </c>
      <c r="J358" s="64" t="s">
        <v>238</v>
      </c>
      <c r="K358" s="64" t="s">
        <v>333</v>
      </c>
      <c r="L358" s="64" t="s">
        <v>334</v>
      </c>
      <c r="M358" s="1">
        <v>2</v>
      </c>
      <c r="N358" s="1">
        <v>319</v>
      </c>
      <c r="O358" s="64" t="s">
        <v>345</v>
      </c>
      <c r="Q358" s="64" t="s">
        <v>555</v>
      </c>
      <c r="R358" s="64" t="s">
        <v>358</v>
      </c>
      <c r="S358" s="64" t="s">
        <v>359</v>
      </c>
      <c r="T358" s="64" t="s">
        <v>360</v>
      </c>
      <c r="U358" s="64" t="s">
        <v>511</v>
      </c>
      <c r="V358" s="64" t="s">
        <v>373</v>
      </c>
      <c r="W358" s="64" t="s">
        <v>395</v>
      </c>
      <c r="X358" s="64" t="s">
        <v>253</v>
      </c>
      <c r="Y358" s="64">
        <v>33</v>
      </c>
      <c r="Z358" s="64" t="s">
        <v>264</v>
      </c>
      <c r="AA358" s="64" t="s">
        <v>363</v>
      </c>
      <c r="AB358" s="64" t="s">
        <v>364</v>
      </c>
      <c r="AC358" s="64" t="s">
        <v>595</v>
      </c>
      <c r="AD358" s="64" t="s">
        <v>596</v>
      </c>
      <c r="AE358" s="64" t="s">
        <v>224</v>
      </c>
      <c r="AF358" s="64" t="s">
        <v>281</v>
      </c>
      <c r="AG358" s="64" t="s">
        <v>166</v>
      </c>
      <c r="AH358" s="1">
        <v>503</v>
      </c>
      <c r="AI358" s="1">
        <v>273</v>
      </c>
      <c r="AJ358" s="1">
        <v>474</v>
      </c>
      <c r="AK358" s="1">
        <v>2</v>
      </c>
      <c r="AL358" s="1">
        <v>5</v>
      </c>
      <c r="AM358" s="1">
        <v>4</v>
      </c>
      <c r="AN358" s="64" t="s">
        <v>597</v>
      </c>
    </row>
    <row r="359" spans="1:40" s="68" customFormat="1">
      <c r="A359" s="65">
        <v>1</v>
      </c>
      <c r="B359" s="64" t="s">
        <v>338</v>
      </c>
      <c r="C359" s="64" t="s">
        <v>339</v>
      </c>
      <c r="D359" s="64" t="s">
        <v>340</v>
      </c>
      <c r="E359" s="64" t="s">
        <v>352</v>
      </c>
      <c r="F359" s="64" t="s">
        <v>358</v>
      </c>
      <c r="G359" s="64" t="s">
        <v>229</v>
      </c>
      <c r="H359" s="64">
        <v>20</v>
      </c>
      <c r="I359" s="64" t="s">
        <v>166</v>
      </c>
      <c r="J359" s="64" t="s">
        <v>275</v>
      </c>
      <c r="K359" s="64" t="s">
        <v>343</v>
      </c>
      <c r="L359" s="64" t="s">
        <v>344</v>
      </c>
      <c r="M359" s="1">
        <v>2</v>
      </c>
      <c r="N359" s="1">
        <v>370</v>
      </c>
      <c r="O359" s="64" t="s">
        <v>598</v>
      </c>
      <c r="Q359" s="64" t="s">
        <v>555</v>
      </c>
      <c r="R359" s="64" t="s">
        <v>369</v>
      </c>
      <c r="S359" s="64" t="s">
        <v>370</v>
      </c>
      <c r="T359" s="64" t="s">
        <v>371</v>
      </c>
      <c r="U359" s="64" t="s">
        <v>510</v>
      </c>
      <c r="V359" s="64" t="s">
        <v>383</v>
      </c>
      <c r="W359" s="64" t="s">
        <v>395</v>
      </c>
      <c r="X359" s="64" t="s">
        <v>171</v>
      </c>
      <c r="Y359" s="64">
        <v>33</v>
      </c>
      <c r="Z359" s="64" t="s">
        <v>163</v>
      </c>
      <c r="AA359" s="64" t="s">
        <v>374</v>
      </c>
      <c r="AB359" s="64" t="s">
        <v>375</v>
      </c>
      <c r="AC359" s="64" t="s">
        <v>529</v>
      </c>
      <c r="AD359" s="64" t="s">
        <v>599</v>
      </c>
      <c r="AE359" s="64" t="s">
        <v>166</v>
      </c>
      <c r="AF359" s="64" t="s">
        <v>417</v>
      </c>
      <c r="AG359" s="64" t="s">
        <v>166</v>
      </c>
      <c r="AH359" s="1">
        <v>548</v>
      </c>
      <c r="AI359" s="1">
        <v>523</v>
      </c>
      <c r="AJ359" s="1">
        <v>524</v>
      </c>
      <c r="AK359" s="1">
        <v>2</v>
      </c>
      <c r="AL359" s="1">
        <v>5</v>
      </c>
      <c r="AM359" s="1">
        <v>4</v>
      </c>
      <c r="AN359" s="64" t="s">
        <v>600</v>
      </c>
    </row>
    <row r="360" spans="1:40" s="68" customFormat="1">
      <c r="A360" s="65">
        <v>1</v>
      </c>
      <c r="B360" s="64" t="s">
        <v>348</v>
      </c>
      <c r="C360" s="64" t="s">
        <v>349</v>
      </c>
      <c r="D360" s="64" t="s">
        <v>350</v>
      </c>
      <c r="E360" s="64" t="s">
        <v>496</v>
      </c>
      <c r="F360" s="64" t="s">
        <v>497</v>
      </c>
      <c r="G360" s="64" t="s">
        <v>229</v>
      </c>
      <c r="H360" s="64">
        <v>20</v>
      </c>
      <c r="I360" s="64" t="s">
        <v>253</v>
      </c>
      <c r="J360" s="64" t="s">
        <v>232</v>
      </c>
      <c r="K360" s="64" t="s">
        <v>353</v>
      </c>
      <c r="L360" s="64" t="s">
        <v>354</v>
      </c>
      <c r="M360" s="1">
        <v>2</v>
      </c>
      <c r="N360" s="1">
        <v>429</v>
      </c>
      <c r="O360" s="64" t="s">
        <v>601</v>
      </c>
      <c r="Q360" s="64" t="s">
        <v>555</v>
      </c>
      <c r="R360" s="64" t="s">
        <v>379</v>
      </c>
      <c r="S360" s="64" t="s">
        <v>380</v>
      </c>
      <c r="T360" s="64" t="s">
        <v>381</v>
      </c>
      <c r="U360" s="64" t="s">
        <v>602</v>
      </c>
      <c r="V360" s="64" t="s">
        <v>603</v>
      </c>
      <c r="W360" s="64" t="s">
        <v>395</v>
      </c>
      <c r="X360" s="64" t="s">
        <v>171</v>
      </c>
      <c r="Y360" s="64">
        <v>33</v>
      </c>
      <c r="Z360" s="64" t="s">
        <v>29</v>
      </c>
      <c r="AA360" s="64" t="s">
        <v>384</v>
      </c>
      <c r="AB360" s="64" t="s">
        <v>385</v>
      </c>
      <c r="AC360" s="64" t="s">
        <v>533</v>
      </c>
      <c r="AD360" s="64" t="s">
        <v>604</v>
      </c>
      <c r="AE360" s="64" t="s">
        <v>166</v>
      </c>
      <c r="AF360" s="64" t="s">
        <v>235</v>
      </c>
      <c r="AG360" s="64" t="s">
        <v>166</v>
      </c>
      <c r="AH360" s="1">
        <v>609</v>
      </c>
      <c r="AI360" s="1">
        <v>575</v>
      </c>
      <c r="AJ360" s="1">
        <v>576</v>
      </c>
      <c r="AK360" s="1">
        <v>2</v>
      </c>
      <c r="AL360" s="1">
        <v>5</v>
      </c>
      <c r="AM360" s="1">
        <v>4</v>
      </c>
      <c r="AN360" s="64" t="s">
        <v>605</v>
      </c>
    </row>
    <row r="361" spans="1:40" s="68" customFormat="1">
      <c r="A361" s="65">
        <v>1</v>
      </c>
      <c r="B361" s="64" t="s">
        <v>358</v>
      </c>
      <c r="C361" s="64" t="s">
        <v>359</v>
      </c>
      <c r="D361" s="64" t="s">
        <v>360</v>
      </c>
      <c r="E361" s="64" t="s">
        <v>500</v>
      </c>
      <c r="F361" s="64" t="s">
        <v>501</v>
      </c>
      <c r="G361" s="64" t="s">
        <v>238</v>
      </c>
      <c r="H361" s="64">
        <v>24</v>
      </c>
      <c r="I361" s="64" t="s">
        <v>253</v>
      </c>
      <c r="J361" s="64" t="s">
        <v>244</v>
      </c>
      <c r="K361" s="64" t="s">
        <v>363</v>
      </c>
      <c r="L361" s="64" t="s">
        <v>364</v>
      </c>
      <c r="M361" s="1">
        <v>2</v>
      </c>
      <c r="N361" s="1">
        <v>480</v>
      </c>
      <c r="O361" s="64" t="s">
        <v>606</v>
      </c>
      <c r="Q361" s="64" t="s">
        <v>555</v>
      </c>
      <c r="R361" s="64" t="s">
        <v>383</v>
      </c>
      <c r="S361" s="64" t="s">
        <v>391</v>
      </c>
      <c r="T361" s="64" t="s">
        <v>392</v>
      </c>
      <c r="U361" s="64" t="s">
        <v>607</v>
      </c>
      <c r="V361" s="64" t="s">
        <v>549</v>
      </c>
      <c r="W361" s="64" t="s">
        <v>255</v>
      </c>
      <c r="X361" s="64" t="s">
        <v>171</v>
      </c>
      <c r="Y361" s="64">
        <v>36</v>
      </c>
      <c r="Z361" s="64" t="s">
        <v>538</v>
      </c>
      <c r="AA361" s="64" t="s">
        <v>396</v>
      </c>
      <c r="AB361" s="64" t="s">
        <v>397</v>
      </c>
      <c r="AC361" s="64" t="s">
        <v>608</v>
      </c>
      <c r="AD361" s="64" t="s">
        <v>609</v>
      </c>
      <c r="AE361" s="64" t="s">
        <v>166</v>
      </c>
      <c r="AF361" s="64" t="s">
        <v>245</v>
      </c>
      <c r="AG361" s="64" t="s">
        <v>166</v>
      </c>
      <c r="AH361" s="1">
        <v>720</v>
      </c>
      <c r="AI361" s="1">
        <v>675</v>
      </c>
      <c r="AJ361" s="1">
        <v>676</v>
      </c>
      <c r="AK361" s="1">
        <v>2</v>
      </c>
      <c r="AL361" s="1">
        <v>5</v>
      </c>
      <c r="AM361" s="1">
        <v>4</v>
      </c>
      <c r="AN361" s="64" t="s">
        <v>610</v>
      </c>
    </row>
    <row r="362" spans="1:40" s="68" customFormat="1">
      <c r="A362" s="65">
        <v>1</v>
      </c>
      <c r="B362" s="64" t="s">
        <v>369</v>
      </c>
      <c r="C362" s="64" t="s">
        <v>370</v>
      </c>
      <c r="D362" s="64" t="s">
        <v>371</v>
      </c>
      <c r="E362" s="64" t="s">
        <v>505</v>
      </c>
      <c r="F362" s="64" t="s">
        <v>500</v>
      </c>
      <c r="G362" s="64" t="s">
        <v>238</v>
      </c>
      <c r="H362" s="64">
        <v>24</v>
      </c>
      <c r="I362" s="64" t="s">
        <v>171</v>
      </c>
      <c r="J362" s="64" t="s">
        <v>367</v>
      </c>
      <c r="K362" s="64" t="s">
        <v>374</v>
      </c>
      <c r="L362" s="64" t="s">
        <v>375</v>
      </c>
      <c r="M362" s="1">
        <v>2</v>
      </c>
      <c r="N362" s="1">
        <v>530</v>
      </c>
      <c r="O362" s="64" t="s">
        <v>611</v>
      </c>
      <c r="Q362" s="64" t="s">
        <v>612</v>
      </c>
      <c r="R362" s="64" t="s">
        <v>224</v>
      </c>
      <c r="S362" s="64" t="s">
        <v>160</v>
      </c>
      <c r="T362" s="64" t="s">
        <v>161</v>
      </c>
      <c r="U362" s="64" t="s">
        <v>235</v>
      </c>
      <c r="V362" s="64" t="s">
        <v>257</v>
      </c>
      <c r="W362" s="64" t="s">
        <v>161</v>
      </c>
      <c r="X362" s="64" t="s">
        <v>165</v>
      </c>
      <c r="Y362" s="64">
        <v>12</v>
      </c>
      <c r="Z362" s="64" t="s">
        <v>161</v>
      </c>
      <c r="AA362" s="64" t="s">
        <v>167</v>
      </c>
      <c r="AB362" s="64" t="s">
        <v>168</v>
      </c>
      <c r="AC362" s="64" t="s">
        <v>232</v>
      </c>
      <c r="AD362" s="64" t="s">
        <v>232</v>
      </c>
      <c r="AE362" s="64" t="s">
        <v>170</v>
      </c>
      <c r="AF362" s="64" t="s">
        <v>229</v>
      </c>
      <c r="AG362" s="64" t="s">
        <v>165</v>
      </c>
      <c r="AH362" s="64">
        <v>41</v>
      </c>
      <c r="AI362" s="1">
        <v>34</v>
      </c>
      <c r="AJ362" s="1">
        <v>35</v>
      </c>
      <c r="AK362" s="1">
        <v>2</v>
      </c>
      <c r="AL362" s="1">
        <v>4</v>
      </c>
      <c r="AM362" s="1">
        <v>3</v>
      </c>
      <c r="AN362" s="64" t="s">
        <v>522</v>
      </c>
    </row>
    <row r="363" spans="1:40" s="68" customFormat="1">
      <c r="A363" s="65">
        <v>1</v>
      </c>
      <c r="B363" s="64" t="s">
        <v>379</v>
      </c>
      <c r="C363" s="64" t="s">
        <v>380</v>
      </c>
      <c r="D363" s="64" t="s">
        <v>381</v>
      </c>
      <c r="E363" s="64" t="s">
        <v>510</v>
      </c>
      <c r="F363" s="64" t="s">
        <v>511</v>
      </c>
      <c r="G363" s="64" t="s">
        <v>238</v>
      </c>
      <c r="H363" s="64">
        <v>24</v>
      </c>
      <c r="I363" s="64" t="s">
        <v>171</v>
      </c>
      <c r="J363" s="64" t="s">
        <v>251</v>
      </c>
      <c r="K363" s="64" t="s">
        <v>384</v>
      </c>
      <c r="L363" s="64" t="s">
        <v>385</v>
      </c>
      <c r="M363" s="1">
        <v>2</v>
      </c>
      <c r="N363" s="1">
        <v>582</v>
      </c>
      <c r="O363" s="64" t="s">
        <v>613</v>
      </c>
      <c r="Q363" s="64" t="s">
        <v>612</v>
      </c>
      <c r="R363" s="64" t="s">
        <v>168</v>
      </c>
      <c r="S363" s="64" t="s">
        <v>226</v>
      </c>
      <c r="T363" s="64" t="s">
        <v>167</v>
      </c>
      <c r="U363" s="64" t="s">
        <v>366</v>
      </c>
      <c r="V363" s="64" t="s">
        <v>236</v>
      </c>
      <c r="W363" s="64" t="s">
        <v>161</v>
      </c>
      <c r="X363" s="64" t="s">
        <v>165</v>
      </c>
      <c r="Y363" s="64">
        <v>12</v>
      </c>
      <c r="Z363" s="64" t="s">
        <v>161</v>
      </c>
      <c r="AA363" s="64" t="s">
        <v>229</v>
      </c>
      <c r="AB363" s="64" t="s">
        <v>230</v>
      </c>
      <c r="AC363" s="64" t="s">
        <v>367</v>
      </c>
      <c r="AD363" s="64" t="s">
        <v>367</v>
      </c>
      <c r="AE363" s="64" t="s">
        <v>170</v>
      </c>
      <c r="AF363" s="64" t="s">
        <v>229</v>
      </c>
      <c r="AG363" s="64" t="s">
        <v>165</v>
      </c>
      <c r="AH363" s="64">
        <v>16</v>
      </c>
      <c r="AI363" s="1">
        <v>39</v>
      </c>
      <c r="AJ363" s="1">
        <v>40</v>
      </c>
      <c r="AK363" s="1">
        <v>2</v>
      </c>
      <c r="AL363" s="1">
        <v>4</v>
      </c>
      <c r="AM363" s="1">
        <v>3</v>
      </c>
      <c r="AN363" s="64" t="s">
        <v>523</v>
      </c>
    </row>
    <row r="364" spans="1:40" s="68" customFormat="1">
      <c r="A364" s="65">
        <v>1</v>
      </c>
      <c r="B364" s="64" t="s">
        <v>383</v>
      </c>
      <c r="C364" s="64" t="s">
        <v>391</v>
      </c>
      <c r="D364" s="64" t="s">
        <v>392</v>
      </c>
      <c r="E364" s="64" t="s">
        <v>516</v>
      </c>
      <c r="F364" s="64" t="s">
        <v>517</v>
      </c>
      <c r="G364" s="64" t="s">
        <v>232</v>
      </c>
      <c r="H364" s="64">
        <v>27</v>
      </c>
      <c r="I364" s="64" t="s">
        <v>171</v>
      </c>
      <c r="J364" s="64" t="s">
        <v>433</v>
      </c>
      <c r="K364" s="64" t="s">
        <v>396</v>
      </c>
      <c r="L364" s="64" t="s">
        <v>397</v>
      </c>
      <c r="M364" s="1">
        <v>2</v>
      </c>
      <c r="N364" s="1">
        <v>682</v>
      </c>
      <c r="O364" s="64" t="s">
        <v>520</v>
      </c>
      <c r="Q364" s="64" t="s">
        <v>612</v>
      </c>
      <c r="R364" s="64" t="s">
        <v>171</v>
      </c>
      <c r="S364" s="64" t="s">
        <v>234</v>
      </c>
      <c r="T364" s="64" t="s">
        <v>169</v>
      </c>
      <c r="U364" s="64" t="s">
        <v>377</v>
      </c>
      <c r="V364" s="64" t="s">
        <v>162</v>
      </c>
      <c r="W364" s="64" t="s">
        <v>161</v>
      </c>
      <c r="X364" s="64" t="s">
        <v>165</v>
      </c>
      <c r="Y364" s="64">
        <v>12</v>
      </c>
      <c r="Z364" s="64" t="s">
        <v>253</v>
      </c>
      <c r="AA364" s="64" t="s">
        <v>237</v>
      </c>
      <c r="AB364" s="64" t="s">
        <v>238</v>
      </c>
      <c r="AC364" s="64" t="s">
        <v>261</v>
      </c>
      <c r="AD364" s="64" t="s">
        <v>261</v>
      </c>
      <c r="AE364" s="64" t="s">
        <v>165</v>
      </c>
      <c r="AF364" s="64" t="s">
        <v>238</v>
      </c>
      <c r="AG364" s="64" t="s">
        <v>165</v>
      </c>
      <c r="AH364" s="64">
        <v>56</v>
      </c>
      <c r="AI364" s="1">
        <v>50</v>
      </c>
      <c r="AJ364" s="1">
        <v>51</v>
      </c>
      <c r="AK364" s="1">
        <v>2</v>
      </c>
      <c r="AL364" s="1">
        <v>4</v>
      </c>
      <c r="AM364" s="1">
        <v>3</v>
      </c>
      <c r="AN364" s="64" t="s">
        <v>378</v>
      </c>
    </row>
    <row r="365" spans="1:40" s="68" customFormat="1">
      <c r="A365" s="64">
        <v>1.6</v>
      </c>
      <c r="B365" s="64" t="s">
        <v>224</v>
      </c>
      <c r="C365" s="64" t="s">
        <v>160</v>
      </c>
      <c r="D365" s="64" t="s">
        <v>161</v>
      </c>
      <c r="E365" s="64" t="s">
        <v>235</v>
      </c>
      <c r="F365" s="64" t="s">
        <v>257</v>
      </c>
      <c r="G365" s="64" t="s">
        <v>161</v>
      </c>
      <c r="H365" s="64">
        <v>12</v>
      </c>
      <c r="I365" s="64" t="s">
        <v>165</v>
      </c>
      <c r="J365" s="64" t="s">
        <v>161</v>
      </c>
      <c r="K365" s="64" t="s">
        <v>167</v>
      </c>
      <c r="L365" s="64" t="s">
        <v>168</v>
      </c>
      <c r="M365" s="1">
        <v>2</v>
      </c>
      <c r="N365" s="1">
        <v>41</v>
      </c>
      <c r="O365" s="64" t="s">
        <v>563</v>
      </c>
      <c r="Q365" s="64" t="s">
        <v>612</v>
      </c>
      <c r="R365" s="64" t="s">
        <v>169</v>
      </c>
      <c r="S365" s="64" t="s">
        <v>243</v>
      </c>
      <c r="T365" s="64" t="s">
        <v>244</v>
      </c>
      <c r="U365" s="64" t="s">
        <v>387</v>
      </c>
      <c r="V365" s="64" t="s">
        <v>388</v>
      </c>
      <c r="W365" s="64" t="s">
        <v>161</v>
      </c>
      <c r="X365" s="64" t="s">
        <v>165</v>
      </c>
      <c r="Y365" s="64">
        <v>12</v>
      </c>
      <c r="Z365" s="64" t="s">
        <v>253</v>
      </c>
      <c r="AA365" s="64" t="s">
        <v>246</v>
      </c>
      <c r="AB365" s="64" t="s">
        <v>247</v>
      </c>
      <c r="AC365" s="64" t="s">
        <v>389</v>
      </c>
      <c r="AD365" s="64" t="s">
        <v>389</v>
      </c>
      <c r="AE365" s="64" t="s">
        <v>165</v>
      </c>
      <c r="AF365" s="64" t="s">
        <v>275</v>
      </c>
      <c r="AG365" s="64" t="s">
        <v>258</v>
      </c>
      <c r="AH365" s="64">
        <v>65</v>
      </c>
      <c r="AI365" s="1">
        <v>57</v>
      </c>
      <c r="AJ365" s="1">
        <v>58</v>
      </c>
      <c r="AK365" s="1">
        <v>2</v>
      </c>
      <c r="AL365" s="1">
        <v>4</v>
      </c>
      <c r="AM365" s="1">
        <v>3</v>
      </c>
      <c r="AN365" s="64" t="s">
        <v>390</v>
      </c>
    </row>
    <row r="366" spans="1:40" s="68" customFormat="1">
      <c r="A366" s="64">
        <v>1.6</v>
      </c>
      <c r="B366" s="64" t="s">
        <v>168</v>
      </c>
      <c r="C366" s="64" t="s">
        <v>226</v>
      </c>
      <c r="D366" s="64" t="s">
        <v>167</v>
      </c>
      <c r="E366" s="64" t="s">
        <v>366</v>
      </c>
      <c r="F366" s="64" t="s">
        <v>236</v>
      </c>
      <c r="G366" s="64" t="s">
        <v>161</v>
      </c>
      <c r="H366" s="64">
        <v>12</v>
      </c>
      <c r="I366" s="64" t="s">
        <v>165</v>
      </c>
      <c r="J366" s="64" t="s">
        <v>161</v>
      </c>
      <c r="K366" s="64" t="s">
        <v>229</v>
      </c>
      <c r="L366" s="64" t="s">
        <v>230</v>
      </c>
      <c r="M366" s="1">
        <v>2</v>
      </c>
      <c r="N366" s="1">
        <v>46</v>
      </c>
      <c r="O366" s="64" t="s">
        <v>564</v>
      </c>
      <c r="Q366" s="64" t="s">
        <v>612</v>
      </c>
      <c r="R366" s="64" t="s">
        <v>244</v>
      </c>
      <c r="S366" s="64" t="s">
        <v>250</v>
      </c>
      <c r="T366" s="64" t="s">
        <v>251</v>
      </c>
      <c r="U366" s="64" t="s">
        <v>270</v>
      </c>
      <c r="V366" s="64" t="s">
        <v>245</v>
      </c>
      <c r="W366" s="64" t="s">
        <v>167</v>
      </c>
      <c r="X366" s="64" t="s">
        <v>165</v>
      </c>
      <c r="Y366" s="64">
        <v>16</v>
      </c>
      <c r="Z366" s="64" t="s">
        <v>167</v>
      </c>
      <c r="AA366" s="64" t="s">
        <v>254</v>
      </c>
      <c r="AB366" s="64" t="s">
        <v>255</v>
      </c>
      <c r="AC366" s="64" t="s">
        <v>257</v>
      </c>
      <c r="AD366" s="64" t="s">
        <v>257</v>
      </c>
      <c r="AE366" s="64" t="s">
        <v>258</v>
      </c>
      <c r="AF366" s="64" t="s">
        <v>232</v>
      </c>
      <c r="AG366" s="64" t="s">
        <v>258</v>
      </c>
      <c r="AH366" s="64">
        <v>76</v>
      </c>
      <c r="AI366" s="1">
        <v>65</v>
      </c>
      <c r="AJ366" s="1">
        <v>66</v>
      </c>
      <c r="AK366" s="1">
        <v>2</v>
      </c>
      <c r="AL366" s="1">
        <v>4</v>
      </c>
      <c r="AM366" s="1">
        <v>3</v>
      </c>
      <c r="AN366" s="64" t="s">
        <v>398</v>
      </c>
    </row>
    <row r="367" spans="1:40" s="68" customFormat="1">
      <c r="A367" s="64">
        <v>1.6</v>
      </c>
      <c r="B367" s="64" t="s">
        <v>171</v>
      </c>
      <c r="C367" s="64" t="s">
        <v>234</v>
      </c>
      <c r="D367" s="64" t="s">
        <v>169</v>
      </c>
      <c r="E367" s="64" t="s">
        <v>377</v>
      </c>
      <c r="F367" s="64" t="s">
        <v>162</v>
      </c>
      <c r="G367" s="64" t="s">
        <v>161</v>
      </c>
      <c r="H367" s="64">
        <v>12</v>
      </c>
      <c r="I367" s="64" t="s">
        <v>165</v>
      </c>
      <c r="J367" s="64" t="s">
        <v>253</v>
      </c>
      <c r="K367" s="64" t="s">
        <v>237</v>
      </c>
      <c r="L367" s="64" t="s">
        <v>238</v>
      </c>
      <c r="M367" s="1">
        <v>2</v>
      </c>
      <c r="N367" s="1">
        <v>56</v>
      </c>
      <c r="O367" s="64" t="s">
        <v>565</v>
      </c>
      <c r="Q367" s="64" t="s">
        <v>612</v>
      </c>
      <c r="R367" s="64" t="s">
        <v>240</v>
      </c>
      <c r="S367" s="64" t="s">
        <v>260</v>
      </c>
      <c r="T367" s="64" t="s">
        <v>261</v>
      </c>
      <c r="U367" s="64" t="s">
        <v>288</v>
      </c>
      <c r="V367" s="64" t="s">
        <v>271</v>
      </c>
      <c r="W367" s="64" t="s">
        <v>167</v>
      </c>
      <c r="X367" s="64" t="s">
        <v>165</v>
      </c>
      <c r="Y367" s="64">
        <v>16</v>
      </c>
      <c r="Z367" s="64" t="s">
        <v>167</v>
      </c>
      <c r="AA367" s="64" t="s">
        <v>263</v>
      </c>
      <c r="AB367" s="64" t="s">
        <v>264</v>
      </c>
      <c r="AC367" s="64" t="s">
        <v>266</v>
      </c>
      <c r="AD367" s="64" t="s">
        <v>266</v>
      </c>
      <c r="AE367" s="64" t="s">
        <v>258</v>
      </c>
      <c r="AF367" s="64" t="s">
        <v>244</v>
      </c>
      <c r="AG367" s="64" t="s">
        <v>258</v>
      </c>
      <c r="AH367" s="64">
        <v>84</v>
      </c>
      <c r="AI367" s="1">
        <v>75</v>
      </c>
      <c r="AJ367" s="1">
        <v>76</v>
      </c>
      <c r="AK367" s="1">
        <v>2</v>
      </c>
      <c r="AL367" s="1">
        <v>4</v>
      </c>
      <c r="AM367" s="1">
        <v>3</v>
      </c>
      <c r="AN367" s="64" t="s">
        <v>407</v>
      </c>
    </row>
    <row r="368" spans="1:40" s="68" customFormat="1">
      <c r="A368" s="64">
        <v>1.6</v>
      </c>
      <c r="B368" s="64" t="s">
        <v>169</v>
      </c>
      <c r="C368" s="64" t="s">
        <v>243</v>
      </c>
      <c r="D368" s="64" t="s">
        <v>244</v>
      </c>
      <c r="E368" s="64" t="s">
        <v>387</v>
      </c>
      <c r="F368" s="64" t="s">
        <v>388</v>
      </c>
      <c r="G368" s="64" t="s">
        <v>161</v>
      </c>
      <c r="H368" s="64">
        <v>12</v>
      </c>
      <c r="I368" s="64" t="s">
        <v>165</v>
      </c>
      <c r="J368" s="64" t="s">
        <v>253</v>
      </c>
      <c r="K368" s="64" t="s">
        <v>246</v>
      </c>
      <c r="L368" s="64" t="s">
        <v>247</v>
      </c>
      <c r="M368" s="1">
        <v>2</v>
      </c>
      <c r="N368" s="1">
        <v>65</v>
      </c>
      <c r="O368" s="64" t="s">
        <v>566</v>
      </c>
      <c r="Q368" s="64" t="s">
        <v>612</v>
      </c>
      <c r="R368" s="64" t="s">
        <v>163</v>
      </c>
      <c r="S368" s="64" t="s">
        <v>268</v>
      </c>
      <c r="T368" s="64" t="s">
        <v>269</v>
      </c>
      <c r="U368" s="64" t="s">
        <v>416</v>
      </c>
      <c r="V368" s="64" t="s">
        <v>301</v>
      </c>
      <c r="W368" s="64" t="s">
        <v>167</v>
      </c>
      <c r="X368" s="64" t="s">
        <v>165</v>
      </c>
      <c r="Y368" s="64">
        <v>16</v>
      </c>
      <c r="Z368" s="64" t="s">
        <v>171</v>
      </c>
      <c r="AA368" s="64" t="s">
        <v>272</v>
      </c>
      <c r="AB368" s="64" t="s">
        <v>273</v>
      </c>
      <c r="AC368" s="64" t="s">
        <v>417</v>
      </c>
      <c r="AD368" s="64" t="s">
        <v>417</v>
      </c>
      <c r="AE368" s="64" t="s">
        <v>258</v>
      </c>
      <c r="AF368" s="64" t="s">
        <v>292</v>
      </c>
      <c r="AG368" s="64" t="s">
        <v>258</v>
      </c>
      <c r="AH368" s="64">
        <v>99</v>
      </c>
      <c r="AI368" s="1">
        <v>87</v>
      </c>
      <c r="AJ368" s="1">
        <v>88</v>
      </c>
      <c r="AK368" s="1">
        <v>2</v>
      </c>
      <c r="AL368" s="1">
        <v>4</v>
      </c>
      <c r="AM368" s="1">
        <v>3</v>
      </c>
      <c r="AN368" s="64" t="s">
        <v>418</v>
      </c>
    </row>
    <row r="369" spans="1:40" s="68" customFormat="1">
      <c r="A369" s="64">
        <v>1.6</v>
      </c>
      <c r="B369" s="64" t="s">
        <v>244</v>
      </c>
      <c r="C369" s="64" t="s">
        <v>250</v>
      </c>
      <c r="D369" s="64" t="s">
        <v>251</v>
      </c>
      <c r="E369" s="64" t="s">
        <v>270</v>
      </c>
      <c r="F369" s="64" t="s">
        <v>245</v>
      </c>
      <c r="G369" s="64" t="s">
        <v>167</v>
      </c>
      <c r="H369" s="64">
        <v>16</v>
      </c>
      <c r="I369" s="64" t="s">
        <v>165</v>
      </c>
      <c r="J369" s="64" t="s">
        <v>167</v>
      </c>
      <c r="K369" s="64" t="s">
        <v>254</v>
      </c>
      <c r="L369" s="64" t="s">
        <v>255</v>
      </c>
      <c r="M369" s="1">
        <v>2</v>
      </c>
      <c r="N369" s="1">
        <v>76</v>
      </c>
      <c r="O369" s="64" t="s">
        <v>567</v>
      </c>
      <c r="Q369" s="64" t="s">
        <v>612</v>
      </c>
      <c r="R369" s="64" t="s">
        <v>236</v>
      </c>
      <c r="S369" s="64" t="s">
        <v>277</v>
      </c>
      <c r="T369" s="64" t="s">
        <v>278</v>
      </c>
      <c r="U369" s="64" t="s">
        <v>319</v>
      </c>
      <c r="V369" s="64" t="s">
        <v>426</v>
      </c>
      <c r="W369" s="64" t="s">
        <v>167</v>
      </c>
      <c r="X369" s="64" t="s">
        <v>306</v>
      </c>
      <c r="Y369" s="64">
        <v>16</v>
      </c>
      <c r="Z369" s="64" t="s">
        <v>229</v>
      </c>
      <c r="AA369" s="64" t="s">
        <v>280</v>
      </c>
      <c r="AB369" s="64" t="s">
        <v>281</v>
      </c>
      <c r="AC369" s="64" t="s">
        <v>427</v>
      </c>
      <c r="AD369" s="64" t="s">
        <v>427</v>
      </c>
      <c r="AE369" s="64" t="s">
        <v>283</v>
      </c>
      <c r="AF369" s="64" t="s">
        <v>251</v>
      </c>
      <c r="AG369" s="64" t="s">
        <v>283</v>
      </c>
      <c r="AH369" s="64">
        <v>118</v>
      </c>
      <c r="AI369" s="1">
        <v>109</v>
      </c>
      <c r="AJ369" s="1">
        <v>110</v>
      </c>
      <c r="AK369" s="1">
        <v>2</v>
      </c>
      <c r="AL369" s="1">
        <v>4</v>
      </c>
      <c r="AM369" s="1">
        <v>3</v>
      </c>
      <c r="AN369" s="64" t="s">
        <v>568</v>
      </c>
    </row>
    <row r="370" spans="1:40" s="68" customFormat="1">
      <c r="A370" s="64">
        <v>1.6</v>
      </c>
      <c r="B370" s="64" t="s">
        <v>240</v>
      </c>
      <c r="C370" s="64" t="s">
        <v>260</v>
      </c>
      <c r="D370" s="64" t="s">
        <v>261</v>
      </c>
      <c r="E370" s="64" t="s">
        <v>288</v>
      </c>
      <c r="F370" s="64" t="s">
        <v>271</v>
      </c>
      <c r="G370" s="64" t="s">
        <v>167</v>
      </c>
      <c r="H370" s="64">
        <v>16</v>
      </c>
      <c r="I370" s="64" t="s">
        <v>165</v>
      </c>
      <c r="J370" s="64" t="s">
        <v>167</v>
      </c>
      <c r="K370" s="64" t="s">
        <v>263</v>
      </c>
      <c r="L370" s="64" t="s">
        <v>264</v>
      </c>
      <c r="M370" s="1">
        <v>2</v>
      </c>
      <c r="N370" s="1">
        <v>84</v>
      </c>
      <c r="O370" s="64" t="s">
        <v>569</v>
      </c>
      <c r="Q370" s="64" t="s">
        <v>612</v>
      </c>
      <c r="R370" s="64" t="s">
        <v>227</v>
      </c>
      <c r="S370" s="64" t="s">
        <v>285</v>
      </c>
      <c r="T370" s="64" t="s">
        <v>286</v>
      </c>
      <c r="U370" s="64" t="s">
        <v>305</v>
      </c>
      <c r="V370" s="64" t="s">
        <v>279</v>
      </c>
      <c r="W370" s="64" t="s">
        <v>167</v>
      </c>
      <c r="X370" s="64" t="s">
        <v>306</v>
      </c>
      <c r="Y370" s="64">
        <v>16</v>
      </c>
      <c r="Z370" s="64" t="s">
        <v>241</v>
      </c>
      <c r="AA370" s="64" t="s">
        <v>289</v>
      </c>
      <c r="AB370" s="64" t="s">
        <v>290</v>
      </c>
      <c r="AC370" s="64" t="s">
        <v>436</v>
      </c>
      <c r="AD370" s="64" t="s">
        <v>436</v>
      </c>
      <c r="AE370" s="64" t="s">
        <v>283</v>
      </c>
      <c r="AF370" s="64" t="s">
        <v>240</v>
      </c>
      <c r="AG370" s="64" t="s">
        <v>283</v>
      </c>
      <c r="AH370" s="64">
        <v>132</v>
      </c>
      <c r="AI370" s="1">
        <v>120</v>
      </c>
      <c r="AJ370" s="1">
        <v>121</v>
      </c>
      <c r="AK370" s="1">
        <v>2</v>
      </c>
      <c r="AL370" s="1">
        <v>4</v>
      </c>
      <c r="AM370" s="1">
        <v>3</v>
      </c>
      <c r="AN370" s="64" t="s">
        <v>570</v>
      </c>
    </row>
    <row r="371" spans="1:40" s="68" customFormat="1">
      <c r="A371" s="64">
        <v>1.6</v>
      </c>
      <c r="B371" s="64" t="s">
        <v>163</v>
      </c>
      <c r="C371" s="64" t="s">
        <v>268</v>
      </c>
      <c r="D371" s="64" t="s">
        <v>269</v>
      </c>
      <c r="E371" s="64" t="s">
        <v>416</v>
      </c>
      <c r="F371" s="64" t="s">
        <v>301</v>
      </c>
      <c r="G371" s="64" t="s">
        <v>167</v>
      </c>
      <c r="H371" s="64">
        <v>16</v>
      </c>
      <c r="I371" s="64" t="s">
        <v>165</v>
      </c>
      <c r="J371" s="64" t="s">
        <v>171</v>
      </c>
      <c r="K371" s="64" t="s">
        <v>272</v>
      </c>
      <c r="L371" s="64" t="s">
        <v>273</v>
      </c>
      <c r="M371" s="1">
        <v>2</v>
      </c>
      <c r="N371" s="1">
        <v>99</v>
      </c>
      <c r="O371" s="64" t="s">
        <v>571</v>
      </c>
      <c r="Q371" s="64" t="s">
        <v>612</v>
      </c>
      <c r="R371" s="64" t="s">
        <v>245</v>
      </c>
      <c r="S371" s="64" t="s">
        <v>294</v>
      </c>
      <c r="T371" s="64" t="s">
        <v>295</v>
      </c>
      <c r="U371" s="64" t="s">
        <v>572</v>
      </c>
      <c r="V371" s="64" t="s">
        <v>287</v>
      </c>
      <c r="W371" s="64" t="s">
        <v>229</v>
      </c>
      <c r="X371" s="64" t="s">
        <v>306</v>
      </c>
      <c r="Y371" s="64">
        <v>20</v>
      </c>
      <c r="Z371" s="64" t="s">
        <v>241</v>
      </c>
      <c r="AA371" s="64" t="s">
        <v>298</v>
      </c>
      <c r="AB371" s="64" t="s">
        <v>271</v>
      </c>
      <c r="AC371" s="64" t="s">
        <v>426</v>
      </c>
      <c r="AD371" s="64" t="s">
        <v>426</v>
      </c>
      <c r="AE371" s="64" t="s">
        <v>283</v>
      </c>
      <c r="AF371" s="64" t="s">
        <v>310</v>
      </c>
      <c r="AG371" s="64" t="s">
        <v>283</v>
      </c>
      <c r="AH371" s="64">
        <v>156</v>
      </c>
      <c r="AI371" s="1">
        <v>149</v>
      </c>
      <c r="AJ371" s="1">
        <v>150</v>
      </c>
      <c r="AK371" s="1">
        <v>2</v>
      </c>
      <c r="AL371" s="1">
        <v>4.5</v>
      </c>
      <c r="AM371" s="1">
        <v>3.5</v>
      </c>
      <c r="AN371" s="64" t="s">
        <v>573</v>
      </c>
    </row>
    <row r="372" spans="1:40" s="68" customFormat="1">
      <c r="A372" s="64">
        <v>1.6</v>
      </c>
      <c r="B372" s="64" t="s">
        <v>236</v>
      </c>
      <c r="C372" s="64" t="s">
        <v>277</v>
      </c>
      <c r="D372" s="64" t="s">
        <v>278</v>
      </c>
      <c r="E372" s="64" t="s">
        <v>319</v>
      </c>
      <c r="F372" s="64" t="s">
        <v>426</v>
      </c>
      <c r="G372" s="64" t="s">
        <v>167</v>
      </c>
      <c r="H372" s="64">
        <v>16</v>
      </c>
      <c r="I372" s="64" t="s">
        <v>165</v>
      </c>
      <c r="J372" s="64" t="s">
        <v>171</v>
      </c>
      <c r="K372" s="64" t="s">
        <v>280</v>
      </c>
      <c r="L372" s="64" t="s">
        <v>281</v>
      </c>
      <c r="M372" s="1">
        <v>2</v>
      </c>
      <c r="N372" s="1">
        <v>118</v>
      </c>
      <c r="O372" s="64" t="s">
        <v>574</v>
      </c>
      <c r="Q372" s="64" t="s">
        <v>612</v>
      </c>
      <c r="R372" s="64" t="s">
        <v>301</v>
      </c>
      <c r="S372" s="64" t="s">
        <v>302</v>
      </c>
      <c r="T372" s="64" t="s">
        <v>303</v>
      </c>
      <c r="U372" s="64" t="s">
        <v>575</v>
      </c>
      <c r="V372" s="64" t="s">
        <v>446</v>
      </c>
      <c r="W372" s="64" t="s">
        <v>238</v>
      </c>
      <c r="X372" s="64" t="s">
        <v>306</v>
      </c>
      <c r="Y372" s="64">
        <v>24</v>
      </c>
      <c r="Z372" s="64" t="s">
        <v>238</v>
      </c>
      <c r="AA372" s="64" t="s">
        <v>307</v>
      </c>
      <c r="AB372" s="64" t="s">
        <v>308</v>
      </c>
      <c r="AC372" s="64" t="s">
        <v>297</v>
      </c>
      <c r="AD372" s="64" t="s">
        <v>297</v>
      </c>
      <c r="AE372" s="64" t="s">
        <v>283</v>
      </c>
      <c r="AF372" s="64" t="s">
        <v>454</v>
      </c>
      <c r="AG372" s="64" t="s">
        <v>614</v>
      </c>
      <c r="AH372" s="64">
        <v>184</v>
      </c>
      <c r="AI372" s="1">
        <v>175</v>
      </c>
      <c r="AJ372" s="1">
        <v>176</v>
      </c>
      <c r="AK372" s="1">
        <v>2</v>
      </c>
      <c r="AL372" s="1">
        <v>4.5</v>
      </c>
      <c r="AM372" s="1">
        <v>3.5</v>
      </c>
      <c r="AN372" s="64" t="s">
        <v>576</v>
      </c>
    </row>
    <row r="373" spans="1:40" s="68" customFormat="1">
      <c r="A373" s="64">
        <v>1.6</v>
      </c>
      <c r="B373" s="64" t="s">
        <v>227</v>
      </c>
      <c r="C373" s="64" t="s">
        <v>285</v>
      </c>
      <c r="D373" s="64" t="s">
        <v>286</v>
      </c>
      <c r="E373" s="64" t="s">
        <v>305</v>
      </c>
      <c r="F373" s="64" t="s">
        <v>279</v>
      </c>
      <c r="G373" s="64" t="s">
        <v>167</v>
      </c>
      <c r="H373" s="64">
        <v>16</v>
      </c>
      <c r="I373" s="64" t="s">
        <v>306</v>
      </c>
      <c r="J373" s="64" t="s">
        <v>171</v>
      </c>
      <c r="K373" s="64" t="s">
        <v>289</v>
      </c>
      <c r="L373" s="64" t="s">
        <v>290</v>
      </c>
      <c r="M373" s="1">
        <v>2</v>
      </c>
      <c r="N373" s="1">
        <v>132</v>
      </c>
      <c r="O373" s="64" t="s">
        <v>577</v>
      </c>
      <c r="Q373" s="64" t="s">
        <v>612</v>
      </c>
      <c r="R373" s="64" t="s">
        <v>288</v>
      </c>
      <c r="S373" s="64" t="s">
        <v>312</v>
      </c>
      <c r="T373" s="64" t="s">
        <v>313</v>
      </c>
      <c r="U373" s="64" t="s">
        <v>338</v>
      </c>
      <c r="V373" s="64" t="s">
        <v>329</v>
      </c>
      <c r="W373" s="64" t="s">
        <v>238</v>
      </c>
      <c r="X373" s="64" t="s">
        <v>306</v>
      </c>
      <c r="Y373" s="64">
        <v>24</v>
      </c>
      <c r="Z373" s="64" t="s">
        <v>275</v>
      </c>
      <c r="AA373" s="64" t="s">
        <v>316</v>
      </c>
      <c r="AB373" s="64" t="s">
        <v>317</v>
      </c>
      <c r="AC373" s="64" t="s">
        <v>305</v>
      </c>
      <c r="AD373" s="64" t="s">
        <v>305</v>
      </c>
      <c r="AE373" s="64" t="s">
        <v>306</v>
      </c>
      <c r="AF373" s="64" t="s">
        <v>389</v>
      </c>
      <c r="AG373" s="64" t="s">
        <v>306</v>
      </c>
      <c r="AH373" s="64">
        <v>211</v>
      </c>
      <c r="AI373" s="1">
        <v>203</v>
      </c>
      <c r="AJ373" s="1">
        <v>204</v>
      </c>
      <c r="AK373" s="1">
        <v>2</v>
      </c>
      <c r="AL373" s="1">
        <v>4.5</v>
      </c>
      <c r="AM373" s="1">
        <v>3.5</v>
      </c>
      <c r="AN373" s="64" t="s">
        <v>578</v>
      </c>
    </row>
    <row r="374" spans="1:40" s="68" customFormat="1">
      <c r="A374" s="64">
        <v>1.6</v>
      </c>
      <c r="B374" s="64" t="s">
        <v>245</v>
      </c>
      <c r="C374" s="64" t="s">
        <v>294</v>
      </c>
      <c r="D374" s="64" t="s">
        <v>295</v>
      </c>
      <c r="E374" s="64" t="s">
        <v>446</v>
      </c>
      <c r="F374" s="64" t="s">
        <v>447</v>
      </c>
      <c r="G374" s="64" t="s">
        <v>167</v>
      </c>
      <c r="H374" s="64">
        <v>16</v>
      </c>
      <c r="I374" s="64" t="s">
        <v>306</v>
      </c>
      <c r="J374" s="64" t="s">
        <v>229</v>
      </c>
      <c r="K374" s="64" t="s">
        <v>298</v>
      </c>
      <c r="L374" s="64" t="s">
        <v>271</v>
      </c>
      <c r="M374" s="1">
        <v>2</v>
      </c>
      <c r="N374" s="1">
        <v>156</v>
      </c>
      <c r="O374" s="64" t="s">
        <v>579</v>
      </c>
      <c r="Q374" s="64" t="s">
        <v>612</v>
      </c>
      <c r="R374" s="64" t="s">
        <v>305</v>
      </c>
      <c r="S374" s="64" t="s">
        <v>321</v>
      </c>
      <c r="T374" s="64" t="s">
        <v>322</v>
      </c>
      <c r="U374" s="64" t="s">
        <v>331</v>
      </c>
      <c r="V374" s="64" t="s">
        <v>323</v>
      </c>
      <c r="W374" s="64" t="s">
        <v>232</v>
      </c>
      <c r="X374" s="64" t="s">
        <v>166</v>
      </c>
      <c r="Y374" s="64">
        <v>27</v>
      </c>
      <c r="Z374" s="64" t="s">
        <v>292</v>
      </c>
      <c r="AA374" s="64" t="s">
        <v>325</v>
      </c>
      <c r="AB374" s="64" t="s">
        <v>326</v>
      </c>
      <c r="AC374" s="64" t="s">
        <v>615</v>
      </c>
      <c r="AD374" s="64" t="s">
        <v>615</v>
      </c>
      <c r="AE374" s="64" t="s">
        <v>306</v>
      </c>
      <c r="AF374" s="64" t="s">
        <v>29</v>
      </c>
      <c r="AG374" s="64" t="s">
        <v>224</v>
      </c>
      <c r="AH374" s="64">
        <v>284</v>
      </c>
      <c r="AI374" s="1">
        <v>259</v>
      </c>
      <c r="AJ374" s="1">
        <v>260</v>
      </c>
      <c r="AK374" s="1">
        <v>2</v>
      </c>
      <c r="AL374" s="1">
        <v>4.5</v>
      </c>
      <c r="AM374" s="1">
        <v>3.5</v>
      </c>
      <c r="AN374" s="64" t="s">
        <v>616</v>
      </c>
    </row>
    <row r="375" spans="1:40" s="68" customFormat="1">
      <c r="A375" s="64">
        <v>1.6</v>
      </c>
      <c r="B375" s="64" t="s">
        <v>301</v>
      </c>
      <c r="C375" s="64" t="s">
        <v>302</v>
      </c>
      <c r="D375" s="64" t="s">
        <v>303</v>
      </c>
      <c r="E375" s="64" t="s">
        <v>329</v>
      </c>
      <c r="F375" s="64" t="s">
        <v>296</v>
      </c>
      <c r="G375" s="64" t="s">
        <v>167</v>
      </c>
      <c r="H375" s="64">
        <v>16</v>
      </c>
      <c r="I375" s="64" t="s">
        <v>306</v>
      </c>
      <c r="J375" s="64" t="s">
        <v>229</v>
      </c>
      <c r="K375" s="64" t="s">
        <v>307</v>
      </c>
      <c r="L375" s="64" t="s">
        <v>308</v>
      </c>
      <c r="M375" s="1">
        <v>2</v>
      </c>
      <c r="N375" s="1">
        <v>184</v>
      </c>
      <c r="O375" s="64" t="s">
        <v>584</v>
      </c>
      <c r="Q375" s="64" t="s">
        <v>612</v>
      </c>
      <c r="R375" s="64" t="s">
        <v>329</v>
      </c>
      <c r="S375" s="64" t="s">
        <v>330</v>
      </c>
      <c r="T375" s="64" t="s">
        <v>330</v>
      </c>
      <c r="U375" s="64" t="s">
        <v>369</v>
      </c>
      <c r="V375" s="64" t="s">
        <v>617</v>
      </c>
      <c r="W375" s="64" t="s">
        <v>247</v>
      </c>
      <c r="X375" s="64" t="s">
        <v>166</v>
      </c>
      <c r="Y375" s="64">
        <v>30</v>
      </c>
      <c r="Z375" s="64" t="s">
        <v>251</v>
      </c>
      <c r="AA375" s="64" t="s">
        <v>333</v>
      </c>
      <c r="AB375" s="64" t="s">
        <v>334</v>
      </c>
      <c r="AC375" s="64" t="s">
        <v>618</v>
      </c>
      <c r="AD375" s="64" t="s">
        <v>618</v>
      </c>
      <c r="AE375" s="64" t="s">
        <v>224</v>
      </c>
      <c r="AF375" s="64" t="s">
        <v>619</v>
      </c>
      <c r="AG375" s="64" t="s">
        <v>164</v>
      </c>
      <c r="AH375" s="64">
        <v>345</v>
      </c>
      <c r="AI375" s="1">
        <v>312</v>
      </c>
      <c r="AJ375" s="1">
        <v>313</v>
      </c>
      <c r="AK375" s="1">
        <v>2</v>
      </c>
      <c r="AL375" s="1">
        <v>4.5</v>
      </c>
      <c r="AM375" s="1">
        <v>3.5</v>
      </c>
      <c r="AN375" s="64" t="s">
        <v>620</v>
      </c>
    </row>
    <row r="376" spans="1:40" s="68" customFormat="1">
      <c r="A376" s="64">
        <v>1.6</v>
      </c>
      <c r="B376" s="64" t="s">
        <v>288</v>
      </c>
      <c r="C376" s="64" t="s">
        <v>312</v>
      </c>
      <c r="D376" s="64" t="s">
        <v>313</v>
      </c>
      <c r="E376" s="64" t="s">
        <v>469</v>
      </c>
      <c r="F376" s="64" t="s">
        <v>304</v>
      </c>
      <c r="G376" s="64" t="s">
        <v>229</v>
      </c>
      <c r="H376" s="64">
        <v>20</v>
      </c>
      <c r="I376" s="64" t="s">
        <v>306</v>
      </c>
      <c r="J376" s="64" t="s">
        <v>241</v>
      </c>
      <c r="K376" s="64" t="s">
        <v>316</v>
      </c>
      <c r="L376" s="64" t="s">
        <v>317</v>
      </c>
      <c r="M376" s="1">
        <v>2</v>
      </c>
      <c r="N376" s="1">
        <v>211</v>
      </c>
      <c r="O376" s="64" t="s">
        <v>588</v>
      </c>
      <c r="Q376" s="64" t="s">
        <v>612</v>
      </c>
      <c r="R376" s="64" t="s">
        <v>338</v>
      </c>
      <c r="S376" s="64" t="s">
        <v>339</v>
      </c>
      <c r="T376" s="64" t="s">
        <v>340</v>
      </c>
      <c r="U376" s="64" t="s">
        <v>501</v>
      </c>
      <c r="V376" s="64" t="s">
        <v>369</v>
      </c>
      <c r="W376" s="64" t="s">
        <v>247</v>
      </c>
      <c r="X376" s="64" t="s">
        <v>253</v>
      </c>
      <c r="Y376" s="64">
        <v>30</v>
      </c>
      <c r="Z376" s="64" t="s">
        <v>433</v>
      </c>
      <c r="AA376" s="64" t="s">
        <v>343</v>
      </c>
      <c r="AB376" s="64" t="s">
        <v>344</v>
      </c>
      <c r="AC376" s="64" t="s">
        <v>621</v>
      </c>
      <c r="AD376" s="64" t="s">
        <v>621</v>
      </c>
      <c r="AE376" s="64" t="s">
        <v>224</v>
      </c>
      <c r="AF376" s="64" t="s">
        <v>622</v>
      </c>
      <c r="AG376" s="64" t="s">
        <v>166</v>
      </c>
      <c r="AH376" s="64">
        <v>409</v>
      </c>
      <c r="AI376" s="1">
        <v>363</v>
      </c>
      <c r="AJ376" s="1">
        <v>364</v>
      </c>
      <c r="AK376" s="1">
        <v>2</v>
      </c>
      <c r="AL376" s="1">
        <v>4.5</v>
      </c>
      <c r="AM376" s="1">
        <v>3.5</v>
      </c>
      <c r="AN376" s="64" t="s">
        <v>623</v>
      </c>
    </row>
    <row r="377" spans="1:40" s="68" customFormat="1">
      <c r="A377" s="64">
        <v>1.6</v>
      </c>
      <c r="B377" s="64" t="s">
        <v>305</v>
      </c>
      <c r="C377" s="64" t="s">
        <v>321</v>
      </c>
      <c r="D377" s="64" t="s">
        <v>322</v>
      </c>
      <c r="E377" s="64" t="s">
        <v>481</v>
      </c>
      <c r="F377" s="64" t="s">
        <v>336</v>
      </c>
      <c r="G377" s="64" t="s">
        <v>229</v>
      </c>
      <c r="H377" s="64">
        <v>20</v>
      </c>
      <c r="I377" s="64" t="s">
        <v>166</v>
      </c>
      <c r="J377" s="64" t="s">
        <v>238</v>
      </c>
      <c r="K377" s="64" t="s">
        <v>325</v>
      </c>
      <c r="L377" s="64" t="s">
        <v>326</v>
      </c>
      <c r="M377" s="1">
        <v>2</v>
      </c>
      <c r="N377" s="1">
        <v>266</v>
      </c>
      <c r="O377" s="64" t="s">
        <v>624</v>
      </c>
      <c r="Q377" s="64" t="s">
        <v>612</v>
      </c>
      <c r="R377" s="64" t="s">
        <v>348</v>
      </c>
      <c r="S377" s="64" t="s">
        <v>349</v>
      </c>
      <c r="T377" s="64" t="s">
        <v>350</v>
      </c>
      <c r="U377" s="64" t="s">
        <v>533</v>
      </c>
      <c r="V377" s="64" t="s">
        <v>625</v>
      </c>
      <c r="W377" s="64" t="s">
        <v>395</v>
      </c>
      <c r="X377" s="64" t="s">
        <v>253</v>
      </c>
      <c r="Y377" s="64">
        <v>33</v>
      </c>
      <c r="Z377" s="64" t="s">
        <v>264</v>
      </c>
      <c r="AA377" s="64" t="s">
        <v>353</v>
      </c>
      <c r="AB377" s="64" t="s">
        <v>354</v>
      </c>
      <c r="AC377" s="64" t="s">
        <v>626</v>
      </c>
      <c r="AD377" s="64" t="s">
        <v>627</v>
      </c>
      <c r="AE377" s="64" t="s">
        <v>224</v>
      </c>
      <c r="AF377" s="64" t="s">
        <v>281</v>
      </c>
      <c r="AG377" s="64" t="s">
        <v>628</v>
      </c>
      <c r="AH377" s="64">
        <v>465</v>
      </c>
      <c r="AI377" s="1">
        <v>421</v>
      </c>
      <c r="AJ377" s="1">
        <v>422</v>
      </c>
      <c r="AK377" s="1">
        <v>2</v>
      </c>
      <c r="AL377" s="1">
        <v>5</v>
      </c>
      <c r="AM377" s="1">
        <v>4</v>
      </c>
      <c r="AN377" s="64" t="s">
        <v>415</v>
      </c>
    </row>
    <row r="378" spans="1:40" s="68" customFormat="1">
      <c r="A378" s="64">
        <v>1.6</v>
      </c>
      <c r="B378" s="64" t="s">
        <v>329</v>
      </c>
      <c r="C378" s="64" t="s">
        <v>330</v>
      </c>
      <c r="D378" s="64" t="s">
        <v>330</v>
      </c>
      <c r="E378" s="64" t="s">
        <v>524</v>
      </c>
      <c r="F378" s="64" t="s">
        <v>346</v>
      </c>
      <c r="G378" s="64" t="s">
        <v>238</v>
      </c>
      <c r="H378" s="64">
        <v>24</v>
      </c>
      <c r="I378" s="64" t="s">
        <v>166</v>
      </c>
      <c r="J378" s="64" t="s">
        <v>275</v>
      </c>
      <c r="K378" s="64" t="s">
        <v>333</v>
      </c>
      <c r="L378" s="64" t="s">
        <v>334</v>
      </c>
      <c r="M378" s="1">
        <v>2</v>
      </c>
      <c r="N378" s="1">
        <v>319</v>
      </c>
      <c r="O378" s="64" t="s">
        <v>629</v>
      </c>
      <c r="Q378" s="64" t="s">
        <v>612</v>
      </c>
      <c r="R378" s="64" t="s">
        <v>358</v>
      </c>
      <c r="S378" s="64" t="s">
        <v>359</v>
      </c>
      <c r="T378" s="64" t="s">
        <v>360</v>
      </c>
      <c r="U378" s="64" t="s">
        <v>603</v>
      </c>
      <c r="V378" s="64" t="s">
        <v>537</v>
      </c>
      <c r="W378" s="64" t="s">
        <v>255</v>
      </c>
      <c r="X378" s="64" t="s">
        <v>253</v>
      </c>
      <c r="Y378" s="64">
        <v>36</v>
      </c>
      <c r="Z378" s="64" t="s">
        <v>163</v>
      </c>
      <c r="AA378" s="64" t="s">
        <v>363</v>
      </c>
      <c r="AB378" s="64" t="s">
        <v>364</v>
      </c>
      <c r="AC378" s="64" t="s">
        <v>630</v>
      </c>
      <c r="AD378" s="64" t="s">
        <v>631</v>
      </c>
      <c r="AE378" s="64" t="s">
        <v>224</v>
      </c>
      <c r="AF378" s="64" t="s">
        <v>632</v>
      </c>
      <c r="AG378" s="64" t="s">
        <v>161</v>
      </c>
      <c r="AH378" s="64">
        <v>535</v>
      </c>
      <c r="AI378" s="1">
        <v>273</v>
      </c>
      <c r="AJ378" s="1">
        <v>474</v>
      </c>
      <c r="AK378" s="1">
        <v>2</v>
      </c>
      <c r="AL378" s="1">
        <v>5</v>
      </c>
      <c r="AM378" s="1">
        <v>4</v>
      </c>
      <c r="AN378" s="64" t="s">
        <v>633</v>
      </c>
    </row>
    <row r="379" spans="1:40" s="68" customFormat="1">
      <c r="A379" s="64">
        <v>1.6</v>
      </c>
      <c r="B379" s="64" t="s">
        <v>338</v>
      </c>
      <c r="C379" s="64" t="s">
        <v>339</v>
      </c>
      <c r="D379" s="64" t="s">
        <v>340</v>
      </c>
      <c r="E379" s="64" t="s">
        <v>497</v>
      </c>
      <c r="F379" s="64" t="s">
        <v>526</v>
      </c>
      <c r="G379" s="64" t="s">
        <v>238</v>
      </c>
      <c r="H379" s="64">
        <v>24</v>
      </c>
      <c r="I379" s="64" t="s">
        <v>166</v>
      </c>
      <c r="J379" s="64" t="s">
        <v>244</v>
      </c>
      <c r="K379" s="64" t="s">
        <v>343</v>
      </c>
      <c r="L379" s="64" t="s">
        <v>344</v>
      </c>
      <c r="M379" s="1">
        <v>2</v>
      </c>
      <c r="N379" s="1">
        <v>370</v>
      </c>
      <c r="O379" s="64" t="s">
        <v>601</v>
      </c>
      <c r="Q379" s="64" t="s">
        <v>612</v>
      </c>
      <c r="R379" s="64" t="s">
        <v>369</v>
      </c>
      <c r="S379" s="64" t="s">
        <v>370</v>
      </c>
      <c r="T379" s="64" t="s">
        <v>371</v>
      </c>
      <c r="U379" s="64" t="s">
        <v>634</v>
      </c>
      <c r="V379" s="64" t="s">
        <v>391</v>
      </c>
      <c r="W379" s="64" t="s">
        <v>255</v>
      </c>
      <c r="X379" s="64" t="s">
        <v>171</v>
      </c>
      <c r="Y379" s="64">
        <v>36</v>
      </c>
      <c r="Z379" s="64" t="s">
        <v>269</v>
      </c>
      <c r="AA379" s="64" t="s">
        <v>374</v>
      </c>
      <c r="AB379" s="64" t="s">
        <v>375</v>
      </c>
      <c r="AC379" s="64" t="s">
        <v>635</v>
      </c>
      <c r="AD379" s="64" t="s">
        <v>636</v>
      </c>
      <c r="AE379" s="64" t="s">
        <v>166</v>
      </c>
      <c r="AF379" s="64" t="s">
        <v>637</v>
      </c>
      <c r="AG379" s="64" t="s">
        <v>253</v>
      </c>
      <c r="AH379" s="64">
        <v>560</v>
      </c>
      <c r="AI379" s="1">
        <v>523</v>
      </c>
      <c r="AJ379" s="1">
        <v>524</v>
      </c>
      <c r="AK379" s="1">
        <v>2</v>
      </c>
      <c r="AL379" s="1">
        <v>5</v>
      </c>
      <c r="AM379" s="1">
        <v>4</v>
      </c>
      <c r="AN379" s="64" t="s">
        <v>638</v>
      </c>
    </row>
    <row r="380" spans="1:40" s="68" customFormat="1">
      <c r="A380" s="64">
        <v>1.6</v>
      </c>
      <c r="B380" s="64" t="s">
        <v>348</v>
      </c>
      <c r="C380" s="64" t="s">
        <v>349</v>
      </c>
      <c r="D380" s="64" t="s">
        <v>350</v>
      </c>
      <c r="E380" s="64" t="s">
        <v>529</v>
      </c>
      <c r="F380" s="64" t="s">
        <v>530</v>
      </c>
      <c r="G380" s="64" t="s">
        <v>238</v>
      </c>
      <c r="H380" s="64">
        <v>24</v>
      </c>
      <c r="I380" s="64" t="s">
        <v>253</v>
      </c>
      <c r="J380" s="64" t="s">
        <v>367</v>
      </c>
      <c r="K380" s="64" t="s">
        <v>353</v>
      </c>
      <c r="L380" s="64" t="s">
        <v>354</v>
      </c>
      <c r="M380" s="1">
        <v>2</v>
      </c>
      <c r="N380" s="1">
        <v>429</v>
      </c>
      <c r="O380" s="64" t="s">
        <v>639</v>
      </c>
      <c r="Q380" s="64" t="s">
        <v>612</v>
      </c>
      <c r="R380" s="64" t="s">
        <v>379</v>
      </c>
      <c r="S380" s="64" t="s">
        <v>380</v>
      </c>
      <c r="T380" s="64" t="s">
        <v>381</v>
      </c>
      <c r="U380" s="64" t="s">
        <v>393</v>
      </c>
      <c r="V380" s="64" t="s">
        <v>510</v>
      </c>
      <c r="W380" s="64" t="s">
        <v>433</v>
      </c>
      <c r="X380" s="64" t="s">
        <v>171</v>
      </c>
      <c r="Y380" s="64">
        <v>39</v>
      </c>
      <c r="Z380" s="64" t="s">
        <v>269</v>
      </c>
      <c r="AA380" s="64" t="s">
        <v>384</v>
      </c>
      <c r="AB380" s="64" t="s">
        <v>385</v>
      </c>
      <c r="AC380" s="64" t="s">
        <v>640</v>
      </c>
      <c r="AD380" s="64" t="s">
        <v>641</v>
      </c>
      <c r="AE380" s="64" t="s">
        <v>166</v>
      </c>
      <c r="AF380" s="64" t="s">
        <v>245</v>
      </c>
      <c r="AG380" s="64" t="s">
        <v>642</v>
      </c>
      <c r="AH380" s="64">
        <v>615</v>
      </c>
      <c r="AI380" s="1">
        <v>575</v>
      </c>
      <c r="AJ380" s="1">
        <v>576</v>
      </c>
      <c r="AK380" s="1">
        <v>2</v>
      </c>
      <c r="AL380" s="1">
        <v>5</v>
      </c>
      <c r="AM380" s="1">
        <v>4</v>
      </c>
      <c r="AN380" s="64" t="s">
        <v>643</v>
      </c>
    </row>
    <row r="381" spans="1:40" s="68" customFormat="1">
      <c r="A381" s="64">
        <v>1.6</v>
      </c>
      <c r="B381" s="64" t="s">
        <v>358</v>
      </c>
      <c r="C381" s="64" t="s">
        <v>359</v>
      </c>
      <c r="D381" s="64" t="s">
        <v>360</v>
      </c>
      <c r="E381" s="64" t="s">
        <v>533</v>
      </c>
      <c r="F381" s="64" t="s">
        <v>507</v>
      </c>
      <c r="G381" s="64" t="s">
        <v>232</v>
      </c>
      <c r="H381" s="64">
        <v>27</v>
      </c>
      <c r="I381" s="64" t="s">
        <v>253</v>
      </c>
      <c r="J381" s="64" t="s">
        <v>251</v>
      </c>
      <c r="K381" s="64" t="s">
        <v>363</v>
      </c>
      <c r="L381" s="64" t="s">
        <v>364</v>
      </c>
      <c r="M381" s="1">
        <v>2</v>
      </c>
      <c r="N381" s="1">
        <v>480</v>
      </c>
      <c r="O381" s="64" t="s">
        <v>644</v>
      </c>
      <c r="Q381" s="64" t="s">
        <v>612</v>
      </c>
      <c r="R381" s="64" t="s">
        <v>383</v>
      </c>
      <c r="S381" s="64" t="s">
        <v>391</v>
      </c>
      <c r="T381" s="64" t="s">
        <v>392</v>
      </c>
      <c r="U381" s="64" t="s">
        <v>645</v>
      </c>
      <c r="V381" s="64" t="s">
        <v>646</v>
      </c>
      <c r="W381" s="64" t="s">
        <v>454</v>
      </c>
      <c r="X381" s="64" t="s">
        <v>171</v>
      </c>
      <c r="Y381" s="64">
        <v>45</v>
      </c>
      <c r="Z381" s="64" t="s">
        <v>594</v>
      </c>
      <c r="AA381" s="64" t="s">
        <v>396</v>
      </c>
      <c r="AB381" s="64" t="s">
        <v>397</v>
      </c>
      <c r="AC381" s="64" t="s">
        <v>647</v>
      </c>
      <c r="AD381" s="64" t="s">
        <v>648</v>
      </c>
      <c r="AE381" s="64" t="s">
        <v>166</v>
      </c>
      <c r="AF381" s="64" t="s">
        <v>649</v>
      </c>
      <c r="AG381" s="64" t="s">
        <v>167</v>
      </c>
      <c r="AH381" s="64">
        <v>735</v>
      </c>
      <c r="AI381" s="1">
        <v>675</v>
      </c>
      <c r="AJ381" s="1">
        <v>676</v>
      </c>
      <c r="AK381" s="1">
        <v>2</v>
      </c>
      <c r="AL381" s="1">
        <v>5</v>
      </c>
      <c r="AM381" s="1">
        <v>4</v>
      </c>
      <c r="AN381" s="64" t="s">
        <v>650</v>
      </c>
    </row>
    <row r="382" spans="1:40" s="68" customFormat="1">
      <c r="A382" s="64">
        <v>1.6</v>
      </c>
      <c r="B382" s="64" t="s">
        <v>369</v>
      </c>
      <c r="C382" s="64" t="s">
        <v>370</v>
      </c>
      <c r="D382" s="64" t="s">
        <v>371</v>
      </c>
      <c r="E382" s="64" t="s">
        <v>536</v>
      </c>
      <c r="F382" s="64" t="s">
        <v>537</v>
      </c>
      <c r="G382" s="64" t="s">
        <v>232</v>
      </c>
      <c r="H382" s="64">
        <v>27</v>
      </c>
      <c r="I382" s="64" t="s">
        <v>171</v>
      </c>
      <c r="J382" s="64" t="s">
        <v>433</v>
      </c>
      <c r="K382" s="64" t="s">
        <v>374</v>
      </c>
      <c r="L382" s="64" t="s">
        <v>375</v>
      </c>
      <c r="M382" s="1">
        <v>2</v>
      </c>
      <c r="N382" s="1">
        <v>548</v>
      </c>
      <c r="O382" s="64" t="s">
        <v>651</v>
      </c>
    </row>
    <row r="383" spans="1:40" s="68" customFormat="1">
      <c r="A383" s="64">
        <v>1.6</v>
      </c>
      <c r="B383" s="64" t="s">
        <v>379</v>
      </c>
      <c r="C383" s="64" t="s">
        <v>380</v>
      </c>
      <c r="D383" s="64" t="s">
        <v>381</v>
      </c>
      <c r="E383" s="64" t="s">
        <v>404</v>
      </c>
      <c r="F383" s="64" t="s">
        <v>543</v>
      </c>
      <c r="G383" s="64" t="s">
        <v>247</v>
      </c>
      <c r="H383" s="64">
        <v>30</v>
      </c>
      <c r="I383" s="64" t="s">
        <v>171</v>
      </c>
      <c r="J383" s="64" t="s">
        <v>264</v>
      </c>
      <c r="K383" s="64" t="s">
        <v>384</v>
      </c>
      <c r="L383" s="64" t="s">
        <v>385</v>
      </c>
      <c r="M383" s="1">
        <v>2</v>
      </c>
      <c r="N383" s="1">
        <v>609</v>
      </c>
      <c r="O383" s="64" t="s">
        <v>652</v>
      </c>
    </row>
    <row r="384" spans="1:40" s="68" customFormat="1">
      <c r="A384" s="64">
        <v>1.6</v>
      </c>
      <c r="B384" s="64" t="s">
        <v>383</v>
      </c>
      <c r="C384" s="64" t="s">
        <v>391</v>
      </c>
      <c r="D384" s="64" t="s">
        <v>392</v>
      </c>
      <c r="E384" s="64" t="s">
        <v>548</v>
      </c>
      <c r="F384" s="64" t="s">
        <v>549</v>
      </c>
      <c r="G384" s="64" t="s">
        <v>395</v>
      </c>
      <c r="H384" s="64">
        <v>33</v>
      </c>
      <c r="I384" s="64" t="s">
        <v>171</v>
      </c>
      <c r="J384" s="64" t="s">
        <v>389</v>
      </c>
      <c r="K384" s="64" t="s">
        <v>396</v>
      </c>
      <c r="L384" s="64" t="s">
        <v>397</v>
      </c>
      <c r="M384" s="1">
        <v>2</v>
      </c>
      <c r="N384" s="1">
        <v>720</v>
      </c>
      <c r="O384" s="64" t="s">
        <v>653</v>
      </c>
    </row>
    <row r="385" spans="1:15" s="68" customFormat="1">
      <c r="A385" s="64">
        <v>2.5</v>
      </c>
      <c r="B385" s="64" t="s">
        <v>224</v>
      </c>
      <c r="C385" s="64" t="s">
        <v>160</v>
      </c>
      <c r="D385" s="64" t="s">
        <v>161</v>
      </c>
      <c r="E385" s="64" t="s">
        <v>235</v>
      </c>
      <c r="F385" s="64" t="s">
        <v>257</v>
      </c>
      <c r="G385" s="64" t="s">
        <v>161</v>
      </c>
      <c r="H385" s="64">
        <v>12</v>
      </c>
      <c r="I385" s="64" t="s">
        <v>165</v>
      </c>
      <c r="J385" s="64" t="s">
        <v>161</v>
      </c>
      <c r="K385" s="64" t="s">
        <v>167</v>
      </c>
      <c r="L385" s="64" t="s">
        <v>168</v>
      </c>
      <c r="M385" s="1">
        <v>2</v>
      </c>
      <c r="N385" s="1">
        <v>41</v>
      </c>
      <c r="O385" s="64" t="s">
        <v>563</v>
      </c>
    </row>
    <row r="386" spans="1:15" s="68" customFormat="1">
      <c r="A386" s="64">
        <v>2.5</v>
      </c>
      <c r="B386" s="64" t="s">
        <v>168</v>
      </c>
      <c r="C386" s="64" t="s">
        <v>226</v>
      </c>
      <c r="D386" s="64" t="s">
        <v>167</v>
      </c>
      <c r="E386" s="64" t="s">
        <v>366</v>
      </c>
      <c r="F386" s="64" t="s">
        <v>236</v>
      </c>
      <c r="G386" s="64" t="s">
        <v>161</v>
      </c>
      <c r="H386" s="64">
        <v>12</v>
      </c>
      <c r="I386" s="64" t="s">
        <v>165</v>
      </c>
      <c r="J386" s="64" t="s">
        <v>161</v>
      </c>
      <c r="K386" s="64" t="s">
        <v>229</v>
      </c>
      <c r="L386" s="64" t="s">
        <v>230</v>
      </c>
      <c r="M386" s="1">
        <v>2</v>
      </c>
      <c r="N386" s="1">
        <v>46</v>
      </c>
      <c r="O386" s="64" t="s">
        <v>564</v>
      </c>
    </row>
    <row r="387" spans="1:15" s="68" customFormat="1">
      <c r="A387" s="64">
        <v>2.5</v>
      </c>
      <c r="B387" s="64" t="s">
        <v>171</v>
      </c>
      <c r="C387" s="64" t="s">
        <v>234</v>
      </c>
      <c r="D387" s="64" t="s">
        <v>169</v>
      </c>
      <c r="E387" s="64" t="s">
        <v>377</v>
      </c>
      <c r="F387" s="64" t="s">
        <v>162</v>
      </c>
      <c r="G387" s="64" t="s">
        <v>161</v>
      </c>
      <c r="H387" s="64">
        <v>12</v>
      </c>
      <c r="I387" s="64" t="s">
        <v>165</v>
      </c>
      <c r="J387" s="64" t="s">
        <v>253</v>
      </c>
      <c r="K387" s="64" t="s">
        <v>237</v>
      </c>
      <c r="L387" s="64" t="s">
        <v>238</v>
      </c>
      <c r="M387" s="1">
        <v>2</v>
      </c>
      <c r="N387" s="1">
        <v>56</v>
      </c>
      <c r="O387" s="64" t="s">
        <v>565</v>
      </c>
    </row>
    <row r="388" spans="1:15" s="68" customFormat="1">
      <c r="A388" s="64">
        <v>2.5</v>
      </c>
      <c r="B388" s="64" t="s">
        <v>169</v>
      </c>
      <c r="C388" s="64" t="s">
        <v>243</v>
      </c>
      <c r="D388" s="64" t="s">
        <v>244</v>
      </c>
      <c r="E388" s="64" t="s">
        <v>387</v>
      </c>
      <c r="F388" s="64" t="s">
        <v>388</v>
      </c>
      <c r="G388" s="64" t="s">
        <v>161</v>
      </c>
      <c r="H388" s="64">
        <v>12</v>
      </c>
      <c r="I388" s="64" t="s">
        <v>165</v>
      </c>
      <c r="J388" s="64" t="s">
        <v>253</v>
      </c>
      <c r="K388" s="64" t="s">
        <v>246</v>
      </c>
      <c r="L388" s="64" t="s">
        <v>247</v>
      </c>
      <c r="M388" s="1">
        <v>2</v>
      </c>
      <c r="N388" s="1">
        <v>65</v>
      </c>
      <c r="O388" s="64" t="s">
        <v>566</v>
      </c>
    </row>
    <row r="389" spans="1:15" s="68" customFormat="1">
      <c r="A389" s="64">
        <v>2.5</v>
      </c>
      <c r="B389" s="64" t="s">
        <v>244</v>
      </c>
      <c r="C389" s="64" t="s">
        <v>250</v>
      </c>
      <c r="D389" s="64" t="s">
        <v>251</v>
      </c>
      <c r="E389" s="64" t="s">
        <v>270</v>
      </c>
      <c r="F389" s="64" t="s">
        <v>245</v>
      </c>
      <c r="G389" s="64" t="s">
        <v>167</v>
      </c>
      <c r="H389" s="64">
        <v>16</v>
      </c>
      <c r="I389" s="64" t="s">
        <v>165</v>
      </c>
      <c r="J389" s="64" t="s">
        <v>167</v>
      </c>
      <c r="K389" s="64" t="s">
        <v>254</v>
      </c>
      <c r="L389" s="64" t="s">
        <v>255</v>
      </c>
      <c r="M389" s="1">
        <v>2</v>
      </c>
      <c r="N389" s="1">
        <v>76</v>
      </c>
      <c r="O389" s="64" t="s">
        <v>567</v>
      </c>
    </row>
    <row r="390" spans="1:15" s="68" customFormat="1">
      <c r="A390" s="64">
        <v>2.5</v>
      </c>
      <c r="B390" s="64" t="s">
        <v>240</v>
      </c>
      <c r="C390" s="64" t="s">
        <v>260</v>
      </c>
      <c r="D390" s="64" t="s">
        <v>261</v>
      </c>
      <c r="E390" s="64" t="s">
        <v>288</v>
      </c>
      <c r="F390" s="64" t="s">
        <v>271</v>
      </c>
      <c r="G390" s="64" t="s">
        <v>167</v>
      </c>
      <c r="H390" s="64">
        <v>16</v>
      </c>
      <c r="I390" s="64" t="s">
        <v>165</v>
      </c>
      <c r="J390" s="64" t="s">
        <v>167</v>
      </c>
      <c r="K390" s="64" t="s">
        <v>263</v>
      </c>
      <c r="L390" s="64" t="s">
        <v>264</v>
      </c>
      <c r="M390" s="1">
        <v>2</v>
      </c>
      <c r="N390" s="1">
        <v>84</v>
      </c>
      <c r="O390" s="64" t="s">
        <v>569</v>
      </c>
    </row>
    <row r="391" spans="1:15" s="68" customFormat="1">
      <c r="A391" s="64">
        <v>2.5</v>
      </c>
      <c r="B391" s="64" t="s">
        <v>163</v>
      </c>
      <c r="C391" s="64" t="s">
        <v>268</v>
      </c>
      <c r="D391" s="64" t="s">
        <v>269</v>
      </c>
      <c r="E391" s="64" t="s">
        <v>416</v>
      </c>
      <c r="F391" s="64" t="s">
        <v>301</v>
      </c>
      <c r="G391" s="64" t="s">
        <v>167</v>
      </c>
      <c r="H391" s="64">
        <v>16</v>
      </c>
      <c r="I391" s="64" t="s">
        <v>165</v>
      </c>
      <c r="J391" s="64" t="s">
        <v>171</v>
      </c>
      <c r="K391" s="64" t="s">
        <v>272</v>
      </c>
      <c r="L391" s="64" t="s">
        <v>273</v>
      </c>
      <c r="M391" s="1">
        <v>2</v>
      </c>
      <c r="N391" s="1">
        <v>99</v>
      </c>
      <c r="O391" s="64" t="s">
        <v>571</v>
      </c>
    </row>
    <row r="392" spans="1:15" s="68" customFormat="1">
      <c r="A392" s="64">
        <v>2.5</v>
      </c>
      <c r="B392" s="64" t="s">
        <v>236</v>
      </c>
      <c r="C392" s="64" t="s">
        <v>277</v>
      </c>
      <c r="D392" s="64" t="s">
        <v>278</v>
      </c>
      <c r="E392" s="64" t="s">
        <v>319</v>
      </c>
      <c r="F392" s="64" t="s">
        <v>426</v>
      </c>
      <c r="G392" s="64" t="s">
        <v>167</v>
      </c>
      <c r="H392" s="64">
        <v>16</v>
      </c>
      <c r="I392" s="64" t="s">
        <v>306</v>
      </c>
      <c r="J392" s="64" t="s">
        <v>229</v>
      </c>
      <c r="K392" s="64" t="s">
        <v>280</v>
      </c>
      <c r="L392" s="64" t="s">
        <v>281</v>
      </c>
      <c r="M392" s="1">
        <v>2</v>
      </c>
      <c r="N392" s="1">
        <v>118</v>
      </c>
      <c r="O392" s="64" t="s">
        <v>654</v>
      </c>
    </row>
    <row r="393" spans="1:15" s="68" customFormat="1">
      <c r="A393" s="64">
        <v>2.5</v>
      </c>
      <c r="B393" s="64" t="s">
        <v>227</v>
      </c>
      <c r="C393" s="64" t="s">
        <v>285</v>
      </c>
      <c r="D393" s="64" t="s">
        <v>286</v>
      </c>
      <c r="E393" s="64" t="s">
        <v>305</v>
      </c>
      <c r="F393" s="64" t="s">
        <v>279</v>
      </c>
      <c r="G393" s="64" t="s">
        <v>167</v>
      </c>
      <c r="H393" s="64">
        <v>16</v>
      </c>
      <c r="I393" s="64" t="s">
        <v>306</v>
      </c>
      <c r="J393" s="64" t="s">
        <v>241</v>
      </c>
      <c r="K393" s="64" t="s">
        <v>289</v>
      </c>
      <c r="L393" s="64" t="s">
        <v>290</v>
      </c>
      <c r="M393" s="1">
        <v>2</v>
      </c>
      <c r="N393" s="1">
        <v>132</v>
      </c>
      <c r="O393" s="64" t="s">
        <v>655</v>
      </c>
    </row>
    <row r="394" spans="1:15" s="68" customFormat="1">
      <c r="A394" s="64">
        <v>2.5</v>
      </c>
      <c r="B394" s="64" t="s">
        <v>245</v>
      </c>
      <c r="C394" s="64" t="s">
        <v>294</v>
      </c>
      <c r="D394" s="64" t="s">
        <v>295</v>
      </c>
      <c r="E394" s="64" t="s">
        <v>572</v>
      </c>
      <c r="F394" s="64" t="s">
        <v>287</v>
      </c>
      <c r="G394" s="64" t="s">
        <v>229</v>
      </c>
      <c r="H394" s="64">
        <v>20</v>
      </c>
      <c r="I394" s="64" t="s">
        <v>306</v>
      </c>
      <c r="J394" s="64" t="s">
        <v>238</v>
      </c>
      <c r="K394" s="64" t="s">
        <v>298</v>
      </c>
      <c r="L394" s="64" t="s">
        <v>271</v>
      </c>
      <c r="M394" s="1">
        <v>2</v>
      </c>
      <c r="N394" s="1">
        <v>156</v>
      </c>
      <c r="O394" s="64" t="s">
        <v>656</v>
      </c>
    </row>
    <row r="395" spans="1:15" s="68" customFormat="1">
      <c r="A395" s="64">
        <v>2.5</v>
      </c>
      <c r="B395" s="64" t="s">
        <v>301</v>
      </c>
      <c r="C395" s="64" t="s">
        <v>302</v>
      </c>
      <c r="D395" s="64" t="s">
        <v>303</v>
      </c>
      <c r="E395" s="64" t="s">
        <v>575</v>
      </c>
      <c r="F395" s="64" t="s">
        <v>446</v>
      </c>
      <c r="G395" s="64" t="s">
        <v>238</v>
      </c>
      <c r="H395" s="64">
        <v>24</v>
      </c>
      <c r="I395" s="64" t="s">
        <v>306</v>
      </c>
      <c r="J395" s="64" t="s">
        <v>275</v>
      </c>
      <c r="K395" s="64" t="s">
        <v>307</v>
      </c>
      <c r="L395" s="64" t="s">
        <v>308</v>
      </c>
      <c r="M395" s="1">
        <v>2</v>
      </c>
      <c r="N395" s="1">
        <v>184</v>
      </c>
      <c r="O395" s="64" t="s">
        <v>657</v>
      </c>
    </row>
    <row r="396" spans="1:15" s="68" customFormat="1">
      <c r="A396" s="64">
        <v>2.5</v>
      </c>
      <c r="B396" s="64" t="s">
        <v>288</v>
      </c>
      <c r="C396" s="64" t="s">
        <v>312</v>
      </c>
      <c r="D396" s="64" t="s">
        <v>313</v>
      </c>
      <c r="E396" s="64" t="s">
        <v>338</v>
      </c>
      <c r="F396" s="64" t="s">
        <v>329</v>
      </c>
      <c r="G396" s="64" t="s">
        <v>238</v>
      </c>
      <c r="H396" s="64">
        <v>24</v>
      </c>
      <c r="I396" s="64" t="s">
        <v>306</v>
      </c>
      <c r="J396" s="64" t="s">
        <v>232</v>
      </c>
      <c r="K396" s="64" t="s">
        <v>316</v>
      </c>
      <c r="L396" s="64" t="s">
        <v>317</v>
      </c>
      <c r="M396" s="1">
        <v>2</v>
      </c>
      <c r="N396" s="1">
        <v>211</v>
      </c>
      <c r="O396" s="64" t="s">
        <v>658</v>
      </c>
    </row>
    <row r="397" spans="1:15" s="68" customFormat="1">
      <c r="A397" s="64">
        <v>2.5</v>
      </c>
      <c r="B397" s="64" t="s">
        <v>305</v>
      </c>
      <c r="C397" s="64" t="s">
        <v>321</v>
      </c>
      <c r="D397" s="64" t="s">
        <v>322</v>
      </c>
      <c r="E397" s="64" t="s">
        <v>580</v>
      </c>
      <c r="F397" s="64" t="s">
        <v>581</v>
      </c>
      <c r="G397" s="64" t="s">
        <v>238</v>
      </c>
      <c r="H397" s="64">
        <v>24</v>
      </c>
      <c r="I397" s="64" t="s">
        <v>166</v>
      </c>
      <c r="J397" s="64" t="s">
        <v>244</v>
      </c>
      <c r="K397" s="64" t="s">
        <v>325</v>
      </c>
      <c r="L397" s="64" t="s">
        <v>326</v>
      </c>
      <c r="M397" s="1">
        <v>2</v>
      </c>
      <c r="N397" s="1">
        <v>266</v>
      </c>
      <c r="O397" s="64" t="s">
        <v>659</v>
      </c>
    </row>
    <row r="398" spans="1:15" s="68" customFormat="1">
      <c r="A398" s="64">
        <v>2.5</v>
      </c>
      <c r="B398" s="64" t="s">
        <v>329</v>
      </c>
      <c r="C398" s="64" t="s">
        <v>330</v>
      </c>
      <c r="D398" s="64" t="s">
        <v>330</v>
      </c>
      <c r="E398" s="64" t="s">
        <v>585</v>
      </c>
      <c r="F398" s="64" t="s">
        <v>586</v>
      </c>
      <c r="G398" s="64" t="s">
        <v>232</v>
      </c>
      <c r="H398" s="64">
        <v>27</v>
      </c>
      <c r="I398" s="64" t="s">
        <v>166</v>
      </c>
      <c r="J398" s="64" t="s">
        <v>367</v>
      </c>
      <c r="K398" s="64" t="s">
        <v>333</v>
      </c>
      <c r="L398" s="64" t="s">
        <v>334</v>
      </c>
      <c r="M398" s="1">
        <v>2</v>
      </c>
      <c r="N398" s="1">
        <v>330</v>
      </c>
      <c r="O398" s="64" t="s">
        <v>660</v>
      </c>
    </row>
    <row r="399" spans="1:15" s="68" customFormat="1">
      <c r="A399" s="64">
        <v>2.5</v>
      </c>
      <c r="B399" s="64" t="s">
        <v>338</v>
      </c>
      <c r="C399" s="64" t="s">
        <v>339</v>
      </c>
      <c r="D399" s="64" t="s">
        <v>340</v>
      </c>
      <c r="E399" s="64" t="s">
        <v>375</v>
      </c>
      <c r="F399" s="64" t="s">
        <v>364</v>
      </c>
      <c r="G399" s="64" t="s">
        <v>232</v>
      </c>
      <c r="H399" s="64">
        <v>27</v>
      </c>
      <c r="I399" s="64" t="s">
        <v>253</v>
      </c>
      <c r="J399" s="64" t="s">
        <v>251</v>
      </c>
      <c r="K399" s="64" t="s">
        <v>343</v>
      </c>
      <c r="L399" s="64" t="s">
        <v>344</v>
      </c>
      <c r="M399" s="1">
        <v>2</v>
      </c>
      <c r="N399" s="1">
        <v>389</v>
      </c>
      <c r="O399" s="64" t="s">
        <v>661</v>
      </c>
    </row>
    <row r="400" spans="1:15" s="68" customFormat="1">
      <c r="A400" s="64">
        <v>2.5</v>
      </c>
      <c r="B400" s="64" t="s">
        <v>348</v>
      </c>
      <c r="C400" s="64" t="s">
        <v>349</v>
      </c>
      <c r="D400" s="64" t="s">
        <v>350</v>
      </c>
      <c r="E400" s="64" t="s">
        <v>592</v>
      </c>
      <c r="F400" s="64" t="s">
        <v>351</v>
      </c>
      <c r="G400" s="64" t="s">
        <v>247</v>
      </c>
      <c r="H400" s="64">
        <v>30</v>
      </c>
      <c r="I400" s="64" t="s">
        <v>253</v>
      </c>
      <c r="J400" s="64" t="s">
        <v>433</v>
      </c>
      <c r="K400" s="64" t="s">
        <v>353</v>
      </c>
      <c r="L400" s="64" t="s">
        <v>354</v>
      </c>
      <c r="M400" s="1">
        <v>2</v>
      </c>
      <c r="N400" s="1">
        <v>448</v>
      </c>
      <c r="O400" s="64" t="s">
        <v>662</v>
      </c>
    </row>
    <row r="401" spans="1:45" s="68" customFormat="1">
      <c r="A401" s="64">
        <v>2.5</v>
      </c>
      <c r="B401" s="64" t="s">
        <v>358</v>
      </c>
      <c r="C401" s="64" t="s">
        <v>359</v>
      </c>
      <c r="D401" s="64" t="s">
        <v>360</v>
      </c>
      <c r="E401" s="64" t="s">
        <v>511</v>
      </c>
      <c r="F401" s="64" t="s">
        <v>373</v>
      </c>
      <c r="G401" s="64" t="s">
        <v>395</v>
      </c>
      <c r="H401" s="64">
        <v>33</v>
      </c>
      <c r="I401" s="64" t="s">
        <v>253</v>
      </c>
      <c r="J401" s="64" t="s">
        <v>264</v>
      </c>
      <c r="K401" s="64" t="s">
        <v>363</v>
      </c>
      <c r="L401" s="64" t="s">
        <v>364</v>
      </c>
      <c r="M401" s="1">
        <v>2</v>
      </c>
      <c r="N401" s="1">
        <v>503</v>
      </c>
      <c r="O401" s="64" t="s">
        <v>663</v>
      </c>
    </row>
    <row r="402" spans="1:45" s="68" customFormat="1">
      <c r="A402" s="64">
        <v>2.5</v>
      </c>
      <c r="B402" s="64" t="s">
        <v>369</v>
      </c>
      <c r="C402" s="64" t="s">
        <v>370</v>
      </c>
      <c r="D402" s="64" t="s">
        <v>371</v>
      </c>
      <c r="E402" s="64" t="s">
        <v>510</v>
      </c>
      <c r="F402" s="64" t="s">
        <v>383</v>
      </c>
      <c r="G402" s="64" t="s">
        <v>395</v>
      </c>
      <c r="H402" s="64">
        <v>33</v>
      </c>
      <c r="I402" s="64" t="s">
        <v>171</v>
      </c>
      <c r="J402" s="64" t="s">
        <v>163</v>
      </c>
      <c r="K402" s="64" t="s">
        <v>374</v>
      </c>
      <c r="L402" s="64" t="s">
        <v>375</v>
      </c>
      <c r="M402" s="1">
        <v>2</v>
      </c>
      <c r="N402" s="1">
        <v>548</v>
      </c>
      <c r="O402" s="64" t="s">
        <v>664</v>
      </c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s="68" customFormat="1">
      <c r="A403" s="64">
        <v>2.5</v>
      </c>
      <c r="B403" s="64" t="s">
        <v>379</v>
      </c>
      <c r="C403" s="64" t="s">
        <v>380</v>
      </c>
      <c r="D403" s="64" t="s">
        <v>381</v>
      </c>
      <c r="E403" s="64" t="s">
        <v>602</v>
      </c>
      <c r="F403" s="64" t="s">
        <v>603</v>
      </c>
      <c r="G403" s="64" t="s">
        <v>395</v>
      </c>
      <c r="H403" s="64">
        <v>33</v>
      </c>
      <c r="I403" s="64" t="s">
        <v>171</v>
      </c>
      <c r="J403" s="64" t="s">
        <v>29</v>
      </c>
      <c r="K403" s="64" t="s">
        <v>384</v>
      </c>
      <c r="L403" s="64" t="s">
        <v>385</v>
      </c>
      <c r="M403" s="1">
        <v>2</v>
      </c>
      <c r="N403" s="1">
        <v>609</v>
      </c>
      <c r="O403" s="64" t="s">
        <v>665</v>
      </c>
    </row>
    <row r="404" spans="1:45" s="68" customFormat="1">
      <c r="A404" s="64">
        <v>2.5</v>
      </c>
      <c r="B404" s="64" t="s">
        <v>383</v>
      </c>
      <c r="C404" s="64" t="s">
        <v>391</v>
      </c>
      <c r="D404" s="64" t="s">
        <v>392</v>
      </c>
      <c r="E404" s="64" t="s">
        <v>607</v>
      </c>
      <c r="F404" s="64" t="s">
        <v>549</v>
      </c>
      <c r="G404" s="64" t="s">
        <v>255</v>
      </c>
      <c r="H404" s="64">
        <v>36</v>
      </c>
      <c r="I404" s="64" t="s">
        <v>171</v>
      </c>
      <c r="J404" s="64" t="s">
        <v>538</v>
      </c>
      <c r="K404" s="64" t="s">
        <v>396</v>
      </c>
      <c r="L404" s="64" t="s">
        <v>397</v>
      </c>
      <c r="M404" s="1">
        <v>2</v>
      </c>
      <c r="N404" s="1">
        <v>720</v>
      </c>
      <c r="O404" s="64" t="s">
        <v>666</v>
      </c>
    </row>
    <row r="405" spans="1:45" s="68" customFormat="1" ht="25.15">
      <c r="A405" s="267" t="s">
        <v>667</v>
      </c>
      <c r="B405" s="268"/>
      <c r="C405" s="268"/>
      <c r="D405" s="268"/>
      <c r="E405" s="268"/>
      <c r="F405" s="268"/>
      <c r="G405" s="268"/>
      <c r="H405" s="268"/>
      <c r="I405" s="268"/>
      <c r="J405" s="268"/>
      <c r="Q405" s="263" t="s">
        <v>668</v>
      </c>
      <c r="R405" s="264"/>
      <c r="S405" s="264"/>
      <c r="T405" s="264"/>
      <c r="U405" s="264"/>
      <c r="V405" s="264"/>
      <c r="W405" s="264"/>
      <c r="X405" s="264"/>
      <c r="Y405" s="264"/>
      <c r="Z405" s="264"/>
      <c r="AA405" s="264"/>
      <c r="AB405" s="264"/>
      <c r="AC405" s="264"/>
      <c r="AD405" s="264"/>
      <c r="AE405" s="264"/>
      <c r="AF405" s="264"/>
      <c r="AG405" s="264"/>
      <c r="AH405" s="264"/>
      <c r="AI405" s="264"/>
      <c r="AJ405" s="264"/>
      <c r="AK405" s="264"/>
      <c r="AL405" s="264"/>
      <c r="AM405" s="264"/>
    </row>
    <row r="406" spans="1:45" s="68" customFormat="1" ht="18" customHeight="1">
      <c r="A406" s="251" t="s">
        <v>199</v>
      </c>
      <c r="B406" s="251" t="s">
        <v>200</v>
      </c>
      <c r="C406" s="204" t="s">
        <v>202</v>
      </c>
      <c r="D406" s="204"/>
      <c r="E406" s="204"/>
      <c r="F406" s="204"/>
      <c r="G406" s="204"/>
      <c r="H406" s="251" t="s">
        <v>669</v>
      </c>
      <c r="I406" s="259" t="s">
        <v>205</v>
      </c>
      <c r="J406" s="224"/>
      <c r="K406" s="251" t="s">
        <v>670</v>
      </c>
      <c r="Q406" s="251" t="s">
        <v>199</v>
      </c>
      <c r="R406" s="251" t="s">
        <v>200</v>
      </c>
      <c r="S406" s="251" t="s">
        <v>201</v>
      </c>
      <c r="T406" s="251"/>
      <c r="U406" s="204" t="s">
        <v>202</v>
      </c>
      <c r="V406" s="204"/>
      <c r="W406" s="204"/>
      <c r="X406" s="204"/>
      <c r="Y406" s="204"/>
      <c r="Z406" s="251" t="s">
        <v>203</v>
      </c>
      <c r="AA406" s="204" t="s">
        <v>207</v>
      </c>
      <c r="AB406" s="204"/>
      <c r="AC406" s="204"/>
      <c r="AD406" s="204"/>
      <c r="AE406" s="204"/>
      <c r="AF406" s="251" t="s">
        <v>208</v>
      </c>
      <c r="AG406" s="251" t="s">
        <v>205</v>
      </c>
      <c r="AH406" s="251"/>
      <c r="AI406" s="251"/>
      <c r="AJ406" s="251"/>
      <c r="AK406" s="251"/>
      <c r="AL406" s="251"/>
      <c r="AM406" s="251" t="s">
        <v>206</v>
      </c>
    </row>
    <row r="407" spans="1:45" s="68" customFormat="1" ht="36" customHeight="1">
      <c r="A407" s="204"/>
      <c r="B407" s="204"/>
      <c r="C407" s="251" t="s">
        <v>671</v>
      </c>
      <c r="D407" s="251" t="s">
        <v>211</v>
      </c>
      <c r="E407" s="251" t="s">
        <v>212</v>
      </c>
      <c r="F407" s="251" t="s">
        <v>213</v>
      </c>
      <c r="G407" s="251" t="s">
        <v>214</v>
      </c>
      <c r="H407" s="251"/>
      <c r="I407" s="216"/>
      <c r="J407" s="221"/>
      <c r="K407" s="204"/>
      <c r="Q407" s="204"/>
      <c r="R407" s="204"/>
      <c r="S407" s="251"/>
      <c r="T407" s="251"/>
      <c r="U407" s="251" t="s">
        <v>210</v>
      </c>
      <c r="V407" s="251" t="s">
        <v>211</v>
      </c>
      <c r="W407" s="251" t="s">
        <v>212</v>
      </c>
      <c r="X407" s="251" t="s">
        <v>214</v>
      </c>
      <c r="Y407" s="251" t="s">
        <v>213</v>
      </c>
      <c r="Z407" s="251"/>
      <c r="AA407" s="254" t="s">
        <v>215</v>
      </c>
      <c r="AB407" s="204"/>
      <c r="AC407" s="254" t="s">
        <v>672</v>
      </c>
      <c r="AD407" s="255" t="s">
        <v>673</v>
      </c>
      <c r="AE407" s="254" t="s">
        <v>195</v>
      </c>
      <c r="AF407" s="204"/>
      <c r="AG407" s="251"/>
      <c r="AH407" s="251"/>
      <c r="AI407" s="251"/>
      <c r="AJ407" s="251"/>
      <c r="AK407" s="251"/>
      <c r="AL407" s="251"/>
      <c r="AM407" s="204"/>
    </row>
    <row r="408" spans="1:45" s="68" customFormat="1" ht="18" customHeight="1">
      <c r="A408" s="204"/>
      <c r="B408" s="204"/>
      <c r="C408" s="251"/>
      <c r="D408" s="251"/>
      <c r="E408" s="251"/>
      <c r="F408" s="251"/>
      <c r="G408" s="251"/>
      <c r="H408" s="251"/>
      <c r="I408" s="20" t="s">
        <v>218</v>
      </c>
      <c r="J408" s="20" t="s">
        <v>184</v>
      </c>
      <c r="K408" s="20" t="s">
        <v>219</v>
      </c>
      <c r="Q408" s="204"/>
      <c r="R408" s="204"/>
      <c r="S408" s="20" t="s">
        <v>216</v>
      </c>
      <c r="T408" s="20" t="s">
        <v>217</v>
      </c>
      <c r="U408" s="251"/>
      <c r="V408" s="251"/>
      <c r="W408" s="251"/>
      <c r="X408" s="251"/>
      <c r="Y408" s="251"/>
      <c r="Z408" s="251"/>
      <c r="AA408" s="20" t="s">
        <v>216</v>
      </c>
      <c r="AB408" s="20" t="s">
        <v>217</v>
      </c>
      <c r="AC408" s="204"/>
      <c r="AD408" s="204"/>
      <c r="AE408" s="204"/>
      <c r="AF408" s="204"/>
      <c r="AG408" s="20" t="s">
        <v>184</v>
      </c>
      <c r="AH408" s="20" t="s">
        <v>220</v>
      </c>
      <c r="AI408" s="20" t="s">
        <v>221</v>
      </c>
      <c r="AJ408" s="20" t="s">
        <v>218</v>
      </c>
      <c r="AK408" s="20" t="s">
        <v>222</v>
      </c>
      <c r="AL408" s="20" t="s">
        <v>223</v>
      </c>
      <c r="AM408" s="20" t="s">
        <v>219</v>
      </c>
    </row>
    <row r="409" spans="1:45" s="68" customFormat="1">
      <c r="A409" s="64">
        <v>0.25</v>
      </c>
      <c r="B409" s="64" t="s">
        <v>224</v>
      </c>
      <c r="C409" s="64" t="s">
        <v>162</v>
      </c>
      <c r="D409" s="64" t="s">
        <v>163</v>
      </c>
      <c r="E409" s="64" t="s">
        <v>164</v>
      </c>
      <c r="F409" s="64">
        <v>10</v>
      </c>
      <c r="G409" s="64" t="s">
        <v>165</v>
      </c>
      <c r="H409" s="64" t="s">
        <v>166</v>
      </c>
      <c r="I409" s="1">
        <v>2</v>
      </c>
      <c r="J409" s="1">
        <v>33</v>
      </c>
      <c r="K409" s="64" t="s">
        <v>172</v>
      </c>
      <c r="Q409" s="64" t="s">
        <v>356</v>
      </c>
      <c r="R409" s="64" t="s">
        <v>224</v>
      </c>
      <c r="S409" s="64" t="s">
        <v>160</v>
      </c>
      <c r="T409" s="64" t="s">
        <v>161</v>
      </c>
      <c r="U409" s="64" t="s">
        <v>235</v>
      </c>
      <c r="V409" s="64" t="s">
        <v>257</v>
      </c>
      <c r="W409" s="64" t="s">
        <v>161</v>
      </c>
      <c r="X409" s="64" t="s">
        <v>165</v>
      </c>
      <c r="Y409" s="64">
        <v>12</v>
      </c>
      <c r="Z409" s="64" t="s">
        <v>161</v>
      </c>
      <c r="AA409" s="64" t="s">
        <v>275</v>
      </c>
      <c r="AB409" s="64" t="s">
        <v>275</v>
      </c>
      <c r="AC409" s="64" t="s">
        <v>674</v>
      </c>
      <c r="AD409" s="64" t="s">
        <v>283</v>
      </c>
      <c r="AE409" s="64" t="s">
        <v>170</v>
      </c>
      <c r="AF409" s="64" t="s">
        <v>367</v>
      </c>
      <c r="AG409" s="1">
        <v>41</v>
      </c>
      <c r="AH409" s="1">
        <v>34</v>
      </c>
      <c r="AI409" s="1">
        <v>35</v>
      </c>
      <c r="AJ409" s="1">
        <v>2</v>
      </c>
      <c r="AK409" s="1">
        <v>4</v>
      </c>
      <c r="AL409" s="1">
        <v>3</v>
      </c>
      <c r="AM409" s="64" t="s">
        <v>242</v>
      </c>
    </row>
    <row r="410" spans="1:45" s="68" customFormat="1">
      <c r="A410" s="64">
        <v>0.25</v>
      </c>
      <c r="B410" s="64" t="s">
        <v>168</v>
      </c>
      <c r="C410" s="64" t="s">
        <v>227</v>
      </c>
      <c r="D410" s="64" t="s">
        <v>228</v>
      </c>
      <c r="E410" s="64" t="s">
        <v>164</v>
      </c>
      <c r="F410" s="64">
        <v>10</v>
      </c>
      <c r="G410" s="64" t="s">
        <v>165</v>
      </c>
      <c r="H410" s="64" t="s">
        <v>166</v>
      </c>
      <c r="I410" s="1">
        <v>2</v>
      </c>
      <c r="J410" s="1">
        <v>38</v>
      </c>
      <c r="K410" s="64" t="s">
        <v>233</v>
      </c>
      <c r="Q410" s="64" t="s">
        <v>356</v>
      </c>
      <c r="R410" s="64" t="s">
        <v>168</v>
      </c>
      <c r="S410" s="64" t="s">
        <v>226</v>
      </c>
      <c r="T410" s="64" t="s">
        <v>167</v>
      </c>
      <c r="U410" s="64" t="s">
        <v>366</v>
      </c>
      <c r="V410" s="64" t="s">
        <v>236</v>
      </c>
      <c r="W410" s="64" t="s">
        <v>161</v>
      </c>
      <c r="X410" s="64" t="s">
        <v>165</v>
      </c>
      <c r="Y410" s="64">
        <v>12</v>
      </c>
      <c r="Z410" s="64" t="s">
        <v>161</v>
      </c>
      <c r="AA410" s="64" t="s">
        <v>244</v>
      </c>
      <c r="AB410" s="64" t="s">
        <v>244</v>
      </c>
      <c r="AC410" s="64" t="s">
        <v>674</v>
      </c>
      <c r="AD410" s="64" t="s">
        <v>283</v>
      </c>
      <c r="AE410" s="64" t="s">
        <v>170</v>
      </c>
      <c r="AF410" s="64" t="s">
        <v>251</v>
      </c>
      <c r="AG410" s="1">
        <v>46</v>
      </c>
      <c r="AH410" s="1">
        <v>39</v>
      </c>
      <c r="AI410" s="1">
        <v>40</v>
      </c>
      <c r="AJ410" s="1">
        <v>2</v>
      </c>
      <c r="AK410" s="1">
        <v>4</v>
      </c>
      <c r="AL410" s="1">
        <v>3</v>
      </c>
      <c r="AM410" s="64" t="s">
        <v>675</v>
      </c>
    </row>
    <row r="411" spans="1:45" s="68" customFormat="1">
      <c r="A411" s="64">
        <v>0.25</v>
      </c>
      <c r="B411" s="64" t="s">
        <v>171</v>
      </c>
      <c r="C411" s="64" t="s">
        <v>235</v>
      </c>
      <c r="D411" s="64" t="s">
        <v>236</v>
      </c>
      <c r="E411" s="64" t="s">
        <v>164</v>
      </c>
      <c r="F411" s="64">
        <v>10</v>
      </c>
      <c r="G411" s="64" t="s">
        <v>165</v>
      </c>
      <c r="H411" s="64" t="s">
        <v>161</v>
      </c>
      <c r="I411" s="1">
        <v>2</v>
      </c>
      <c r="J411" s="1">
        <v>48</v>
      </c>
      <c r="K411" s="64" t="s">
        <v>242</v>
      </c>
      <c r="Q411" s="64" t="s">
        <v>356</v>
      </c>
      <c r="R411" s="64" t="s">
        <v>171</v>
      </c>
      <c r="S411" s="64" t="s">
        <v>234</v>
      </c>
      <c r="T411" s="64" t="s">
        <v>169</v>
      </c>
      <c r="U411" s="64" t="s">
        <v>377</v>
      </c>
      <c r="V411" s="64" t="s">
        <v>162</v>
      </c>
      <c r="W411" s="64" t="s">
        <v>161</v>
      </c>
      <c r="X411" s="64" t="s">
        <v>165</v>
      </c>
      <c r="Y411" s="64">
        <v>12</v>
      </c>
      <c r="Z411" s="64" t="s">
        <v>253</v>
      </c>
      <c r="AA411" s="64" t="s">
        <v>240</v>
      </c>
      <c r="AB411" s="64" t="s">
        <v>240</v>
      </c>
      <c r="AC411" s="64" t="s">
        <v>676</v>
      </c>
      <c r="AD411" s="64" t="s">
        <v>283</v>
      </c>
      <c r="AE411" s="64" t="s">
        <v>165</v>
      </c>
      <c r="AF411" s="64" t="s">
        <v>240</v>
      </c>
      <c r="AG411" s="1">
        <v>56</v>
      </c>
      <c r="AH411" s="1">
        <v>50</v>
      </c>
      <c r="AI411" s="1">
        <v>51</v>
      </c>
      <c r="AJ411" s="1">
        <v>2</v>
      </c>
      <c r="AK411" s="1">
        <v>4</v>
      </c>
      <c r="AL411" s="1">
        <v>3</v>
      </c>
      <c r="AM411" s="64" t="s">
        <v>677</v>
      </c>
    </row>
    <row r="412" spans="1:45" s="68" customFormat="1">
      <c r="A412" s="64">
        <v>0.25</v>
      </c>
      <c r="B412" s="64" t="s">
        <v>169</v>
      </c>
      <c r="C412" s="64" t="s">
        <v>245</v>
      </c>
      <c r="D412" s="64" t="s">
        <v>162</v>
      </c>
      <c r="E412" s="64" t="s">
        <v>164</v>
      </c>
      <c r="F412" s="64">
        <v>10</v>
      </c>
      <c r="G412" s="64" t="s">
        <v>165</v>
      </c>
      <c r="H412" s="64" t="s">
        <v>161</v>
      </c>
      <c r="I412" s="1">
        <v>2</v>
      </c>
      <c r="J412" s="1">
        <v>58</v>
      </c>
      <c r="K412" s="64" t="s">
        <v>678</v>
      </c>
      <c r="Q412" s="64" t="s">
        <v>356</v>
      </c>
      <c r="R412" s="64" t="s">
        <v>169</v>
      </c>
      <c r="S412" s="64" t="s">
        <v>243</v>
      </c>
      <c r="T412" s="64" t="s">
        <v>244</v>
      </c>
      <c r="U412" s="64" t="s">
        <v>387</v>
      </c>
      <c r="V412" s="64" t="s">
        <v>388</v>
      </c>
      <c r="W412" s="64" t="s">
        <v>161</v>
      </c>
      <c r="X412" s="64" t="s">
        <v>165</v>
      </c>
      <c r="Y412" s="64">
        <v>12</v>
      </c>
      <c r="Z412" s="64" t="s">
        <v>253</v>
      </c>
      <c r="AA412" s="64" t="s">
        <v>264</v>
      </c>
      <c r="AB412" s="64" t="s">
        <v>264</v>
      </c>
      <c r="AC412" s="64" t="s">
        <v>679</v>
      </c>
      <c r="AD412" s="64" t="s">
        <v>283</v>
      </c>
      <c r="AE412" s="64" t="s">
        <v>165</v>
      </c>
      <c r="AF412" s="64" t="s">
        <v>240</v>
      </c>
      <c r="AG412" s="1">
        <v>65</v>
      </c>
      <c r="AH412" s="1">
        <v>57</v>
      </c>
      <c r="AI412" s="1">
        <v>58</v>
      </c>
      <c r="AJ412" s="1">
        <v>2</v>
      </c>
      <c r="AK412" s="1">
        <v>4</v>
      </c>
      <c r="AL412" s="1">
        <v>3</v>
      </c>
      <c r="AM412" s="64" t="s">
        <v>680</v>
      </c>
    </row>
    <row r="413" spans="1:45" s="68" customFormat="1">
      <c r="A413" s="64">
        <v>0.25</v>
      </c>
      <c r="B413" s="64" t="s">
        <v>244</v>
      </c>
      <c r="C413" s="64" t="s">
        <v>252</v>
      </c>
      <c r="D413" s="64" t="s">
        <v>235</v>
      </c>
      <c r="E413" s="64" t="s">
        <v>161</v>
      </c>
      <c r="F413" s="64">
        <v>12</v>
      </c>
      <c r="G413" s="64" t="s">
        <v>165</v>
      </c>
      <c r="H413" s="64" t="s">
        <v>253</v>
      </c>
      <c r="I413" s="1">
        <v>2</v>
      </c>
      <c r="J413" s="1">
        <v>69</v>
      </c>
      <c r="K413" s="64" t="s">
        <v>681</v>
      </c>
      <c r="Q413" s="64" t="s">
        <v>356</v>
      </c>
      <c r="R413" s="64" t="s">
        <v>244</v>
      </c>
      <c r="S413" s="64" t="s">
        <v>250</v>
      </c>
      <c r="T413" s="64" t="s">
        <v>251</v>
      </c>
      <c r="U413" s="64" t="s">
        <v>270</v>
      </c>
      <c r="V413" s="64" t="s">
        <v>245</v>
      </c>
      <c r="W413" s="64" t="s">
        <v>167</v>
      </c>
      <c r="X413" s="64" t="s">
        <v>165</v>
      </c>
      <c r="Y413" s="64">
        <v>16</v>
      </c>
      <c r="Z413" s="64" t="s">
        <v>167</v>
      </c>
      <c r="AA413" s="64" t="s">
        <v>29</v>
      </c>
      <c r="AB413" s="64" t="s">
        <v>29</v>
      </c>
      <c r="AC413" s="64" t="s">
        <v>679</v>
      </c>
      <c r="AD413" s="64" t="s">
        <v>283</v>
      </c>
      <c r="AE413" s="64" t="s">
        <v>258</v>
      </c>
      <c r="AF413" s="64" t="s">
        <v>433</v>
      </c>
      <c r="AG413" s="1">
        <v>76</v>
      </c>
      <c r="AH413" s="1">
        <v>65</v>
      </c>
      <c r="AI413" s="1">
        <v>66</v>
      </c>
      <c r="AJ413" s="1">
        <v>2</v>
      </c>
      <c r="AK413" s="1">
        <v>4</v>
      </c>
      <c r="AL413" s="1">
        <v>3</v>
      </c>
      <c r="AM413" s="64" t="s">
        <v>682</v>
      </c>
    </row>
    <row r="414" spans="1:45" s="68" customFormat="1">
      <c r="A414" s="64">
        <v>0.25</v>
      </c>
      <c r="B414" s="64" t="s">
        <v>240</v>
      </c>
      <c r="C414" s="64" t="s">
        <v>262</v>
      </c>
      <c r="D414" s="64" t="s">
        <v>245</v>
      </c>
      <c r="E414" s="64" t="s">
        <v>161</v>
      </c>
      <c r="F414" s="64">
        <v>12</v>
      </c>
      <c r="G414" s="64" t="s">
        <v>165</v>
      </c>
      <c r="H414" s="64" t="s">
        <v>253</v>
      </c>
      <c r="I414" s="1">
        <v>2</v>
      </c>
      <c r="J414" s="1">
        <v>78</v>
      </c>
      <c r="K414" s="64" t="s">
        <v>683</v>
      </c>
      <c r="Q414" s="64" t="s">
        <v>356</v>
      </c>
      <c r="R414" s="64" t="s">
        <v>240</v>
      </c>
      <c r="S414" s="64" t="s">
        <v>260</v>
      </c>
      <c r="T414" s="64" t="s">
        <v>261</v>
      </c>
      <c r="U414" s="64" t="s">
        <v>288</v>
      </c>
      <c r="V414" s="64" t="s">
        <v>271</v>
      </c>
      <c r="W414" s="64" t="s">
        <v>167</v>
      </c>
      <c r="X414" s="64" t="s">
        <v>165</v>
      </c>
      <c r="Y414" s="64">
        <v>16</v>
      </c>
      <c r="Z414" s="64" t="s">
        <v>167</v>
      </c>
      <c r="AA414" s="64" t="s">
        <v>619</v>
      </c>
      <c r="AB414" s="64" t="s">
        <v>619</v>
      </c>
      <c r="AC414" s="64" t="s">
        <v>679</v>
      </c>
      <c r="AD414" s="64" t="s">
        <v>614</v>
      </c>
      <c r="AE414" s="64" t="s">
        <v>258</v>
      </c>
      <c r="AF414" s="64" t="s">
        <v>261</v>
      </c>
      <c r="AG414" s="1">
        <v>84</v>
      </c>
      <c r="AH414" s="1">
        <v>75</v>
      </c>
      <c r="AI414" s="1">
        <v>76</v>
      </c>
      <c r="AJ414" s="1">
        <v>2</v>
      </c>
      <c r="AK414" s="1">
        <v>4</v>
      </c>
      <c r="AL414" s="1">
        <v>3</v>
      </c>
      <c r="AM414" s="64" t="s">
        <v>684</v>
      </c>
    </row>
    <row r="415" spans="1:45" s="68" customFormat="1">
      <c r="A415" s="64">
        <v>0.25</v>
      </c>
      <c r="B415" s="64" t="s">
        <v>163</v>
      </c>
      <c r="C415" s="64" t="s">
        <v>270</v>
      </c>
      <c r="D415" s="64" t="s">
        <v>271</v>
      </c>
      <c r="E415" s="64" t="s">
        <v>161</v>
      </c>
      <c r="F415" s="64">
        <v>12</v>
      </c>
      <c r="G415" s="64" t="s">
        <v>165</v>
      </c>
      <c r="H415" s="64" t="s">
        <v>253</v>
      </c>
      <c r="I415" s="1">
        <v>2</v>
      </c>
      <c r="J415" s="1">
        <v>88</v>
      </c>
      <c r="K415" s="64" t="s">
        <v>567</v>
      </c>
      <c r="Q415" s="64" t="s">
        <v>356</v>
      </c>
      <c r="R415" s="64" t="s">
        <v>163</v>
      </c>
      <c r="S415" s="64" t="s">
        <v>268</v>
      </c>
      <c r="T415" s="64" t="s">
        <v>269</v>
      </c>
      <c r="U415" s="64" t="s">
        <v>416</v>
      </c>
      <c r="V415" s="64" t="s">
        <v>301</v>
      </c>
      <c r="W415" s="64" t="s">
        <v>167</v>
      </c>
      <c r="X415" s="64" t="s">
        <v>165</v>
      </c>
      <c r="Y415" s="64">
        <v>16</v>
      </c>
      <c r="Z415" s="64" t="s">
        <v>171</v>
      </c>
      <c r="AA415" s="64" t="s">
        <v>685</v>
      </c>
      <c r="AB415" s="64" t="s">
        <v>685</v>
      </c>
      <c r="AC415" s="64" t="s">
        <v>686</v>
      </c>
      <c r="AD415" s="64" t="s">
        <v>306</v>
      </c>
      <c r="AE415" s="64" t="s">
        <v>258</v>
      </c>
      <c r="AF415" s="64" t="s">
        <v>454</v>
      </c>
      <c r="AG415" s="1">
        <v>99</v>
      </c>
      <c r="AH415" s="1">
        <v>87</v>
      </c>
      <c r="AI415" s="1">
        <v>88</v>
      </c>
      <c r="AJ415" s="1">
        <v>2</v>
      </c>
      <c r="AK415" s="1">
        <v>4</v>
      </c>
      <c r="AL415" s="1">
        <v>3</v>
      </c>
      <c r="AM415" s="64" t="s">
        <v>687</v>
      </c>
    </row>
    <row r="416" spans="1:45" s="68" customFormat="1">
      <c r="A416" s="64">
        <v>0.25</v>
      </c>
      <c r="B416" s="64" t="s">
        <v>236</v>
      </c>
      <c r="C416" s="64" t="s">
        <v>279</v>
      </c>
      <c r="D416" s="64" t="s">
        <v>262</v>
      </c>
      <c r="E416" s="64" t="s">
        <v>161</v>
      </c>
      <c r="F416" s="64">
        <v>12</v>
      </c>
      <c r="G416" s="64" t="s">
        <v>165</v>
      </c>
      <c r="H416" s="64" t="s">
        <v>253</v>
      </c>
      <c r="I416" s="1">
        <v>2</v>
      </c>
      <c r="J416" s="1">
        <v>108</v>
      </c>
      <c r="K416" s="64" t="s">
        <v>688</v>
      </c>
      <c r="Q416" s="64" t="s">
        <v>356</v>
      </c>
      <c r="R416" s="64" t="s">
        <v>236</v>
      </c>
      <c r="S416" s="64" t="s">
        <v>277</v>
      </c>
      <c r="T416" s="64" t="s">
        <v>278</v>
      </c>
      <c r="U416" s="64" t="s">
        <v>319</v>
      </c>
      <c r="V416" s="64" t="s">
        <v>426</v>
      </c>
      <c r="W416" s="64" t="s">
        <v>167</v>
      </c>
      <c r="X416" s="64" t="s">
        <v>165</v>
      </c>
      <c r="Y416" s="64">
        <v>16</v>
      </c>
      <c r="Z416" s="64" t="s">
        <v>171</v>
      </c>
      <c r="AA416" s="64" t="s">
        <v>561</v>
      </c>
      <c r="AB416" s="64" t="s">
        <v>561</v>
      </c>
      <c r="AC416" s="64" t="s">
        <v>686</v>
      </c>
      <c r="AD416" s="64" t="s">
        <v>224</v>
      </c>
      <c r="AE416" s="64" t="s">
        <v>283</v>
      </c>
      <c r="AF416" s="64" t="s">
        <v>454</v>
      </c>
      <c r="AG416" s="1">
        <v>118</v>
      </c>
      <c r="AH416" s="1">
        <v>109</v>
      </c>
      <c r="AI416" s="1">
        <v>110</v>
      </c>
      <c r="AJ416" s="1">
        <v>2</v>
      </c>
      <c r="AK416" s="1">
        <v>4</v>
      </c>
      <c r="AL416" s="1">
        <v>3</v>
      </c>
      <c r="AM416" s="64" t="s">
        <v>689</v>
      </c>
    </row>
    <row r="417" spans="1:39" s="68" customFormat="1">
      <c r="A417" s="64">
        <v>0.25</v>
      </c>
      <c r="B417" s="64" t="s">
        <v>227</v>
      </c>
      <c r="C417" s="64" t="s">
        <v>287</v>
      </c>
      <c r="D417" s="64" t="s">
        <v>288</v>
      </c>
      <c r="E417" s="64" t="s">
        <v>167</v>
      </c>
      <c r="F417" s="64">
        <v>16</v>
      </c>
      <c r="G417" s="64" t="s">
        <v>165</v>
      </c>
      <c r="H417" s="64" t="s">
        <v>167</v>
      </c>
      <c r="I417" s="1">
        <v>2</v>
      </c>
      <c r="J417" s="1">
        <v>124</v>
      </c>
      <c r="K417" s="64" t="s">
        <v>690</v>
      </c>
      <c r="Q417" s="64" t="s">
        <v>356</v>
      </c>
      <c r="R417" s="64" t="s">
        <v>227</v>
      </c>
      <c r="S417" s="64" t="s">
        <v>285</v>
      </c>
      <c r="T417" s="64" t="s">
        <v>286</v>
      </c>
      <c r="U417" s="64" t="s">
        <v>305</v>
      </c>
      <c r="V417" s="64" t="s">
        <v>279</v>
      </c>
      <c r="W417" s="64" t="s">
        <v>167</v>
      </c>
      <c r="X417" s="64" t="s">
        <v>306</v>
      </c>
      <c r="Y417" s="64">
        <v>16</v>
      </c>
      <c r="Z417" s="64" t="s">
        <v>171</v>
      </c>
      <c r="AA417" s="64" t="s">
        <v>271</v>
      </c>
      <c r="AB417" s="64" t="s">
        <v>271</v>
      </c>
      <c r="AC417" s="64" t="s">
        <v>691</v>
      </c>
      <c r="AD417" s="64" t="s">
        <v>224</v>
      </c>
      <c r="AE417" s="64" t="s">
        <v>283</v>
      </c>
      <c r="AF417" s="64" t="s">
        <v>163</v>
      </c>
      <c r="AG417" s="1">
        <v>132</v>
      </c>
      <c r="AH417" s="1">
        <v>120</v>
      </c>
      <c r="AI417" s="1">
        <v>121</v>
      </c>
      <c r="AJ417" s="1">
        <v>2</v>
      </c>
      <c r="AK417" s="1">
        <v>4</v>
      </c>
      <c r="AL417" s="1">
        <v>3</v>
      </c>
      <c r="AM417" s="64" t="s">
        <v>692</v>
      </c>
    </row>
    <row r="418" spans="1:39" s="68" customFormat="1">
      <c r="A418" s="64">
        <v>0.25</v>
      </c>
      <c r="B418" s="64" t="s">
        <v>245</v>
      </c>
      <c r="C418" s="64" t="s">
        <v>296</v>
      </c>
      <c r="D418" s="64" t="s">
        <v>297</v>
      </c>
      <c r="E418" s="64" t="s">
        <v>167</v>
      </c>
      <c r="F418" s="64">
        <v>16</v>
      </c>
      <c r="G418" s="64" t="s">
        <v>165</v>
      </c>
      <c r="H418" s="64" t="s">
        <v>167</v>
      </c>
      <c r="I418" s="1">
        <v>2</v>
      </c>
      <c r="J418" s="1">
        <v>144</v>
      </c>
      <c r="K418" s="64" t="s">
        <v>693</v>
      </c>
      <c r="Q418" s="64" t="s">
        <v>356</v>
      </c>
      <c r="R418" s="64" t="s">
        <v>245</v>
      </c>
      <c r="S418" s="64" t="s">
        <v>294</v>
      </c>
      <c r="T418" s="64" t="s">
        <v>295</v>
      </c>
      <c r="U418" s="64" t="s">
        <v>446</v>
      </c>
      <c r="V418" s="64" t="s">
        <v>447</v>
      </c>
      <c r="W418" s="64" t="s">
        <v>167</v>
      </c>
      <c r="X418" s="64" t="s">
        <v>306</v>
      </c>
      <c r="Y418" s="64">
        <v>16</v>
      </c>
      <c r="Z418" s="64" t="s">
        <v>229</v>
      </c>
      <c r="AA418" s="64" t="s">
        <v>262</v>
      </c>
      <c r="AB418" s="64" t="s">
        <v>262</v>
      </c>
      <c r="AC418" s="64" t="s">
        <v>694</v>
      </c>
      <c r="AD418" s="64" t="s">
        <v>166</v>
      </c>
      <c r="AE418" s="64" t="s">
        <v>283</v>
      </c>
      <c r="AF418" s="64" t="s">
        <v>389</v>
      </c>
      <c r="AG418" s="1">
        <v>156</v>
      </c>
      <c r="AH418" s="1">
        <v>149</v>
      </c>
      <c r="AI418" s="1">
        <v>150</v>
      </c>
      <c r="AJ418" s="1">
        <v>2</v>
      </c>
      <c r="AK418" s="1">
        <v>4.5</v>
      </c>
      <c r="AL418" s="1">
        <v>3.5</v>
      </c>
      <c r="AM418" s="64" t="s">
        <v>695</v>
      </c>
    </row>
    <row r="419" spans="1:39" s="68" customFormat="1">
      <c r="A419" s="64">
        <v>0.25</v>
      </c>
      <c r="B419" s="64" t="s">
        <v>301</v>
      </c>
      <c r="C419" s="64" t="s">
        <v>304</v>
      </c>
      <c r="D419" s="64" t="s">
        <v>305</v>
      </c>
      <c r="E419" s="64" t="s">
        <v>167</v>
      </c>
      <c r="F419" s="64">
        <v>16</v>
      </c>
      <c r="G419" s="64" t="s">
        <v>306</v>
      </c>
      <c r="H419" s="64" t="s">
        <v>171</v>
      </c>
      <c r="I419" s="1">
        <v>2</v>
      </c>
      <c r="J419" s="1">
        <v>174</v>
      </c>
      <c r="K419" s="64" t="s">
        <v>696</v>
      </c>
      <c r="Q419" s="64" t="s">
        <v>356</v>
      </c>
      <c r="R419" s="64" t="s">
        <v>301</v>
      </c>
      <c r="S419" s="64" t="s">
        <v>302</v>
      </c>
      <c r="T419" s="64" t="s">
        <v>303</v>
      </c>
      <c r="U419" s="64" t="s">
        <v>329</v>
      </c>
      <c r="V419" s="64" t="s">
        <v>296</v>
      </c>
      <c r="W419" s="64" t="s">
        <v>167</v>
      </c>
      <c r="X419" s="64" t="s">
        <v>306</v>
      </c>
      <c r="Y419" s="64">
        <v>16</v>
      </c>
      <c r="Z419" s="64" t="s">
        <v>229</v>
      </c>
      <c r="AA419" s="64" t="s">
        <v>697</v>
      </c>
      <c r="AB419" s="64" t="s">
        <v>697</v>
      </c>
      <c r="AC419" s="64" t="s">
        <v>165</v>
      </c>
      <c r="AD419" s="64" t="s">
        <v>166</v>
      </c>
      <c r="AE419" s="64" t="s">
        <v>283</v>
      </c>
      <c r="AF419" s="64" t="s">
        <v>228</v>
      </c>
      <c r="AG419" s="1">
        <v>184</v>
      </c>
      <c r="AH419" s="1">
        <v>175</v>
      </c>
      <c r="AI419" s="1">
        <v>176</v>
      </c>
      <c r="AJ419" s="1">
        <v>2</v>
      </c>
      <c r="AK419" s="1">
        <v>4.5</v>
      </c>
      <c r="AL419" s="1">
        <v>3.5</v>
      </c>
      <c r="AM419" s="64" t="s">
        <v>698</v>
      </c>
    </row>
    <row r="420" spans="1:39" s="68" customFormat="1">
      <c r="A420" s="64">
        <v>0.25</v>
      </c>
      <c r="B420" s="64" t="s">
        <v>288</v>
      </c>
      <c r="C420" s="64" t="s">
        <v>314</v>
      </c>
      <c r="D420" s="64" t="s">
        <v>315</v>
      </c>
      <c r="E420" s="64" t="s">
        <v>167</v>
      </c>
      <c r="F420" s="64">
        <v>16</v>
      </c>
      <c r="G420" s="64" t="s">
        <v>306</v>
      </c>
      <c r="H420" s="64" t="s">
        <v>171</v>
      </c>
      <c r="I420" s="1">
        <v>2</v>
      </c>
      <c r="J420" s="1">
        <v>199</v>
      </c>
      <c r="K420" s="64" t="s">
        <v>699</v>
      </c>
      <c r="Q420" s="64" t="s">
        <v>356</v>
      </c>
      <c r="R420" s="64" t="s">
        <v>288</v>
      </c>
      <c r="S420" s="64" t="s">
        <v>312</v>
      </c>
      <c r="T420" s="64" t="s">
        <v>313</v>
      </c>
      <c r="U420" s="64" t="s">
        <v>469</v>
      </c>
      <c r="V420" s="64" t="s">
        <v>304</v>
      </c>
      <c r="W420" s="64" t="s">
        <v>229</v>
      </c>
      <c r="X420" s="64" t="s">
        <v>306</v>
      </c>
      <c r="Y420" s="64">
        <v>20</v>
      </c>
      <c r="Z420" s="64" t="s">
        <v>241</v>
      </c>
      <c r="AA420" s="64" t="s">
        <v>700</v>
      </c>
      <c r="AB420" s="64" t="s">
        <v>700</v>
      </c>
      <c r="AC420" s="64" t="s">
        <v>701</v>
      </c>
      <c r="AD420" s="64" t="s">
        <v>166</v>
      </c>
      <c r="AE420" s="64" t="s">
        <v>306</v>
      </c>
      <c r="AF420" s="64" t="s">
        <v>228</v>
      </c>
      <c r="AG420" s="1">
        <v>211</v>
      </c>
      <c r="AH420" s="1">
        <v>203</v>
      </c>
      <c r="AI420" s="1">
        <v>204</v>
      </c>
      <c r="AJ420" s="1">
        <v>2</v>
      </c>
      <c r="AK420" s="1">
        <v>4.5</v>
      </c>
      <c r="AL420" s="1">
        <v>3.5</v>
      </c>
      <c r="AM420" s="64" t="s">
        <v>702</v>
      </c>
    </row>
    <row r="421" spans="1:39" s="68" customFormat="1">
      <c r="A421" s="64">
        <v>0.25</v>
      </c>
      <c r="B421" s="64" t="s">
        <v>305</v>
      </c>
      <c r="C421" s="64" t="s">
        <v>323</v>
      </c>
      <c r="D421" s="64" t="s">
        <v>324</v>
      </c>
      <c r="E421" s="64" t="s">
        <v>167</v>
      </c>
      <c r="F421" s="64">
        <v>16</v>
      </c>
      <c r="G421" s="64" t="s">
        <v>306</v>
      </c>
      <c r="H421" s="64" t="s">
        <v>229</v>
      </c>
      <c r="I421" s="1">
        <v>2</v>
      </c>
      <c r="J421" s="1">
        <v>254</v>
      </c>
      <c r="K421" s="64" t="s">
        <v>703</v>
      </c>
      <c r="Q421" s="64" t="s">
        <v>356</v>
      </c>
      <c r="R421" s="64" t="s">
        <v>305</v>
      </c>
      <c r="S421" s="64" t="s">
        <v>321</v>
      </c>
      <c r="T421" s="64" t="s">
        <v>322</v>
      </c>
      <c r="U421" s="64" t="s">
        <v>481</v>
      </c>
      <c r="V421" s="64" t="s">
        <v>336</v>
      </c>
      <c r="W421" s="64" t="s">
        <v>229</v>
      </c>
      <c r="X421" s="64" t="s">
        <v>306</v>
      </c>
      <c r="Y421" s="64">
        <v>20</v>
      </c>
      <c r="Z421" s="64" t="s">
        <v>241</v>
      </c>
      <c r="AA421" s="64" t="s">
        <v>704</v>
      </c>
      <c r="AB421" s="64" t="s">
        <v>704</v>
      </c>
      <c r="AC421" s="64" t="s">
        <v>705</v>
      </c>
      <c r="AD421" s="64" t="s">
        <v>253</v>
      </c>
      <c r="AE421" s="64" t="s">
        <v>306</v>
      </c>
      <c r="AF421" s="64" t="s">
        <v>706</v>
      </c>
      <c r="AG421" s="1">
        <v>266</v>
      </c>
      <c r="AH421" s="1">
        <v>259</v>
      </c>
      <c r="AI421" s="1">
        <v>260</v>
      </c>
      <c r="AJ421" s="1">
        <v>2</v>
      </c>
      <c r="AK421" s="1">
        <v>4.5</v>
      </c>
      <c r="AL421" s="1">
        <v>3.5</v>
      </c>
      <c r="AM421" s="64" t="s">
        <v>707</v>
      </c>
    </row>
    <row r="422" spans="1:39" s="68" customFormat="1">
      <c r="A422" s="64">
        <v>0.25</v>
      </c>
      <c r="B422" s="64" t="s">
        <v>329</v>
      </c>
      <c r="C422" s="64" t="s">
        <v>331</v>
      </c>
      <c r="D422" s="64" t="s">
        <v>332</v>
      </c>
      <c r="E422" s="64" t="s">
        <v>167</v>
      </c>
      <c r="F422" s="64">
        <v>16</v>
      </c>
      <c r="G422" s="64" t="s">
        <v>166</v>
      </c>
      <c r="H422" s="64" t="s">
        <v>241</v>
      </c>
      <c r="I422" s="1">
        <v>2</v>
      </c>
      <c r="J422" s="1">
        <v>309</v>
      </c>
      <c r="K422" s="64" t="s">
        <v>660</v>
      </c>
      <c r="Q422" s="64" t="s">
        <v>356</v>
      </c>
      <c r="R422" s="64" t="s">
        <v>329</v>
      </c>
      <c r="S422" s="64" t="s">
        <v>330</v>
      </c>
      <c r="T422" s="64" t="s">
        <v>330</v>
      </c>
      <c r="U422" s="64" t="s">
        <v>342</v>
      </c>
      <c r="V422" s="64" t="s">
        <v>348</v>
      </c>
      <c r="W422" s="64" t="s">
        <v>229</v>
      </c>
      <c r="X422" s="64" t="s">
        <v>166</v>
      </c>
      <c r="Y422" s="64">
        <v>20</v>
      </c>
      <c r="Z422" s="64" t="s">
        <v>238</v>
      </c>
      <c r="AA422" s="64" t="s">
        <v>708</v>
      </c>
      <c r="AB422" s="64" t="s">
        <v>708</v>
      </c>
      <c r="AC422" s="64" t="s">
        <v>705</v>
      </c>
      <c r="AD422" s="64" t="s">
        <v>253</v>
      </c>
      <c r="AE422" s="64" t="s">
        <v>224</v>
      </c>
      <c r="AF422" s="64" t="s">
        <v>538</v>
      </c>
      <c r="AG422" s="1">
        <v>319</v>
      </c>
      <c r="AH422" s="1">
        <v>312</v>
      </c>
      <c r="AI422" s="1">
        <v>313</v>
      </c>
      <c r="AJ422" s="1">
        <v>2</v>
      </c>
      <c r="AK422" s="1">
        <v>4.5</v>
      </c>
      <c r="AL422" s="1">
        <v>3.5</v>
      </c>
      <c r="AM422" s="64" t="s">
        <v>583</v>
      </c>
    </row>
    <row r="423" spans="1:39" s="68" customFormat="1">
      <c r="A423" s="64">
        <v>0.25</v>
      </c>
      <c r="B423" s="64" t="s">
        <v>338</v>
      </c>
      <c r="C423" s="64" t="s">
        <v>341</v>
      </c>
      <c r="D423" s="64" t="s">
        <v>342</v>
      </c>
      <c r="E423" s="64" t="s">
        <v>229</v>
      </c>
      <c r="F423" s="64">
        <v>20</v>
      </c>
      <c r="G423" s="64" t="s">
        <v>166</v>
      </c>
      <c r="H423" s="64" t="s">
        <v>241</v>
      </c>
      <c r="I423" s="1">
        <v>2</v>
      </c>
      <c r="J423" s="1">
        <v>363</v>
      </c>
      <c r="K423" s="64" t="s">
        <v>709</v>
      </c>
      <c r="Q423" s="64" t="s">
        <v>356</v>
      </c>
      <c r="R423" s="64" t="s">
        <v>338</v>
      </c>
      <c r="S423" s="64" t="s">
        <v>339</v>
      </c>
      <c r="T423" s="64" t="s">
        <v>340</v>
      </c>
      <c r="U423" s="64" t="s">
        <v>352</v>
      </c>
      <c r="V423" s="64" t="s">
        <v>358</v>
      </c>
      <c r="W423" s="64" t="s">
        <v>229</v>
      </c>
      <c r="X423" s="64" t="s">
        <v>166</v>
      </c>
      <c r="Y423" s="64">
        <v>20</v>
      </c>
      <c r="Z423" s="64" t="s">
        <v>238</v>
      </c>
      <c r="AA423" s="64" t="s">
        <v>710</v>
      </c>
      <c r="AB423" s="64" t="s">
        <v>710</v>
      </c>
      <c r="AC423" s="64" t="s">
        <v>711</v>
      </c>
      <c r="AD423" s="64" t="s">
        <v>253</v>
      </c>
      <c r="AE423" s="64" t="s">
        <v>224</v>
      </c>
      <c r="AF423" s="64" t="s">
        <v>538</v>
      </c>
      <c r="AG423" s="1">
        <v>370</v>
      </c>
      <c r="AH423" s="1">
        <v>363</v>
      </c>
      <c r="AI423" s="1">
        <v>364</v>
      </c>
      <c r="AJ423" s="1">
        <v>2</v>
      </c>
      <c r="AK423" s="1">
        <v>4.5</v>
      </c>
      <c r="AL423" s="1">
        <v>3.5</v>
      </c>
      <c r="AM423" s="64" t="s">
        <v>712</v>
      </c>
    </row>
    <row r="424" spans="1:39" s="68" customFormat="1">
      <c r="A424" s="64">
        <v>0.25</v>
      </c>
      <c r="B424" s="64" t="s">
        <v>348</v>
      </c>
      <c r="C424" s="64" t="s">
        <v>351</v>
      </c>
      <c r="D424" s="64" t="s">
        <v>352</v>
      </c>
      <c r="E424" s="64" t="s">
        <v>229</v>
      </c>
      <c r="F424" s="64">
        <v>20</v>
      </c>
      <c r="G424" s="64" t="s">
        <v>166</v>
      </c>
      <c r="H424" s="64" t="s">
        <v>238</v>
      </c>
      <c r="I424" s="1">
        <v>2</v>
      </c>
      <c r="J424" s="1">
        <v>413</v>
      </c>
      <c r="K424" s="64" t="s">
        <v>713</v>
      </c>
      <c r="Q424" s="64" t="s">
        <v>356</v>
      </c>
      <c r="R424" s="64" t="s">
        <v>348</v>
      </c>
      <c r="S424" s="64" t="s">
        <v>349</v>
      </c>
      <c r="T424" s="64" t="s">
        <v>350</v>
      </c>
      <c r="U424" s="64" t="s">
        <v>496</v>
      </c>
      <c r="V424" s="64" t="s">
        <v>497</v>
      </c>
      <c r="W424" s="64" t="s">
        <v>229</v>
      </c>
      <c r="X424" s="64" t="s">
        <v>253</v>
      </c>
      <c r="Y424" s="64">
        <v>20</v>
      </c>
      <c r="Z424" s="64" t="s">
        <v>238</v>
      </c>
      <c r="AA424" s="64" t="s">
        <v>714</v>
      </c>
      <c r="AB424" s="64" t="s">
        <v>715</v>
      </c>
      <c r="AC424" s="64" t="s">
        <v>306</v>
      </c>
      <c r="AD424" s="64" t="s">
        <v>253</v>
      </c>
      <c r="AE424" s="64" t="s">
        <v>224</v>
      </c>
      <c r="AF424" s="64" t="s">
        <v>538</v>
      </c>
      <c r="AG424" s="1">
        <v>429</v>
      </c>
      <c r="AH424" s="1">
        <v>421</v>
      </c>
      <c r="AI424" s="1">
        <v>422</v>
      </c>
      <c r="AJ424" s="1">
        <v>2</v>
      </c>
      <c r="AK424" s="1">
        <v>5</v>
      </c>
      <c r="AL424" s="1">
        <v>4</v>
      </c>
      <c r="AM424" s="64" t="s">
        <v>716</v>
      </c>
    </row>
    <row r="425" spans="1:39" s="68" customFormat="1">
      <c r="A425" s="64">
        <v>0.25</v>
      </c>
      <c r="B425" s="64" t="s">
        <v>358</v>
      </c>
      <c r="C425" s="64" t="s">
        <v>361</v>
      </c>
      <c r="D425" s="64" t="s">
        <v>362</v>
      </c>
      <c r="E425" s="64" t="s">
        <v>229</v>
      </c>
      <c r="F425" s="64">
        <v>20</v>
      </c>
      <c r="G425" s="64" t="s">
        <v>253</v>
      </c>
      <c r="H425" s="64" t="s">
        <v>275</v>
      </c>
      <c r="I425" s="1">
        <v>2</v>
      </c>
      <c r="J425" s="1">
        <v>463</v>
      </c>
      <c r="K425" s="64" t="s">
        <v>433</v>
      </c>
      <c r="Q425" s="64" t="s">
        <v>356</v>
      </c>
      <c r="R425" s="64" t="s">
        <v>358</v>
      </c>
      <c r="S425" s="64" t="s">
        <v>359</v>
      </c>
      <c r="T425" s="64" t="s">
        <v>360</v>
      </c>
      <c r="U425" s="64" t="s">
        <v>500</v>
      </c>
      <c r="V425" s="64" t="s">
        <v>501</v>
      </c>
      <c r="W425" s="64" t="s">
        <v>238</v>
      </c>
      <c r="X425" s="64" t="s">
        <v>253</v>
      </c>
      <c r="Y425" s="64">
        <v>24</v>
      </c>
      <c r="Z425" s="64" t="s">
        <v>238</v>
      </c>
      <c r="AA425" s="64" t="s">
        <v>341</v>
      </c>
      <c r="AB425" s="64" t="s">
        <v>717</v>
      </c>
      <c r="AC425" s="64" t="s">
        <v>718</v>
      </c>
      <c r="AD425" s="64" t="s">
        <v>253</v>
      </c>
      <c r="AE425" s="64" t="s">
        <v>224</v>
      </c>
      <c r="AF425" s="64" t="s">
        <v>594</v>
      </c>
      <c r="AG425" s="1">
        <v>480</v>
      </c>
      <c r="AH425" s="1">
        <v>273</v>
      </c>
      <c r="AI425" s="1">
        <v>474</v>
      </c>
      <c r="AJ425" s="1">
        <v>2</v>
      </c>
      <c r="AK425" s="1">
        <v>5</v>
      </c>
      <c r="AL425" s="1">
        <v>4</v>
      </c>
      <c r="AM425" s="64" t="s">
        <v>719</v>
      </c>
    </row>
    <row r="426" spans="1:39" s="68" customFormat="1">
      <c r="A426" s="64">
        <v>0.25</v>
      </c>
      <c r="B426" s="64" t="s">
        <v>369</v>
      </c>
      <c r="C426" s="64" t="s">
        <v>372</v>
      </c>
      <c r="D426" s="64" t="s">
        <v>373</v>
      </c>
      <c r="E426" s="64" t="s">
        <v>229</v>
      </c>
      <c r="F426" s="64">
        <v>20</v>
      </c>
      <c r="G426" s="64" t="s">
        <v>253</v>
      </c>
      <c r="H426" s="64" t="s">
        <v>232</v>
      </c>
      <c r="I426" s="1">
        <v>2</v>
      </c>
      <c r="J426" s="1">
        <v>518</v>
      </c>
      <c r="K426" s="64" t="s">
        <v>720</v>
      </c>
      <c r="Q426" s="64" t="s">
        <v>356</v>
      </c>
      <c r="R426" s="64" t="s">
        <v>369</v>
      </c>
      <c r="S426" s="64" t="s">
        <v>370</v>
      </c>
      <c r="T426" s="64" t="s">
        <v>371</v>
      </c>
      <c r="U426" s="64" t="s">
        <v>505</v>
      </c>
      <c r="V426" s="64" t="s">
        <v>500</v>
      </c>
      <c r="W426" s="64" t="s">
        <v>238</v>
      </c>
      <c r="X426" s="64" t="s">
        <v>171</v>
      </c>
      <c r="Y426" s="64">
        <v>24</v>
      </c>
      <c r="Z426" s="64" t="s">
        <v>275</v>
      </c>
      <c r="AA426" s="64" t="s">
        <v>721</v>
      </c>
      <c r="AB426" s="64" t="s">
        <v>625</v>
      </c>
      <c r="AC426" s="64" t="s">
        <v>224</v>
      </c>
      <c r="AD426" s="64" t="s">
        <v>253</v>
      </c>
      <c r="AE426" s="64" t="s">
        <v>166</v>
      </c>
      <c r="AF426" s="64" t="s">
        <v>594</v>
      </c>
      <c r="AG426" s="1">
        <v>530</v>
      </c>
      <c r="AH426" s="1">
        <v>523</v>
      </c>
      <c r="AI426" s="1">
        <v>524</v>
      </c>
      <c r="AJ426" s="1">
        <v>2</v>
      </c>
      <c r="AK426" s="1">
        <v>5</v>
      </c>
      <c r="AL426" s="1">
        <v>4</v>
      </c>
      <c r="AM426" s="64" t="s">
        <v>722</v>
      </c>
    </row>
    <row r="427" spans="1:39" s="68" customFormat="1">
      <c r="A427" s="64">
        <v>0.25</v>
      </c>
      <c r="B427" s="64" t="s">
        <v>379</v>
      </c>
      <c r="C427" s="64" t="s">
        <v>382</v>
      </c>
      <c r="D427" s="64" t="s">
        <v>383</v>
      </c>
      <c r="E427" s="64" t="s">
        <v>229</v>
      </c>
      <c r="F427" s="64">
        <v>20</v>
      </c>
      <c r="G427" s="64" t="s">
        <v>171</v>
      </c>
      <c r="H427" s="64" t="s">
        <v>244</v>
      </c>
      <c r="I427" s="1">
        <v>2</v>
      </c>
      <c r="J427" s="1">
        <v>568</v>
      </c>
      <c r="K427" s="64" t="s">
        <v>723</v>
      </c>
      <c r="Q427" s="64" t="s">
        <v>356</v>
      </c>
      <c r="R427" s="64" t="s">
        <v>379</v>
      </c>
      <c r="S427" s="64" t="s">
        <v>380</v>
      </c>
      <c r="T427" s="64" t="s">
        <v>381</v>
      </c>
      <c r="U427" s="64" t="s">
        <v>510</v>
      </c>
      <c r="V427" s="64" t="s">
        <v>511</v>
      </c>
      <c r="W427" s="64" t="s">
        <v>238</v>
      </c>
      <c r="X427" s="64" t="s">
        <v>171</v>
      </c>
      <c r="Y427" s="64">
        <v>24</v>
      </c>
      <c r="Z427" s="64" t="s">
        <v>275</v>
      </c>
      <c r="AA427" s="64" t="s">
        <v>361</v>
      </c>
      <c r="AB427" s="64" t="s">
        <v>724</v>
      </c>
      <c r="AC427" s="64" t="s">
        <v>164</v>
      </c>
      <c r="AD427" s="64" t="s">
        <v>253</v>
      </c>
      <c r="AE427" s="64" t="s">
        <v>166</v>
      </c>
      <c r="AF427" s="64" t="s">
        <v>162</v>
      </c>
      <c r="AG427" s="1">
        <v>582</v>
      </c>
      <c r="AH427" s="1">
        <v>575</v>
      </c>
      <c r="AI427" s="1">
        <v>576</v>
      </c>
      <c r="AJ427" s="1">
        <v>2</v>
      </c>
      <c r="AK427" s="1">
        <v>5</v>
      </c>
      <c r="AL427" s="1">
        <v>4</v>
      </c>
      <c r="AM427" s="64" t="s">
        <v>725</v>
      </c>
    </row>
    <row r="428" spans="1:39" s="68" customFormat="1">
      <c r="A428" s="64">
        <v>0.25</v>
      </c>
      <c r="B428" s="64" t="s">
        <v>383</v>
      </c>
      <c r="C428" s="64" t="s">
        <v>393</v>
      </c>
      <c r="D428" s="64" t="s">
        <v>394</v>
      </c>
      <c r="E428" s="64" t="s">
        <v>238</v>
      </c>
      <c r="F428" s="64">
        <v>24</v>
      </c>
      <c r="G428" s="64" t="s">
        <v>171</v>
      </c>
      <c r="H428" s="64" t="s">
        <v>395</v>
      </c>
      <c r="I428" s="1">
        <v>2</v>
      </c>
      <c r="J428" s="1">
        <v>667</v>
      </c>
      <c r="K428" s="64" t="s">
        <v>726</v>
      </c>
      <c r="Q428" s="64" t="s">
        <v>356</v>
      </c>
      <c r="R428" s="64" t="s">
        <v>383</v>
      </c>
      <c r="S428" s="64" t="s">
        <v>391</v>
      </c>
      <c r="T428" s="64" t="s">
        <v>392</v>
      </c>
      <c r="U428" s="64" t="s">
        <v>516</v>
      </c>
      <c r="V428" s="64" t="s">
        <v>517</v>
      </c>
      <c r="W428" s="64" t="s">
        <v>232</v>
      </c>
      <c r="X428" s="64" t="s">
        <v>171</v>
      </c>
      <c r="Y428" s="64">
        <v>27</v>
      </c>
      <c r="Z428" s="64" t="s">
        <v>275</v>
      </c>
      <c r="AA428" s="64" t="s">
        <v>536</v>
      </c>
      <c r="AB428" s="64" t="s">
        <v>603</v>
      </c>
      <c r="AC428" s="64" t="s">
        <v>727</v>
      </c>
      <c r="AD428" s="64" t="s">
        <v>167</v>
      </c>
      <c r="AE428" s="64" t="s">
        <v>166</v>
      </c>
      <c r="AF428" s="64" t="s">
        <v>227</v>
      </c>
      <c r="AG428" s="1">
        <v>682</v>
      </c>
      <c r="AH428" s="1">
        <v>675</v>
      </c>
      <c r="AI428" s="1">
        <v>676</v>
      </c>
      <c r="AJ428" s="1">
        <v>2</v>
      </c>
      <c r="AK428" s="1">
        <v>5</v>
      </c>
      <c r="AL428" s="1">
        <v>4</v>
      </c>
      <c r="AM428" s="64" t="s">
        <v>728</v>
      </c>
    </row>
    <row r="429" spans="1:39" s="68" customFormat="1">
      <c r="A429" s="64">
        <v>0.25</v>
      </c>
      <c r="B429" s="64" t="s">
        <v>399</v>
      </c>
      <c r="C429" s="64" t="s">
        <v>402</v>
      </c>
      <c r="D429" s="64" t="s">
        <v>403</v>
      </c>
      <c r="E429" s="64" t="s">
        <v>238</v>
      </c>
      <c r="F429" s="64">
        <v>24</v>
      </c>
      <c r="G429" s="64" t="s">
        <v>241</v>
      </c>
      <c r="H429" s="64" t="s">
        <v>395</v>
      </c>
      <c r="I429" s="1">
        <v>5</v>
      </c>
      <c r="J429" s="1">
        <v>772</v>
      </c>
      <c r="K429" s="64" t="s">
        <v>729</v>
      </c>
      <c r="Q429" s="64" t="s">
        <v>356</v>
      </c>
      <c r="R429" s="64" t="s">
        <v>399</v>
      </c>
      <c r="S429" s="64" t="s">
        <v>400</v>
      </c>
      <c r="T429" s="64" t="s">
        <v>401</v>
      </c>
      <c r="U429" s="64" t="s">
        <v>730</v>
      </c>
      <c r="V429" s="64" t="s">
        <v>548</v>
      </c>
      <c r="W429" s="64" t="s">
        <v>232</v>
      </c>
      <c r="X429" s="64" t="s">
        <v>241</v>
      </c>
      <c r="Y429" s="64">
        <v>27</v>
      </c>
      <c r="Z429" s="64" t="s">
        <v>232</v>
      </c>
      <c r="AA429" s="64" t="s">
        <v>731</v>
      </c>
      <c r="AB429" s="64" t="s">
        <v>393</v>
      </c>
      <c r="AC429" s="64" t="s">
        <v>727</v>
      </c>
      <c r="AD429" s="64" t="s">
        <v>167</v>
      </c>
      <c r="AE429" s="64" t="s">
        <v>166</v>
      </c>
      <c r="AF429" s="64" t="s">
        <v>227</v>
      </c>
      <c r="AG429" s="1">
        <v>794</v>
      </c>
      <c r="AH429" s="1"/>
      <c r="AI429" s="1"/>
      <c r="AJ429" s="1">
        <v>5</v>
      </c>
      <c r="AK429" s="1"/>
      <c r="AL429" s="1"/>
      <c r="AM429" s="64" t="s">
        <v>732</v>
      </c>
    </row>
    <row r="430" spans="1:39" s="68" customFormat="1">
      <c r="A430" s="64">
        <v>0.25</v>
      </c>
      <c r="B430" s="64" t="s">
        <v>408</v>
      </c>
      <c r="C430" s="64" t="s">
        <v>411</v>
      </c>
      <c r="D430" s="64" t="s">
        <v>412</v>
      </c>
      <c r="E430" s="64" t="s">
        <v>232</v>
      </c>
      <c r="F430" s="64">
        <v>27</v>
      </c>
      <c r="G430" s="64" t="s">
        <v>241</v>
      </c>
      <c r="H430" s="64" t="s">
        <v>251</v>
      </c>
      <c r="I430" s="1">
        <v>5</v>
      </c>
      <c r="J430" s="1">
        <v>878</v>
      </c>
      <c r="K430" s="64" t="s">
        <v>733</v>
      </c>
      <c r="Q430" s="64" t="s">
        <v>356</v>
      </c>
      <c r="R430" s="64" t="s">
        <v>408</v>
      </c>
      <c r="S430" s="64" t="s">
        <v>409</v>
      </c>
      <c r="T430" s="64" t="s">
        <v>410</v>
      </c>
      <c r="U430" s="64" t="s">
        <v>734</v>
      </c>
      <c r="V430" s="64" t="s">
        <v>735</v>
      </c>
      <c r="W430" s="64" t="s">
        <v>247</v>
      </c>
      <c r="X430" s="64" t="s">
        <v>241</v>
      </c>
      <c r="Y430" s="64">
        <v>30</v>
      </c>
      <c r="Z430" s="64" t="s">
        <v>244</v>
      </c>
      <c r="AA430" s="64" t="s">
        <v>736</v>
      </c>
      <c r="AB430" s="64" t="s">
        <v>737</v>
      </c>
      <c r="AC430" s="64" t="s">
        <v>727</v>
      </c>
      <c r="AD430" s="64" t="s">
        <v>167</v>
      </c>
      <c r="AE430" s="64" t="s">
        <v>166</v>
      </c>
      <c r="AF430" s="64" t="s">
        <v>235</v>
      </c>
      <c r="AG430" s="1">
        <v>901</v>
      </c>
      <c r="AH430" s="1"/>
      <c r="AI430" s="1"/>
      <c r="AJ430" s="1">
        <v>5</v>
      </c>
      <c r="AK430" s="1"/>
      <c r="AL430" s="1"/>
      <c r="AM430" s="64" t="s">
        <v>738</v>
      </c>
    </row>
    <row r="431" spans="1:39" s="68" customFormat="1">
      <c r="A431" s="64">
        <v>0.25</v>
      </c>
      <c r="B431" s="64" t="s">
        <v>419</v>
      </c>
      <c r="C431" s="64" t="s">
        <v>421</v>
      </c>
      <c r="D431" s="64" t="s">
        <v>422</v>
      </c>
      <c r="E431" s="64" t="s">
        <v>232</v>
      </c>
      <c r="F431" s="64">
        <v>27</v>
      </c>
      <c r="G431" s="64" t="s">
        <v>241</v>
      </c>
      <c r="H431" s="64" t="s">
        <v>240</v>
      </c>
      <c r="I431" s="1">
        <v>5</v>
      </c>
      <c r="J431" s="1">
        <v>978</v>
      </c>
      <c r="K431" s="64" t="s">
        <v>739</v>
      </c>
      <c r="Q431" s="64" t="s">
        <v>356</v>
      </c>
      <c r="R431" s="64" t="s">
        <v>419</v>
      </c>
      <c r="S431" s="64" t="s">
        <v>420</v>
      </c>
      <c r="T431" s="64" t="s">
        <v>412</v>
      </c>
      <c r="U431" s="64" t="s">
        <v>740</v>
      </c>
      <c r="V431" s="64" t="s">
        <v>741</v>
      </c>
      <c r="W431" s="64" t="s">
        <v>247</v>
      </c>
      <c r="X431" s="64" t="s">
        <v>275</v>
      </c>
      <c r="Y431" s="64">
        <v>30</v>
      </c>
      <c r="Z431" s="64" t="s">
        <v>292</v>
      </c>
      <c r="AA431" s="64" t="s">
        <v>742</v>
      </c>
      <c r="AB431" s="64" t="s">
        <v>743</v>
      </c>
      <c r="AC431" s="64" t="s">
        <v>727</v>
      </c>
      <c r="AD431" s="64" t="s">
        <v>171</v>
      </c>
      <c r="AE431" s="64" t="s">
        <v>166</v>
      </c>
      <c r="AF431" s="64" t="s">
        <v>366</v>
      </c>
      <c r="AG431" s="1">
        <v>1001</v>
      </c>
      <c r="AH431" s="1"/>
      <c r="AI431" s="1"/>
      <c r="AJ431" s="1">
        <v>5</v>
      </c>
      <c r="AK431" s="1"/>
      <c r="AL431" s="1"/>
      <c r="AM431" s="64" t="s">
        <v>744</v>
      </c>
    </row>
    <row r="432" spans="1:39" s="68" customFormat="1">
      <c r="A432" s="64">
        <v>0.25</v>
      </c>
      <c r="B432" s="64" t="s">
        <v>429</v>
      </c>
      <c r="C432" s="64" t="s">
        <v>431</v>
      </c>
      <c r="D432" s="64" t="s">
        <v>432</v>
      </c>
      <c r="E432" s="64" t="s">
        <v>232</v>
      </c>
      <c r="F432" s="64">
        <v>27</v>
      </c>
      <c r="G432" s="64" t="s">
        <v>275</v>
      </c>
      <c r="H432" s="64" t="s">
        <v>433</v>
      </c>
      <c r="I432" s="1">
        <v>5</v>
      </c>
      <c r="J432" s="1">
        <v>1078</v>
      </c>
      <c r="K432" s="64" t="s">
        <v>745</v>
      </c>
      <c r="Q432" s="64" t="s">
        <v>356</v>
      </c>
      <c r="R432" s="64" t="s">
        <v>429</v>
      </c>
      <c r="S432" s="64" t="s">
        <v>430</v>
      </c>
      <c r="T432" s="64" t="s">
        <v>422</v>
      </c>
      <c r="U432" s="64" t="s">
        <v>746</v>
      </c>
      <c r="V432" s="64" t="s">
        <v>747</v>
      </c>
      <c r="W432" s="64" t="s">
        <v>395</v>
      </c>
      <c r="X432" s="64" t="s">
        <v>275</v>
      </c>
      <c r="Y432" s="64">
        <v>33</v>
      </c>
      <c r="Z432" s="64" t="s">
        <v>292</v>
      </c>
      <c r="AA432" s="64" t="s">
        <v>741</v>
      </c>
      <c r="AB432" s="64" t="s">
        <v>748</v>
      </c>
      <c r="AC432" s="64" t="s">
        <v>727</v>
      </c>
      <c r="AD432" s="64" t="s">
        <v>171</v>
      </c>
      <c r="AE432" s="64" t="s">
        <v>166</v>
      </c>
      <c r="AF432" s="64" t="s">
        <v>366</v>
      </c>
      <c r="AG432" s="1">
        <v>1112</v>
      </c>
      <c r="AH432" s="1"/>
      <c r="AI432" s="1"/>
      <c r="AJ432" s="1">
        <v>5</v>
      </c>
      <c r="AK432" s="1"/>
      <c r="AL432" s="1"/>
      <c r="AM432" s="64" t="s">
        <v>749</v>
      </c>
    </row>
    <row r="433" spans="1:39" s="68" customFormat="1">
      <c r="A433" s="64">
        <v>0.25</v>
      </c>
      <c r="B433" s="64" t="s">
        <v>438</v>
      </c>
      <c r="C433" s="64" t="s">
        <v>441</v>
      </c>
      <c r="D433" s="64" t="s">
        <v>442</v>
      </c>
      <c r="E433" s="64" t="s">
        <v>232</v>
      </c>
      <c r="F433" s="64">
        <v>27</v>
      </c>
      <c r="G433" s="64" t="s">
        <v>244</v>
      </c>
      <c r="H433" s="64" t="s">
        <v>310</v>
      </c>
      <c r="I433" s="1">
        <v>5</v>
      </c>
      <c r="J433" s="1">
        <v>1295</v>
      </c>
      <c r="K433" s="64" t="s">
        <v>750</v>
      </c>
      <c r="Q433" s="64" t="s">
        <v>356</v>
      </c>
      <c r="R433" s="64" t="s">
        <v>438</v>
      </c>
      <c r="S433" s="64" t="s">
        <v>439</v>
      </c>
      <c r="T433" s="64" t="s">
        <v>440</v>
      </c>
      <c r="U433" s="64" t="s">
        <v>751</v>
      </c>
      <c r="V433" s="64" t="s">
        <v>752</v>
      </c>
      <c r="W433" s="64" t="s">
        <v>255</v>
      </c>
      <c r="X433" s="64" t="s">
        <v>244</v>
      </c>
      <c r="Y433" s="64">
        <v>36</v>
      </c>
      <c r="Z433" s="64" t="s">
        <v>251</v>
      </c>
      <c r="AA433" s="64" t="s">
        <v>753</v>
      </c>
      <c r="AB433" s="64" t="s">
        <v>753</v>
      </c>
      <c r="AC433" s="64" t="s">
        <v>727</v>
      </c>
      <c r="AD433" s="64" t="s">
        <v>169</v>
      </c>
      <c r="AE433" s="64" t="s">
        <v>166</v>
      </c>
      <c r="AF433" s="64" t="s">
        <v>387</v>
      </c>
      <c r="AG433" s="1">
        <v>1328</v>
      </c>
      <c r="AH433" s="1"/>
      <c r="AI433" s="1"/>
      <c r="AJ433" s="1">
        <v>5</v>
      </c>
      <c r="AK433" s="1"/>
      <c r="AL433" s="1"/>
      <c r="AM433" s="64" t="s">
        <v>754</v>
      </c>
    </row>
    <row r="434" spans="1:39" s="68" customFormat="1">
      <c r="A434" s="64">
        <v>0.25</v>
      </c>
      <c r="B434" s="64" t="s">
        <v>449</v>
      </c>
      <c r="C434" s="64" t="s">
        <v>452</v>
      </c>
      <c r="D434" s="64" t="s">
        <v>453</v>
      </c>
      <c r="E434" s="64" t="s">
        <v>232</v>
      </c>
      <c r="F434" s="64">
        <v>27</v>
      </c>
      <c r="G434" s="64" t="s">
        <v>395</v>
      </c>
      <c r="H434" s="64" t="s">
        <v>454</v>
      </c>
      <c r="I434" s="1">
        <v>5</v>
      </c>
      <c r="J434" s="1">
        <v>1510</v>
      </c>
      <c r="K434" s="64" t="s">
        <v>755</v>
      </c>
      <c r="Q434" s="64" t="s">
        <v>356</v>
      </c>
      <c r="R434" s="64" t="s">
        <v>449</v>
      </c>
      <c r="S434" s="64" t="s">
        <v>450</v>
      </c>
      <c r="T434" s="64" t="s">
        <v>451</v>
      </c>
      <c r="U434" s="64" t="s">
        <v>756</v>
      </c>
      <c r="V434" s="64" t="s">
        <v>757</v>
      </c>
      <c r="W434" s="64" t="s">
        <v>433</v>
      </c>
      <c r="X434" s="64" t="s">
        <v>395</v>
      </c>
      <c r="Y434" s="64">
        <v>39</v>
      </c>
      <c r="Z434" s="64" t="s">
        <v>433</v>
      </c>
      <c r="AA434" s="64" t="s">
        <v>758</v>
      </c>
      <c r="AB434" s="64" t="s">
        <v>759</v>
      </c>
      <c r="AC434" s="64" t="s">
        <v>727</v>
      </c>
      <c r="AD434" s="64" t="s">
        <v>169</v>
      </c>
      <c r="AE434" s="64" t="s">
        <v>166</v>
      </c>
      <c r="AF434" s="64" t="s">
        <v>252</v>
      </c>
      <c r="AG434" s="1">
        <v>1530</v>
      </c>
      <c r="AH434" s="1"/>
      <c r="AI434" s="1"/>
      <c r="AJ434" s="1">
        <v>5</v>
      </c>
      <c r="AK434" s="1"/>
      <c r="AL434" s="1"/>
      <c r="AM434" s="64" t="s">
        <v>760</v>
      </c>
    </row>
    <row r="435" spans="1:39" s="68" customFormat="1">
      <c r="A435" s="64">
        <v>0.25</v>
      </c>
      <c r="B435" s="64" t="s">
        <v>460</v>
      </c>
      <c r="C435" s="64" t="s">
        <v>463</v>
      </c>
      <c r="D435" s="64" t="s">
        <v>464</v>
      </c>
      <c r="E435" s="64" t="s">
        <v>232</v>
      </c>
      <c r="F435" s="64">
        <v>27</v>
      </c>
      <c r="G435" s="64" t="s">
        <v>240</v>
      </c>
      <c r="H435" s="64" t="s">
        <v>465</v>
      </c>
      <c r="I435" s="1">
        <v>5</v>
      </c>
      <c r="J435" s="1">
        <v>1710</v>
      </c>
      <c r="K435" s="64" t="s">
        <v>761</v>
      </c>
      <c r="Q435" s="64" t="s">
        <v>356</v>
      </c>
      <c r="R435" s="64" t="s">
        <v>460</v>
      </c>
      <c r="S435" s="64" t="s">
        <v>461</v>
      </c>
      <c r="T435" s="64" t="s">
        <v>462</v>
      </c>
      <c r="U435" s="64" t="s">
        <v>762</v>
      </c>
      <c r="V435" s="64" t="s">
        <v>474</v>
      </c>
      <c r="W435" s="64" t="s">
        <v>454</v>
      </c>
      <c r="X435" s="64" t="s">
        <v>240</v>
      </c>
      <c r="Y435" s="64">
        <v>45</v>
      </c>
      <c r="Z435" s="64" t="s">
        <v>264</v>
      </c>
      <c r="AA435" s="64" t="s">
        <v>763</v>
      </c>
      <c r="AB435" s="64" t="s">
        <v>764</v>
      </c>
      <c r="AC435" s="64" t="s">
        <v>727</v>
      </c>
      <c r="AD435" s="64" t="s">
        <v>169</v>
      </c>
      <c r="AE435" s="64" t="s">
        <v>166</v>
      </c>
      <c r="AF435" s="64" t="s">
        <v>262</v>
      </c>
      <c r="AG435" s="1">
        <v>1750</v>
      </c>
      <c r="AH435" s="1"/>
      <c r="AI435" s="1"/>
      <c r="AJ435" s="1">
        <v>5</v>
      </c>
      <c r="AK435" s="1"/>
      <c r="AL435" s="1"/>
      <c r="AM435" s="64" t="s">
        <v>765</v>
      </c>
    </row>
    <row r="436" spans="1:39" s="68" customFormat="1">
      <c r="A436" s="64">
        <v>0.25</v>
      </c>
      <c r="B436" s="64" t="s">
        <v>472</v>
      </c>
      <c r="C436" s="64" t="s">
        <v>475</v>
      </c>
      <c r="D436" s="64" t="s">
        <v>476</v>
      </c>
      <c r="E436" s="64" t="s">
        <v>232</v>
      </c>
      <c r="F436" s="64">
        <v>27</v>
      </c>
      <c r="G436" s="64" t="s">
        <v>310</v>
      </c>
      <c r="H436" s="64" t="s">
        <v>477</v>
      </c>
      <c r="I436" s="1">
        <v>5</v>
      </c>
      <c r="J436" s="1">
        <v>1918</v>
      </c>
      <c r="K436" s="64" t="s">
        <v>766</v>
      </c>
      <c r="Q436" s="64" t="s">
        <v>356</v>
      </c>
      <c r="R436" s="64" t="s">
        <v>472</v>
      </c>
      <c r="S436" s="64" t="s">
        <v>473</v>
      </c>
      <c r="T436" s="64" t="s">
        <v>474</v>
      </c>
      <c r="U436" s="64" t="s">
        <v>767</v>
      </c>
      <c r="V436" s="64" t="s">
        <v>486</v>
      </c>
      <c r="W436" s="64" t="s">
        <v>454</v>
      </c>
      <c r="X436" s="64" t="s">
        <v>310</v>
      </c>
      <c r="Y436" s="64">
        <v>45</v>
      </c>
      <c r="Z436" s="64" t="s">
        <v>163</v>
      </c>
      <c r="AA436" s="64" t="s">
        <v>768</v>
      </c>
      <c r="AB436" s="64" t="s">
        <v>769</v>
      </c>
      <c r="AC436" s="64" t="s">
        <v>659</v>
      </c>
      <c r="AD436" s="64" t="s">
        <v>232</v>
      </c>
      <c r="AE436" s="64" t="s">
        <v>168</v>
      </c>
      <c r="AF436" s="64" t="s">
        <v>270</v>
      </c>
      <c r="AG436" s="1">
        <v>1950</v>
      </c>
      <c r="AH436" s="1"/>
      <c r="AI436" s="1"/>
      <c r="AJ436" s="1">
        <v>5</v>
      </c>
      <c r="AK436" s="1"/>
      <c r="AL436" s="1"/>
      <c r="AM436" s="64" t="s">
        <v>770</v>
      </c>
    </row>
    <row r="437" spans="1:39" s="68" customFormat="1">
      <c r="A437" s="64">
        <v>0.25</v>
      </c>
      <c r="B437" s="64" t="s">
        <v>484</v>
      </c>
      <c r="C437" s="64" t="s">
        <v>487</v>
      </c>
      <c r="D437" s="64" t="s">
        <v>488</v>
      </c>
      <c r="E437" s="64" t="s">
        <v>232</v>
      </c>
      <c r="F437" s="64">
        <v>27</v>
      </c>
      <c r="G437" s="64" t="s">
        <v>454</v>
      </c>
      <c r="H437" s="64" t="s">
        <v>489</v>
      </c>
      <c r="I437" s="1">
        <v>5</v>
      </c>
      <c r="J437" s="1">
        <v>2125</v>
      </c>
      <c r="K437" s="64" t="s">
        <v>771</v>
      </c>
      <c r="Q437" s="64" t="s">
        <v>356</v>
      </c>
      <c r="R437" s="64" t="s">
        <v>484</v>
      </c>
      <c r="S437" s="64" t="s">
        <v>485</v>
      </c>
      <c r="T437" s="64" t="s">
        <v>486</v>
      </c>
      <c r="U437" s="64" t="s">
        <v>772</v>
      </c>
      <c r="V437" s="64" t="s">
        <v>773</v>
      </c>
      <c r="W437" s="64" t="s">
        <v>454</v>
      </c>
      <c r="X437" s="64" t="s">
        <v>454</v>
      </c>
      <c r="Y437" s="64">
        <v>45</v>
      </c>
      <c r="Z437" s="64" t="s">
        <v>477</v>
      </c>
      <c r="AA437" s="64" t="s">
        <v>774</v>
      </c>
      <c r="AB437" s="64" t="s">
        <v>775</v>
      </c>
      <c r="AC437" s="64" t="s">
        <v>253</v>
      </c>
      <c r="AD437" s="64" t="s">
        <v>232</v>
      </c>
      <c r="AE437" s="64" t="s">
        <v>168</v>
      </c>
      <c r="AF437" s="64" t="s">
        <v>288</v>
      </c>
      <c r="AG437" s="1">
        <v>2150</v>
      </c>
      <c r="AH437" s="1"/>
      <c r="AI437" s="1"/>
      <c r="AJ437" s="1">
        <v>5</v>
      </c>
      <c r="AK437" s="1"/>
      <c r="AL437" s="1"/>
      <c r="AM437" s="64" t="s">
        <v>776</v>
      </c>
    </row>
    <row r="438" spans="1:39" s="68" customFormat="1">
      <c r="A438" s="64">
        <v>0.6</v>
      </c>
      <c r="B438" s="64" t="s">
        <v>224</v>
      </c>
      <c r="C438" s="64" t="s">
        <v>162</v>
      </c>
      <c r="D438" s="64" t="s">
        <v>163</v>
      </c>
      <c r="E438" s="64" t="s">
        <v>164</v>
      </c>
      <c r="F438" s="64">
        <v>10</v>
      </c>
      <c r="G438" s="64" t="s">
        <v>165</v>
      </c>
      <c r="H438" s="64" t="s">
        <v>166</v>
      </c>
      <c r="I438" s="1">
        <v>2</v>
      </c>
      <c r="J438" s="1">
        <v>33</v>
      </c>
      <c r="K438" s="64" t="s">
        <v>172</v>
      </c>
      <c r="Q438" s="64" t="s">
        <v>521</v>
      </c>
      <c r="R438" s="64" t="s">
        <v>224</v>
      </c>
      <c r="S438" s="64" t="s">
        <v>160</v>
      </c>
      <c r="T438" s="64" t="s">
        <v>161</v>
      </c>
      <c r="U438" s="64" t="s">
        <v>235</v>
      </c>
      <c r="V438" s="64" t="s">
        <v>257</v>
      </c>
      <c r="W438" s="64" t="s">
        <v>161</v>
      </c>
      <c r="X438" s="64" t="s">
        <v>165</v>
      </c>
      <c r="Y438" s="64">
        <v>12</v>
      </c>
      <c r="Z438" s="64" t="s">
        <v>161</v>
      </c>
      <c r="AA438" s="64" t="s">
        <v>275</v>
      </c>
      <c r="AB438" s="64" t="s">
        <v>275</v>
      </c>
      <c r="AC438" s="64" t="s">
        <v>674</v>
      </c>
      <c r="AD438" s="64" t="s">
        <v>283</v>
      </c>
      <c r="AE438" s="64" t="s">
        <v>170</v>
      </c>
      <c r="AF438" s="64" t="s">
        <v>367</v>
      </c>
      <c r="AG438" s="1">
        <v>41</v>
      </c>
      <c r="AH438" s="1">
        <v>34</v>
      </c>
      <c r="AI438" s="1">
        <v>35</v>
      </c>
      <c r="AJ438" s="1">
        <v>2</v>
      </c>
      <c r="AK438" s="1">
        <v>4</v>
      </c>
      <c r="AL438" s="1">
        <v>3</v>
      </c>
      <c r="AM438" s="64" t="s">
        <v>777</v>
      </c>
    </row>
    <row r="439" spans="1:39" s="68" customFormat="1">
      <c r="A439" s="64">
        <v>0.6</v>
      </c>
      <c r="B439" s="64" t="s">
        <v>168</v>
      </c>
      <c r="C439" s="64" t="s">
        <v>227</v>
      </c>
      <c r="D439" s="64" t="s">
        <v>228</v>
      </c>
      <c r="E439" s="64" t="s">
        <v>164</v>
      </c>
      <c r="F439" s="64">
        <v>10</v>
      </c>
      <c r="G439" s="64" t="s">
        <v>165</v>
      </c>
      <c r="H439" s="64" t="s">
        <v>166</v>
      </c>
      <c r="I439" s="1">
        <v>2</v>
      </c>
      <c r="J439" s="1">
        <v>38</v>
      </c>
      <c r="K439" s="64" t="s">
        <v>233</v>
      </c>
      <c r="Q439" s="64" t="s">
        <v>521</v>
      </c>
      <c r="R439" s="64" t="s">
        <v>168</v>
      </c>
      <c r="S439" s="64" t="s">
        <v>226</v>
      </c>
      <c r="T439" s="64" t="s">
        <v>167</v>
      </c>
      <c r="U439" s="64" t="s">
        <v>366</v>
      </c>
      <c r="V439" s="64" t="s">
        <v>236</v>
      </c>
      <c r="W439" s="64" t="s">
        <v>161</v>
      </c>
      <c r="X439" s="64" t="s">
        <v>165</v>
      </c>
      <c r="Y439" s="64">
        <v>12</v>
      </c>
      <c r="Z439" s="64" t="s">
        <v>161</v>
      </c>
      <c r="AA439" s="64" t="s">
        <v>244</v>
      </c>
      <c r="AB439" s="64" t="s">
        <v>244</v>
      </c>
      <c r="AC439" s="64" t="s">
        <v>674</v>
      </c>
      <c r="AD439" s="64" t="s">
        <v>283</v>
      </c>
      <c r="AE439" s="64" t="s">
        <v>170</v>
      </c>
      <c r="AF439" s="64" t="s">
        <v>251</v>
      </c>
      <c r="AG439" s="1">
        <v>46</v>
      </c>
      <c r="AH439" s="1">
        <v>39</v>
      </c>
      <c r="AI439" s="1">
        <v>40</v>
      </c>
      <c r="AJ439" s="1">
        <v>2</v>
      </c>
      <c r="AK439" s="1">
        <v>4</v>
      </c>
      <c r="AL439" s="1">
        <v>3</v>
      </c>
      <c r="AM439" s="64" t="s">
        <v>778</v>
      </c>
    </row>
    <row r="440" spans="1:39" s="68" customFormat="1">
      <c r="A440" s="64">
        <v>0.6</v>
      </c>
      <c r="B440" s="64" t="s">
        <v>171</v>
      </c>
      <c r="C440" s="64" t="s">
        <v>235</v>
      </c>
      <c r="D440" s="64" t="s">
        <v>236</v>
      </c>
      <c r="E440" s="64" t="s">
        <v>164</v>
      </c>
      <c r="F440" s="64">
        <v>10</v>
      </c>
      <c r="G440" s="64" t="s">
        <v>165</v>
      </c>
      <c r="H440" s="64" t="s">
        <v>161</v>
      </c>
      <c r="I440" s="1">
        <v>2</v>
      </c>
      <c r="J440" s="1">
        <v>48</v>
      </c>
      <c r="K440" s="64" t="s">
        <v>242</v>
      </c>
      <c r="Q440" s="64" t="s">
        <v>521</v>
      </c>
      <c r="R440" s="64" t="s">
        <v>171</v>
      </c>
      <c r="S440" s="64" t="s">
        <v>234</v>
      </c>
      <c r="T440" s="64" t="s">
        <v>169</v>
      </c>
      <c r="U440" s="64" t="s">
        <v>377</v>
      </c>
      <c r="V440" s="64" t="s">
        <v>162</v>
      </c>
      <c r="W440" s="64" t="s">
        <v>161</v>
      </c>
      <c r="X440" s="64" t="s">
        <v>165</v>
      </c>
      <c r="Y440" s="64">
        <v>12</v>
      </c>
      <c r="Z440" s="64" t="s">
        <v>253</v>
      </c>
      <c r="AA440" s="64" t="s">
        <v>240</v>
      </c>
      <c r="AB440" s="64" t="s">
        <v>240</v>
      </c>
      <c r="AC440" s="64" t="s">
        <v>676</v>
      </c>
      <c r="AD440" s="64" t="s">
        <v>283</v>
      </c>
      <c r="AE440" s="64" t="s">
        <v>165</v>
      </c>
      <c r="AF440" s="64" t="s">
        <v>240</v>
      </c>
      <c r="AG440" s="1">
        <v>56</v>
      </c>
      <c r="AH440" s="1">
        <v>50</v>
      </c>
      <c r="AI440" s="1">
        <v>51</v>
      </c>
      <c r="AJ440" s="1">
        <v>2</v>
      </c>
      <c r="AK440" s="1">
        <v>4</v>
      </c>
      <c r="AL440" s="1">
        <v>3</v>
      </c>
      <c r="AM440" s="64" t="s">
        <v>677</v>
      </c>
    </row>
    <row r="441" spans="1:39" s="68" customFormat="1">
      <c r="A441" s="64">
        <v>0.6</v>
      </c>
      <c r="B441" s="64" t="s">
        <v>169</v>
      </c>
      <c r="C441" s="64" t="s">
        <v>245</v>
      </c>
      <c r="D441" s="64" t="s">
        <v>162</v>
      </c>
      <c r="E441" s="64" t="s">
        <v>164</v>
      </c>
      <c r="F441" s="64">
        <v>10</v>
      </c>
      <c r="G441" s="64" t="s">
        <v>165</v>
      </c>
      <c r="H441" s="64" t="s">
        <v>161</v>
      </c>
      <c r="I441" s="1">
        <v>2</v>
      </c>
      <c r="J441" s="1">
        <v>58</v>
      </c>
      <c r="K441" s="64" t="s">
        <v>678</v>
      </c>
      <c r="Q441" s="64" t="s">
        <v>521</v>
      </c>
      <c r="R441" s="64" t="s">
        <v>169</v>
      </c>
      <c r="S441" s="64" t="s">
        <v>243</v>
      </c>
      <c r="T441" s="64" t="s">
        <v>244</v>
      </c>
      <c r="U441" s="64" t="s">
        <v>387</v>
      </c>
      <c r="V441" s="64" t="s">
        <v>388</v>
      </c>
      <c r="W441" s="64" t="s">
        <v>161</v>
      </c>
      <c r="X441" s="64" t="s">
        <v>165</v>
      </c>
      <c r="Y441" s="64">
        <v>12</v>
      </c>
      <c r="Z441" s="64" t="s">
        <v>253</v>
      </c>
      <c r="AA441" s="64" t="s">
        <v>264</v>
      </c>
      <c r="AB441" s="64" t="s">
        <v>264</v>
      </c>
      <c r="AC441" s="64" t="s">
        <v>679</v>
      </c>
      <c r="AD441" s="64" t="s">
        <v>283</v>
      </c>
      <c r="AE441" s="64" t="s">
        <v>165</v>
      </c>
      <c r="AF441" s="64" t="s">
        <v>240</v>
      </c>
      <c r="AG441" s="1">
        <v>65</v>
      </c>
      <c r="AH441" s="1">
        <v>57</v>
      </c>
      <c r="AI441" s="1">
        <v>58</v>
      </c>
      <c r="AJ441" s="1">
        <v>2</v>
      </c>
      <c r="AK441" s="1">
        <v>4</v>
      </c>
      <c r="AL441" s="1">
        <v>3</v>
      </c>
      <c r="AM441" s="64" t="s">
        <v>680</v>
      </c>
    </row>
    <row r="442" spans="1:39" s="68" customFormat="1">
      <c r="A442" s="64">
        <v>0.6</v>
      </c>
      <c r="B442" s="64" t="s">
        <v>244</v>
      </c>
      <c r="C442" s="64" t="s">
        <v>252</v>
      </c>
      <c r="D442" s="64" t="s">
        <v>235</v>
      </c>
      <c r="E442" s="64" t="s">
        <v>161</v>
      </c>
      <c r="F442" s="64">
        <v>12</v>
      </c>
      <c r="G442" s="64" t="s">
        <v>165</v>
      </c>
      <c r="H442" s="64" t="s">
        <v>253</v>
      </c>
      <c r="I442" s="1">
        <v>2</v>
      </c>
      <c r="J442" s="1">
        <v>69</v>
      </c>
      <c r="K442" s="64" t="s">
        <v>681</v>
      </c>
      <c r="Q442" s="64" t="s">
        <v>521</v>
      </c>
      <c r="R442" s="64" t="s">
        <v>244</v>
      </c>
      <c r="S442" s="64" t="s">
        <v>250</v>
      </c>
      <c r="T442" s="64" t="s">
        <v>251</v>
      </c>
      <c r="U442" s="64" t="s">
        <v>270</v>
      </c>
      <c r="V442" s="64" t="s">
        <v>245</v>
      </c>
      <c r="W442" s="64" t="s">
        <v>167</v>
      </c>
      <c r="X442" s="64" t="s">
        <v>165</v>
      </c>
      <c r="Y442" s="64">
        <v>16</v>
      </c>
      <c r="Z442" s="64" t="s">
        <v>167</v>
      </c>
      <c r="AA442" s="64" t="s">
        <v>29</v>
      </c>
      <c r="AB442" s="64" t="s">
        <v>29</v>
      </c>
      <c r="AC442" s="64" t="s">
        <v>679</v>
      </c>
      <c r="AD442" s="64" t="s">
        <v>283</v>
      </c>
      <c r="AE442" s="64" t="s">
        <v>258</v>
      </c>
      <c r="AF442" s="64" t="s">
        <v>433</v>
      </c>
      <c r="AG442" s="1">
        <v>76</v>
      </c>
      <c r="AH442" s="1">
        <v>65</v>
      </c>
      <c r="AI442" s="1">
        <v>66</v>
      </c>
      <c r="AJ442" s="1">
        <v>2</v>
      </c>
      <c r="AK442" s="1">
        <v>4</v>
      </c>
      <c r="AL442" s="1">
        <v>3</v>
      </c>
      <c r="AM442" s="64" t="s">
        <v>682</v>
      </c>
    </row>
    <row r="443" spans="1:39" s="68" customFormat="1">
      <c r="A443" s="64">
        <v>0.6</v>
      </c>
      <c r="B443" s="64" t="s">
        <v>240</v>
      </c>
      <c r="C443" s="64" t="s">
        <v>262</v>
      </c>
      <c r="D443" s="64" t="s">
        <v>245</v>
      </c>
      <c r="E443" s="64" t="s">
        <v>161</v>
      </c>
      <c r="F443" s="64">
        <v>12</v>
      </c>
      <c r="G443" s="64" t="s">
        <v>165</v>
      </c>
      <c r="H443" s="64" t="s">
        <v>253</v>
      </c>
      <c r="I443" s="1">
        <v>2</v>
      </c>
      <c r="J443" s="1">
        <v>78</v>
      </c>
      <c r="K443" s="64" t="s">
        <v>683</v>
      </c>
      <c r="Q443" s="64" t="s">
        <v>521</v>
      </c>
      <c r="R443" s="64" t="s">
        <v>240</v>
      </c>
      <c r="S443" s="64" t="s">
        <v>260</v>
      </c>
      <c r="T443" s="64" t="s">
        <v>261</v>
      </c>
      <c r="U443" s="64" t="s">
        <v>288</v>
      </c>
      <c r="V443" s="64" t="s">
        <v>271</v>
      </c>
      <c r="W443" s="64" t="s">
        <v>167</v>
      </c>
      <c r="X443" s="64" t="s">
        <v>165</v>
      </c>
      <c r="Y443" s="64">
        <v>16</v>
      </c>
      <c r="Z443" s="64" t="s">
        <v>167</v>
      </c>
      <c r="AA443" s="64" t="s">
        <v>619</v>
      </c>
      <c r="AB443" s="64" t="s">
        <v>619</v>
      </c>
      <c r="AC443" s="64" t="s">
        <v>679</v>
      </c>
      <c r="AD443" s="64" t="s">
        <v>614</v>
      </c>
      <c r="AE443" s="64" t="s">
        <v>258</v>
      </c>
      <c r="AF443" s="64" t="s">
        <v>261</v>
      </c>
      <c r="AG443" s="1">
        <v>84</v>
      </c>
      <c r="AH443" s="1">
        <v>75</v>
      </c>
      <c r="AI443" s="1">
        <v>76</v>
      </c>
      <c r="AJ443" s="1">
        <v>2</v>
      </c>
      <c r="AK443" s="1">
        <v>4</v>
      </c>
      <c r="AL443" s="1">
        <v>3</v>
      </c>
      <c r="AM443" s="64" t="s">
        <v>684</v>
      </c>
    </row>
    <row r="444" spans="1:39" s="68" customFormat="1">
      <c r="A444" s="64">
        <v>0.6</v>
      </c>
      <c r="B444" s="64" t="s">
        <v>163</v>
      </c>
      <c r="C444" s="64" t="s">
        <v>270</v>
      </c>
      <c r="D444" s="64" t="s">
        <v>271</v>
      </c>
      <c r="E444" s="64" t="s">
        <v>161</v>
      </c>
      <c r="F444" s="64">
        <v>12</v>
      </c>
      <c r="G444" s="64" t="s">
        <v>165</v>
      </c>
      <c r="H444" s="64" t="s">
        <v>253</v>
      </c>
      <c r="I444" s="1">
        <v>2</v>
      </c>
      <c r="J444" s="1">
        <v>88</v>
      </c>
      <c r="K444" s="64" t="s">
        <v>567</v>
      </c>
      <c r="Q444" s="64" t="s">
        <v>521</v>
      </c>
      <c r="R444" s="64" t="s">
        <v>163</v>
      </c>
      <c r="S444" s="64" t="s">
        <v>268</v>
      </c>
      <c r="T444" s="64" t="s">
        <v>269</v>
      </c>
      <c r="U444" s="64" t="s">
        <v>416</v>
      </c>
      <c r="V444" s="64" t="s">
        <v>301</v>
      </c>
      <c r="W444" s="64" t="s">
        <v>167</v>
      </c>
      <c r="X444" s="64" t="s">
        <v>165</v>
      </c>
      <c r="Y444" s="64">
        <v>16</v>
      </c>
      <c r="Z444" s="64" t="s">
        <v>171</v>
      </c>
      <c r="AA444" s="64" t="s">
        <v>685</v>
      </c>
      <c r="AB444" s="64" t="s">
        <v>685</v>
      </c>
      <c r="AC444" s="64" t="s">
        <v>686</v>
      </c>
      <c r="AD444" s="64" t="s">
        <v>306</v>
      </c>
      <c r="AE444" s="64" t="s">
        <v>258</v>
      </c>
      <c r="AF444" s="64" t="s">
        <v>454</v>
      </c>
      <c r="AG444" s="1">
        <v>99</v>
      </c>
      <c r="AH444" s="1">
        <v>87</v>
      </c>
      <c r="AI444" s="1">
        <v>88</v>
      </c>
      <c r="AJ444" s="1">
        <v>2</v>
      </c>
      <c r="AK444" s="1">
        <v>4</v>
      </c>
      <c r="AL444" s="1">
        <v>3</v>
      </c>
      <c r="AM444" s="64" t="s">
        <v>687</v>
      </c>
    </row>
    <row r="445" spans="1:39" s="68" customFormat="1">
      <c r="A445" s="64">
        <v>0.6</v>
      </c>
      <c r="B445" s="64" t="s">
        <v>236</v>
      </c>
      <c r="C445" s="64" t="s">
        <v>279</v>
      </c>
      <c r="D445" s="64" t="s">
        <v>262</v>
      </c>
      <c r="E445" s="64" t="s">
        <v>161</v>
      </c>
      <c r="F445" s="64">
        <v>12</v>
      </c>
      <c r="G445" s="64" t="s">
        <v>165</v>
      </c>
      <c r="H445" s="64" t="s">
        <v>253</v>
      </c>
      <c r="I445" s="1">
        <v>2</v>
      </c>
      <c r="J445" s="1">
        <v>108</v>
      </c>
      <c r="K445" s="64" t="s">
        <v>688</v>
      </c>
      <c r="Q445" s="64" t="s">
        <v>521</v>
      </c>
      <c r="R445" s="64" t="s">
        <v>236</v>
      </c>
      <c r="S445" s="64" t="s">
        <v>277</v>
      </c>
      <c r="T445" s="64" t="s">
        <v>278</v>
      </c>
      <c r="U445" s="64" t="s">
        <v>319</v>
      </c>
      <c r="V445" s="64" t="s">
        <v>426</v>
      </c>
      <c r="W445" s="64" t="s">
        <v>167</v>
      </c>
      <c r="X445" s="64" t="s">
        <v>165</v>
      </c>
      <c r="Y445" s="64">
        <v>16</v>
      </c>
      <c r="Z445" s="64" t="s">
        <v>171</v>
      </c>
      <c r="AA445" s="64" t="s">
        <v>561</v>
      </c>
      <c r="AB445" s="64" t="s">
        <v>561</v>
      </c>
      <c r="AC445" s="64" t="s">
        <v>686</v>
      </c>
      <c r="AD445" s="64" t="s">
        <v>224</v>
      </c>
      <c r="AE445" s="64" t="s">
        <v>283</v>
      </c>
      <c r="AF445" s="64" t="s">
        <v>454</v>
      </c>
      <c r="AG445" s="1">
        <v>118</v>
      </c>
      <c r="AH445" s="1">
        <v>109</v>
      </c>
      <c r="AI445" s="1">
        <v>110</v>
      </c>
      <c r="AJ445" s="1">
        <v>2</v>
      </c>
      <c r="AK445" s="1">
        <v>4</v>
      </c>
      <c r="AL445" s="1">
        <v>3</v>
      </c>
      <c r="AM445" s="64" t="s">
        <v>689</v>
      </c>
    </row>
    <row r="446" spans="1:39" s="68" customFormat="1">
      <c r="A446" s="64">
        <v>0.6</v>
      </c>
      <c r="B446" s="64" t="s">
        <v>227</v>
      </c>
      <c r="C446" s="64" t="s">
        <v>287</v>
      </c>
      <c r="D446" s="64" t="s">
        <v>288</v>
      </c>
      <c r="E446" s="64" t="s">
        <v>167</v>
      </c>
      <c r="F446" s="64">
        <v>16</v>
      </c>
      <c r="G446" s="64" t="s">
        <v>165</v>
      </c>
      <c r="H446" s="64" t="s">
        <v>167</v>
      </c>
      <c r="I446" s="1">
        <v>2</v>
      </c>
      <c r="J446" s="1">
        <v>124</v>
      </c>
      <c r="K446" s="64" t="s">
        <v>690</v>
      </c>
      <c r="Q446" s="64" t="s">
        <v>521</v>
      </c>
      <c r="R446" s="64" t="s">
        <v>227</v>
      </c>
      <c r="S446" s="64" t="s">
        <v>285</v>
      </c>
      <c r="T446" s="64" t="s">
        <v>286</v>
      </c>
      <c r="U446" s="64" t="s">
        <v>305</v>
      </c>
      <c r="V446" s="64" t="s">
        <v>279</v>
      </c>
      <c r="W446" s="64" t="s">
        <v>167</v>
      </c>
      <c r="X446" s="64" t="s">
        <v>306</v>
      </c>
      <c r="Y446" s="64">
        <v>16</v>
      </c>
      <c r="Z446" s="64" t="s">
        <v>171</v>
      </c>
      <c r="AA446" s="64" t="s">
        <v>271</v>
      </c>
      <c r="AB446" s="64" t="s">
        <v>271</v>
      </c>
      <c r="AC446" s="64" t="s">
        <v>691</v>
      </c>
      <c r="AD446" s="64" t="s">
        <v>224</v>
      </c>
      <c r="AE446" s="64" t="s">
        <v>283</v>
      </c>
      <c r="AF446" s="64" t="s">
        <v>163</v>
      </c>
      <c r="AG446" s="1">
        <v>132</v>
      </c>
      <c r="AH446" s="1">
        <v>120</v>
      </c>
      <c r="AI446" s="1">
        <v>121</v>
      </c>
      <c r="AJ446" s="1">
        <v>2</v>
      </c>
      <c r="AK446" s="1">
        <v>4</v>
      </c>
      <c r="AL446" s="1">
        <v>3</v>
      </c>
      <c r="AM446" s="64" t="s">
        <v>692</v>
      </c>
    </row>
    <row r="447" spans="1:39" s="68" customFormat="1">
      <c r="A447" s="64">
        <v>0.6</v>
      </c>
      <c r="B447" s="64" t="s">
        <v>245</v>
      </c>
      <c r="C447" s="64" t="s">
        <v>296</v>
      </c>
      <c r="D447" s="64" t="s">
        <v>297</v>
      </c>
      <c r="E447" s="64" t="s">
        <v>167</v>
      </c>
      <c r="F447" s="64">
        <v>16</v>
      </c>
      <c r="G447" s="64" t="s">
        <v>165</v>
      </c>
      <c r="H447" s="64" t="s">
        <v>167</v>
      </c>
      <c r="I447" s="1">
        <v>2</v>
      </c>
      <c r="J447" s="1">
        <v>144</v>
      </c>
      <c r="K447" s="64" t="s">
        <v>693</v>
      </c>
      <c r="Q447" s="64" t="s">
        <v>521</v>
      </c>
      <c r="R447" s="64" t="s">
        <v>245</v>
      </c>
      <c r="S447" s="64" t="s">
        <v>294</v>
      </c>
      <c r="T447" s="64" t="s">
        <v>295</v>
      </c>
      <c r="U447" s="64" t="s">
        <v>446</v>
      </c>
      <c r="V447" s="64" t="s">
        <v>447</v>
      </c>
      <c r="W447" s="64" t="s">
        <v>167</v>
      </c>
      <c r="X447" s="64" t="s">
        <v>306</v>
      </c>
      <c r="Y447" s="64">
        <v>16</v>
      </c>
      <c r="Z447" s="64" t="s">
        <v>229</v>
      </c>
      <c r="AA447" s="64" t="s">
        <v>262</v>
      </c>
      <c r="AB447" s="64" t="s">
        <v>262</v>
      </c>
      <c r="AC447" s="64" t="s">
        <v>694</v>
      </c>
      <c r="AD447" s="64" t="s">
        <v>166</v>
      </c>
      <c r="AE447" s="64" t="s">
        <v>283</v>
      </c>
      <c r="AF447" s="64" t="s">
        <v>389</v>
      </c>
      <c r="AG447" s="1">
        <v>156</v>
      </c>
      <c r="AH447" s="1">
        <v>149</v>
      </c>
      <c r="AI447" s="1">
        <v>150</v>
      </c>
      <c r="AJ447" s="1">
        <v>2</v>
      </c>
      <c r="AK447" s="1">
        <v>4.5</v>
      </c>
      <c r="AL447" s="1">
        <v>3.5</v>
      </c>
      <c r="AM447" s="64" t="s">
        <v>695</v>
      </c>
    </row>
    <row r="448" spans="1:39" s="68" customFormat="1">
      <c r="A448" s="64">
        <v>0.6</v>
      </c>
      <c r="B448" s="64" t="s">
        <v>301</v>
      </c>
      <c r="C448" s="64" t="s">
        <v>304</v>
      </c>
      <c r="D448" s="64" t="s">
        <v>305</v>
      </c>
      <c r="E448" s="64" t="s">
        <v>167</v>
      </c>
      <c r="F448" s="64">
        <v>16</v>
      </c>
      <c r="G448" s="64" t="s">
        <v>306</v>
      </c>
      <c r="H448" s="64" t="s">
        <v>171</v>
      </c>
      <c r="I448" s="1">
        <v>2</v>
      </c>
      <c r="J448" s="1">
        <v>174</v>
      </c>
      <c r="K448" s="64" t="s">
        <v>696</v>
      </c>
      <c r="Q448" s="64" t="s">
        <v>521</v>
      </c>
      <c r="R448" s="64" t="s">
        <v>301</v>
      </c>
      <c r="S448" s="64" t="s">
        <v>302</v>
      </c>
      <c r="T448" s="64" t="s">
        <v>303</v>
      </c>
      <c r="U448" s="64" t="s">
        <v>329</v>
      </c>
      <c r="V448" s="64" t="s">
        <v>296</v>
      </c>
      <c r="W448" s="64" t="s">
        <v>167</v>
      </c>
      <c r="X448" s="64" t="s">
        <v>306</v>
      </c>
      <c r="Y448" s="64">
        <v>16</v>
      </c>
      <c r="Z448" s="64" t="s">
        <v>229</v>
      </c>
      <c r="AA448" s="64" t="s">
        <v>697</v>
      </c>
      <c r="AB448" s="64" t="s">
        <v>697</v>
      </c>
      <c r="AC448" s="64" t="s">
        <v>165</v>
      </c>
      <c r="AD448" s="64" t="s">
        <v>166</v>
      </c>
      <c r="AE448" s="64" t="s">
        <v>283</v>
      </c>
      <c r="AF448" s="64" t="s">
        <v>228</v>
      </c>
      <c r="AG448" s="1">
        <v>184</v>
      </c>
      <c r="AH448" s="1">
        <v>175</v>
      </c>
      <c r="AI448" s="1">
        <v>176</v>
      </c>
      <c r="AJ448" s="1">
        <v>2</v>
      </c>
      <c r="AK448" s="1">
        <v>4.5</v>
      </c>
      <c r="AL448" s="1">
        <v>3.5</v>
      </c>
      <c r="AM448" s="64" t="s">
        <v>698</v>
      </c>
    </row>
    <row r="449" spans="1:39" s="68" customFormat="1">
      <c r="A449" s="64">
        <v>0.6</v>
      </c>
      <c r="B449" s="64" t="s">
        <v>288</v>
      </c>
      <c r="C449" s="64" t="s">
        <v>314</v>
      </c>
      <c r="D449" s="64" t="s">
        <v>315</v>
      </c>
      <c r="E449" s="64" t="s">
        <v>167</v>
      </c>
      <c r="F449" s="64">
        <v>16</v>
      </c>
      <c r="G449" s="64" t="s">
        <v>306</v>
      </c>
      <c r="H449" s="64" t="s">
        <v>171</v>
      </c>
      <c r="I449" s="1">
        <v>2</v>
      </c>
      <c r="J449" s="1">
        <v>199</v>
      </c>
      <c r="K449" s="64" t="s">
        <v>699</v>
      </c>
      <c r="Q449" s="64" t="s">
        <v>521</v>
      </c>
      <c r="R449" s="64" t="s">
        <v>288</v>
      </c>
      <c r="S449" s="64" t="s">
        <v>312</v>
      </c>
      <c r="T449" s="64" t="s">
        <v>313</v>
      </c>
      <c r="U449" s="64" t="s">
        <v>469</v>
      </c>
      <c r="V449" s="64" t="s">
        <v>304</v>
      </c>
      <c r="W449" s="64" t="s">
        <v>229</v>
      </c>
      <c r="X449" s="64" t="s">
        <v>306</v>
      </c>
      <c r="Y449" s="64">
        <v>20</v>
      </c>
      <c r="Z449" s="64" t="s">
        <v>241</v>
      </c>
      <c r="AA449" s="64" t="s">
        <v>700</v>
      </c>
      <c r="AB449" s="64" t="s">
        <v>700</v>
      </c>
      <c r="AC449" s="64" t="s">
        <v>701</v>
      </c>
      <c r="AD449" s="64" t="s">
        <v>166</v>
      </c>
      <c r="AE449" s="64" t="s">
        <v>306</v>
      </c>
      <c r="AF449" s="64" t="s">
        <v>228</v>
      </c>
      <c r="AG449" s="1">
        <v>211</v>
      </c>
      <c r="AH449" s="1">
        <v>203</v>
      </c>
      <c r="AI449" s="1">
        <v>204</v>
      </c>
      <c r="AJ449" s="1">
        <v>2</v>
      </c>
      <c r="AK449" s="1">
        <v>4.5</v>
      </c>
      <c r="AL449" s="1">
        <v>3.5</v>
      </c>
      <c r="AM449" s="64" t="s">
        <v>702</v>
      </c>
    </row>
    <row r="450" spans="1:39" s="68" customFormat="1">
      <c r="A450" s="64">
        <v>0.6</v>
      </c>
      <c r="B450" s="64" t="s">
        <v>305</v>
      </c>
      <c r="C450" s="64" t="s">
        <v>323</v>
      </c>
      <c r="D450" s="64" t="s">
        <v>324</v>
      </c>
      <c r="E450" s="64" t="s">
        <v>167</v>
      </c>
      <c r="F450" s="64">
        <v>16</v>
      </c>
      <c r="G450" s="64" t="s">
        <v>306</v>
      </c>
      <c r="H450" s="64" t="s">
        <v>229</v>
      </c>
      <c r="I450" s="1">
        <v>2</v>
      </c>
      <c r="J450" s="1">
        <v>254</v>
      </c>
      <c r="K450" s="64" t="s">
        <v>703</v>
      </c>
      <c r="Q450" s="64" t="s">
        <v>521</v>
      </c>
      <c r="R450" s="64" t="s">
        <v>305</v>
      </c>
      <c r="S450" s="64" t="s">
        <v>321</v>
      </c>
      <c r="T450" s="64" t="s">
        <v>322</v>
      </c>
      <c r="U450" s="64" t="s">
        <v>481</v>
      </c>
      <c r="V450" s="64" t="s">
        <v>336</v>
      </c>
      <c r="W450" s="64" t="s">
        <v>229</v>
      </c>
      <c r="X450" s="64" t="s">
        <v>166</v>
      </c>
      <c r="Y450" s="64">
        <v>20</v>
      </c>
      <c r="Z450" s="64" t="s">
        <v>241</v>
      </c>
      <c r="AA450" s="64" t="s">
        <v>704</v>
      </c>
      <c r="AB450" s="64" t="s">
        <v>704</v>
      </c>
      <c r="AC450" s="64" t="s">
        <v>705</v>
      </c>
      <c r="AD450" s="64" t="s">
        <v>253</v>
      </c>
      <c r="AE450" s="64" t="s">
        <v>306</v>
      </c>
      <c r="AF450" s="64" t="s">
        <v>706</v>
      </c>
      <c r="AG450" s="1">
        <v>266</v>
      </c>
      <c r="AH450" s="1">
        <v>259</v>
      </c>
      <c r="AI450" s="1">
        <v>260</v>
      </c>
      <c r="AJ450" s="1">
        <v>2</v>
      </c>
      <c r="AK450" s="1">
        <v>4.5</v>
      </c>
      <c r="AL450" s="1">
        <v>3.5</v>
      </c>
      <c r="AM450" s="64" t="s">
        <v>779</v>
      </c>
    </row>
    <row r="451" spans="1:39" s="68" customFormat="1">
      <c r="A451" s="64">
        <v>0.6</v>
      </c>
      <c r="B451" s="64" t="s">
        <v>329</v>
      </c>
      <c r="C451" s="64" t="s">
        <v>331</v>
      </c>
      <c r="D451" s="64" t="s">
        <v>332</v>
      </c>
      <c r="E451" s="64" t="s">
        <v>167</v>
      </c>
      <c r="F451" s="64">
        <v>16</v>
      </c>
      <c r="G451" s="64" t="s">
        <v>166</v>
      </c>
      <c r="H451" s="64" t="s">
        <v>241</v>
      </c>
      <c r="I451" s="1">
        <v>2</v>
      </c>
      <c r="J451" s="1">
        <v>309</v>
      </c>
      <c r="K451" s="64" t="s">
        <v>660</v>
      </c>
      <c r="Q451" s="64" t="s">
        <v>521</v>
      </c>
      <c r="R451" s="64" t="s">
        <v>329</v>
      </c>
      <c r="S451" s="64" t="s">
        <v>330</v>
      </c>
      <c r="T451" s="64" t="s">
        <v>330</v>
      </c>
      <c r="U451" s="64" t="s">
        <v>524</v>
      </c>
      <c r="V451" s="64" t="s">
        <v>346</v>
      </c>
      <c r="W451" s="64" t="s">
        <v>238</v>
      </c>
      <c r="X451" s="64" t="s">
        <v>166</v>
      </c>
      <c r="Y451" s="64">
        <v>24</v>
      </c>
      <c r="Z451" s="64" t="s">
        <v>238</v>
      </c>
      <c r="AA451" s="64" t="s">
        <v>708</v>
      </c>
      <c r="AB451" s="64" t="s">
        <v>708</v>
      </c>
      <c r="AC451" s="64" t="s">
        <v>705</v>
      </c>
      <c r="AD451" s="64" t="s">
        <v>253</v>
      </c>
      <c r="AE451" s="64" t="s">
        <v>224</v>
      </c>
      <c r="AF451" s="64" t="s">
        <v>266</v>
      </c>
      <c r="AG451" s="1">
        <v>319</v>
      </c>
      <c r="AH451" s="1">
        <v>312</v>
      </c>
      <c r="AI451" s="1">
        <v>313</v>
      </c>
      <c r="AJ451" s="1">
        <v>2</v>
      </c>
      <c r="AK451" s="1">
        <v>4.5</v>
      </c>
      <c r="AL451" s="1">
        <v>3.5</v>
      </c>
      <c r="AM451" s="64" t="s">
        <v>780</v>
      </c>
    </row>
    <row r="452" spans="1:39" s="68" customFormat="1">
      <c r="A452" s="64">
        <v>0.6</v>
      </c>
      <c r="B452" s="64" t="s">
        <v>338</v>
      </c>
      <c r="C452" s="64" t="s">
        <v>341</v>
      </c>
      <c r="D452" s="64" t="s">
        <v>342</v>
      </c>
      <c r="E452" s="64" t="s">
        <v>229</v>
      </c>
      <c r="F452" s="64">
        <v>20</v>
      </c>
      <c r="G452" s="64" t="s">
        <v>166</v>
      </c>
      <c r="H452" s="64" t="s">
        <v>241</v>
      </c>
      <c r="I452" s="1">
        <v>2</v>
      </c>
      <c r="J452" s="1">
        <v>363</v>
      </c>
      <c r="K452" s="64" t="s">
        <v>709</v>
      </c>
      <c r="Q452" s="64" t="s">
        <v>521</v>
      </c>
      <c r="R452" s="64" t="s">
        <v>338</v>
      </c>
      <c r="S452" s="64" t="s">
        <v>339</v>
      </c>
      <c r="T452" s="64" t="s">
        <v>340</v>
      </c>
      <c r="U452" s="64" t="s">
        <v>497</v>
      </c>
      <c r="V452" s="64" t="s">
        <v>526</v>
      </c>
      <c r="W452" s="64" t="s">
        <v>238</v>
      </c>
      <c r="X452" s="64" t="s">
        <v>166</v>
      </c>
      <c r="Y452" s="64">
        <v>24</v>
      </c>
      <c r="Z452" s="64" t="s">
        <v>275</v>
      </c>
      <c r="AA452" s="64" t="s">
        <v>710</v>
      </c>
      <c r="AB452" s="64" t="s">
        <v>710</v>
      </c>
      <c r="AC452" s="64" t="s">
        <v>711</v>
      </c>
      <c r="AD452" s="64" t="s">
        <v>253</v>
      </c>
      <c r="AE452" s="64" t="s">
        <v>224</v>
      </c>
      <c r="AF452" s="64" t="s">
        <v>281</v>
      </c>
      <c r="AG452" s="1">
        <v>370</v>
      </c>
      <c r="AH452" s="1">
        <v>363</v>
      </c>
      <c r="AI452" s="1">
        <v>364</v>
      </c>
      <c r="AJ452" s="1">
        <v>2</v>
      </c>
      <c r="AK452" s="1">
        <v>4.5</v>
      </c>
      <c r="AL452" s="1">
        <v>3.5</v>
      </c>
      <c r="AM452" s="64" t="s">
        <v>781</v>
      </c>
    </row>
    <row r="453" spans="1:39" s="68" customFormat="1">
      <c r="A453" s="64">
        <v>0.6</v>
      </c>
      <c r="B453" s="64" t="s">
        <v>348</v>
      </c>
      <c r="C453" s="64" t="s">
        <v>351</v>
      </c>
      <c r="D453" s="64" t="s">
        <v>352</v>
      </c>
      <c r="E453" s="64" t="s">
        <v>229</v>
      </c>
      <c r="F453" s="64">
        <v>20</v>
      </c>
      <c r="G453" s="64" t="s">
        <v>166</v>
      </c>
      <c r="H453" s="64" t="s">
        <v>238</v>
      </c>
      <c r="I453" s="1">
        <v>2</v>
      </c>
      <c r="J453" s="1">
        <v>413</v>
      </c>
      <c r="K453" s="64" t="s">
        <v>713</v>
      </c>
      <c r="Q453" s="64" t="s">
        <v>521</v>
      </c>
      <c r="R453" s="64" t="s">
        <v>348</v>
      </c>
      <c r="S453" s="64" t="s">
        <v>349</v>
      </c>
      <c r="T453" s="64" t="s">
        <v>350</v>
      </c>
      <c r="U453" s="64" t="s">
        <v>529</v>
      </c>
      <c r="V453" s="64" t="s">
        <v>530</v>
      </c>
      <c r="W453" s="64" t="s">
        <v>238</v>
      </c>
      <c r="X453" s="64" t="s">
        <v>253</v>
      </c>
      <c r="Y453" s="64">
        <v>24</v>
      </c>
      <c r="Z453" s="64" t="s">
        <v>232</v>
      </c>
      <c r="AA453" s="64" t="s">
        <v>714</v>
      </c>
      <c r="AB453" s="64" t="s">
        <v>526</v>
      </c>
      <c r="AC453" s="64" t="s">
        <v>306</v>
      </c>
      <c r="AD453" s="64" t="s">
        <v>253</v>
      </c>
      <c r="AE453" s="64" t="s">
        <v>224</v>
      </c>
      <c r="AF453" s="64" t="s">
        <v>782</v>
      </c>
      <c r="AG453" s="1">
        <v>429</v>
      </c>
      <c r="AH453" s="1">
        <v>421</v>
      </c>
      <c r="AI453" s="1">
        <v>422</v>
      </c>
      <c r="AJ453" s="1">
        <v>2</v>
      </c>
      <c r="AK453" s="1">
        <v>5</v>
      </c>
      <c r="AL453" s="1">
        <v>4</v>
      </c>
      <c r="AM453" s="64" t="s">
        <v>620</v>
      </c>
    </row>
    <row r="454" spans="1:39" s="68" customFormat="1">
      <c r="A454" s="64">
        <v>0.6</v>
      </c>
      <c r="B454" s="64" t="s">
        <v>358</v>
      </c>
      <c r="C454" s="64" t="s">
        <v>361</v>
      </c>
      <c r="D454" s="64" t="s">
        <v>362</v>
      </c>
      <c r="E454" s="64" t="s">
        <v>229</v>
      </c>
      <c r="F454" s="64">
        <v>20</v>
      </c>
      <c r="G454" s="64" t="s">
        <v>253</v>
      </c>
      <c r="H454" s="64" t="s">
        <v>275</v>
      </c>
      <c r="I454" s="1">
        <v>2</v>
      </c>
      <c r="J454" s="1">
        <v>463</v>
      </c>
      <c r="K454" s="64" t="s">
        <v>433</v>
      </c>
      <c r="Q454" s="64" t="s">
        <v>521</v>
      </c>
      <c r="R454" s="64" t="s">
        <v>358</v>
      </c>
      <c r="S454" s="64" t="s">
        <v>359</v>
      </c>
      <c r="T454" s="64" t="s">
        <v>360</v>
      </c>
      <c r="U454" s="64" t="s">
        <v>533</v>
      </c>
      <c r="V454" s="64" t="s">
        <v>507</v>
      </c>
      <c r="W454" s="64" t="s">
        <v>232</v>
      </c>
      <c r="X454" s="64" t="s">
        <v>253</v>
      </c>
      <c r="Y454" s="64">
        <v>27</v>
      </c>
      <c r="Z454" s="64" t="s">
        <v>244</v>
      </c>
      <c r="AA454" s="64" t="s">
        <v>627</v>
      </c>
      <c r="AB454" s="64" t="s">
        <v>783</v>
      </c>
      <c r="AC454" s="64" t="s">
        <v>718</v>
      </c>
      <c r="AD454" s="64" t="s">
        <v>253</v>
      </c>
      <c r="AE454" s="64" t="s">
        <v>224</v>
      </c>
      <c r="AF454" s="64" t="s">
        <v>388</v>
      </c>
      <c r="AG454" s="1">
        <v>480</v>
      </c>
      <c r="AH454" s="1">
        <v>273</v>
      </c>
      <c r="AI454" s="1">
        <v>474</v>
      </c>
      <c r="AJ454" s="1">
        <v>2</v>
      </c>
      <c r="AK454" s="1">
        <v>5</v>
      </c>
      <c r="AL454" s="1">
        <v>4</v>
      </c>
      <c r="AM454" s="64" t="s">
        <v>784</v>
      </c>
    </row>
    <row r="455" spans="1:39" s="68" customFormat="1">
      <c r="A455" s="64">
        <v>0.6</v>
      </c>
      <c r="B455" s="64" t="s">
        <v>369</v>
      </c>
      <c r="C455" s="64" t="s">
        <v>372</v>
      </c>
      <c r="D455" s="64" t="s">
        <v>373</v>
      </c>
      <c r="E455" s="64" t="s">
        <v>229</v>
      </c>
      <c r="F455" s="64">
        <v>20</v>
      </c>
      <c r="G455" s="64" t="s">
        <v>253</v>
      </c>
      <c r="H455" s="64" t="s">
        <v>232</v>
      </c>
      <c r="I455" s="1">
        <v>2</v>
      </c>
      <c r="J455" s="1">
        <v>518</v>
      </c>
      <c r="K455" s="64" t="s">
        <v>720</v>
      </c>
      <c r="Q455" s="64" t="s">
        <v>521</v>
      </c>
      <c r="R455" s="64" t="s">
        <v>369</v>
      </c>
      <c r="S455" s="64" t="s">
        <v>370</v>
      </c>
      <c r="T455" s="64" t="s">
        <v>371</v>
      </c>
      <c r="U455" s="64" t="s">
        <v>536</v>
      </c>
      <c r="V455" s="64" t="s">
        <v>537</v>
      </c>
      <c r="W455" s="64" t="s">
        <v>232</v>
      </c>
      <c r="X455" s="64" t="s">
        <v>171</v>
      </c>
      <c r="Y455" s="64">
        <v>27</v>
      </c>
      <c r="Z455" s="64" t="s">
        <v>292</v>
      </c>
      <c r="AA455" s="64" t="s">
        <v>351</v>
      </c>
      <c r="AB455" s="64" t="s">
        <v>785</v>
      </c>
      <c r="AC455" s="64" t="s">
        <v>224</v>
      </c>
      <c r="AD455" s="64" t="s">
        <v>253</v>
      </c>
      <c r="AE455" s="64" t="s">
        <v>166</v>
      </c>
      <c r="AF455" s="64" t="s">
        <v>738</v>
      </c>
      <c r="AG455" s="1">
        <v>548</v>
      </c>
      <c r="AH455" s="1">
        <v>523</v>
      </c>
      <c r="AI455" s="1">
        <v>524</v>
      </c>
      <c r="AJ455" s="1">
        <v>2</v>
      </c>
      <c r="AK455" s="1">
        <v>5</v>
      </c>
      <c r="AL455" s="1">
        <v>4</v>
      </c>
      <c r="AM455" s="64" t="s">
        <v>786</v>
      </c>
    </row>
    <row r="456" spans="1:39" s="68" customFormat="1">
      <c r="A456" s="64">
        <v>0.6</v>
      </c>
      <c r="B456" s="64" t="s">
        <v>379</v>
      </c>
      <c r="C456" s="64" t="s">
        <v>382</v>
      </c>
      <c r="D456" s="64" t="s">
        <v>383</v>
      </c>
      <c r="E456" s="64" t="s">
        <v>229</v>
      </c>
      <c r="F456" s="64">
        <v>20</v>
      </c>
      <c r="G456" s="64" t="s">
        <v>171</v>
      </c>
      <c r="H456" s="64" t="s">
        <v>244</v>
      </c>
      <c r="I456" s="1">
        <v>2</v>
      </c>
      <c r="J456" s="1">
        <v>568</v>
      </c>
      <c r="K456" s="64" t="s">
        <v>723</v>
      </c>
      <c r="Q456" s="64" t="s">
        <v>521</v>
      </c>
      <c r="R456" s="64" t="s">
        <v>379</v>
      </c>
      <c r="S456" s="64" t="s">
        <v>380</v>
      </c>
      <c r="T456" s="64" t="s">
        <v>381</v>
      </c>
      <c r="U456" s="64" t="s">
        <v>404</v>
      </c>
      <c r="V456" s="64" t="s">
        <v>543</v>
      </c>
      <c r="W456" s="64" t="s">
        <v>247</v>
      </c>
      <c r="X456" s="64" t="s">
        <v>171</v>
      </c>
      <c r="Y456" s="64">
        <v>30</v>
      </c>
      <c r="Z456" s="64" t="s">
        <v>292</v>
      </c>
      <c r="AA456" s="64" t="s">
        <v>787</v>
      </c>
      <c r="AB456" s="64" t="s">
        <v>788</v>
      </c>
      <c r="AC456" s="64" t="s">
        <v>164</v>
      </c>
      <c r="AD456" s="64" t="s">
        <v>253</v>
      </c>
      <c r="AE456" s="64" t="s">
        <v>166</v>
      </c>
      <c r="AF456" s="64" t="s">
        <v>235</v>
      </c>
      <c r="AG456" s="1">
        <v>609</v>
      </c>
      <c r="AH456" s="1">
        <v>575</v>
      </c>
      <c r="AI456" s="1">
        <v>576</v>
      </c>
      <c r="AJ456" s="1">
        <v>2</v>
      </c>
      <c r="AK456" s="1">
        <v>5</v>
      </c>
      <c r="AL456" s="1">
        <v>4</v>
      </c>
      <c r="AM456" s="64" t="s">
        <v>789</v>
      </c>
    </row>
    <row r="457" spans="1:39" s="68" customFormat="1">
      <c r="A457" s="64">
        <v>0.6</v>
      </c>
      <c r="B457" s="64" t="s">
        <v>383</v>
      </c>
      <c r="C457" s="64" t="s">
        <v>393</v>
      </c>
      <c r="D457" s="64" t="s">
        <v>394</v>
      </c>
      <c r="E457" s="64" t="s">
        <v>238</v>
      </c>
      <c r="F457" s="64">
        <v>24</v>
      </c>
      <c r="G457" s="64" t="s">
        <v>171</v>
      </c>
      <c r="H457" s="64" t="s">
        <v>395</v>
      </c>
      <c r="I457" s="1">
        <v>2</v>
      </c>
      <c r="J457" s="1">
        <v>667</v>
      </c>
      <c r="K457" s="64" t="s">
        <v>726</v>
      </c>
      <c r="Q457" s="64" t="s">
        <v>521</v>
      </c>
      <c r="R457" s="64" t="s">
        <v>383</v>
      </c>
      <c r="S457" s="64" t="s">
        <v>391</v>
      </c>
      <c r="T457" s="64" t="s">
        <v>392</v>
      </c>
      <c r="U457" s="64" t="s">
        <v>548</v>
      </c>
      <c r="V457" s="64" t="s">
        <v>549</v>
      </c>
      <c r="W457" s="64" t="s">
        <v>395</v>
      </c>
      <c r="X457" s="64" t="s">
        <v>171</v>
      </c>
      <c r="Y457" s="64">
        <v>33</v>
      </c>
      <c r="Z457" s="64" t="s">
        <v>395</v>
      </c>
      <c r="AA457" s="64" t="s">
        <v>543</v>
      </c>
      <c r="AB457" s="64" t="s">
        <v>510</v>
      </c>
      <c r="AC457" s="64" t="s">
        <v>727</v>
      </c>
      <c r="AD457" s="64" t="s">
        <v>167</v>
      </c>
      <c r="AE457" s="64" t="s">
        <v>166</v>
      </c>
      <c r="AF457" s="64" t="s">
        <v>366</v>
      </c>
      <c r="AG457" s="1">
        <v>720</v>
      </c>
      <c r="AH457" s="1">
        <v>675</v>
      </c>
      <c r="AI457" s="1">
        <v>676</v>
      </c>
      <c r="AJ457" s="1">
        <v>2</v>
      </c>
      <c r="AK457" s="1">
        <v>5</v>
      </c>
      <c r="AL457" s="1">
        <v>4</v>
      </c>
      <c r="AM457" s="64" t="s">
        <v>790</v>
      </c>
    </row>
    <row r="458" spans="1:39" s="68" customFormat="1">
      <c r="A458" s="64">
        <v>0.6</v>
      </c>
      <c r="B458" s="64" t="s">
        <v>399</v>
      </c>
      <c r="C458" s="64" t="s">
        <v>402</v>
      </c>
      <c r="D458" s="64" t="s">
        <v>403</v>
      </c>
      <c r="E458" s="64" t="s">
        <v>238</v>
      </c>
      <c r="F458" s="64">
        <v>24</v>
      </c>
      <c r="G458" s="64" t="s">
        <v>241</v>
      </c>
      <c r="H458" s="64" t="s">
        <v>240</v>
      </c>
      <c r="I458" s="1">
        <v>5</v>
      </c>
      <c r="J458" s="1">
        <v>772</v>
      </c>
      <c r="K458" s="64" t="s">
        <v>791</v>
      </c>
      <c r="Q458" s="64" t="s">
        <v>521</v>
      </c>
      <c r="R458" s="64" t="s">
        <v>399</v>
      </c>
      <c r="S458" s="64" t="s">
        <v>400</v>
      </c>
      <c r="T458" s="64" t="s">
        <v>401</v>
      </c>
      <c r="U458" s="64" t="s">
        <v>792</v>
      </c>
      <c r="V458" s="64" t="s">
        <v>548</v>
      </c>
      <c r="W458" s="64" t="s">
        <v>395</v>
      </c>
      <c r="X458" s="64" t="s">
        <v>241</v>
      </c>
      <c r="Y458" s="64">
        <v>33</v>
      </c>
      <c r="Z458" s="64" t="s">
        <v>251</v>
      </c>
      <c r="AA458" s="64" t="s">
        <v>793</v>
      </c>
      <c r="AB458" s="64" t="s">
        <v>794</v>
      </c>
      <c r="AC458" s="64" t="s">
        <v>727</v>
      </c>
      <c r="AD458" s="64" t="s">
        <v>167</v>
      </c>
      <c r="AE458" s="64" t="s">
        <v>166</v>
      </c>
      <c r="AF458" s="64" t="s">
        <v>245</v>
      </c>
      <c r="AG458" s="1">
        <v>820</v>
      </c>
      <c r="AH458" s="1"/>
      <c r="AI458" s="1"/>
      <c r="AJ458" s="1">
        <v>5</v>
      </c>
      <c r="AK458" s="1"/>
      <c r="AL458" s="1"/>
      <c r="AM458" s="64" t="s">
        <v>795</v>
      </c>
    </row>
    <row r="459" spans="1:39" s="68" customFormat="1">
      <c r="A459" s="64">
        <v>0.6</v>
      </c>
      <c r="B459" s="64" t="s">
        <v>408</v>
      </c>
      <c r="C459" s="64" t="s">
        <v>411</v>
      </c>
      <c r="D459" s="64" t="s">
        <v>412</v>
      </c>
      <c r="E459" s="64" t="s">
        <v>232</v>
      </c>
      <c r="F459" s="64">
        <v>27</v>
      </c>
      <c r="G459" s="64" t="s">
        <v>241</v>
      </c>
      <c r="H459" s="64" t="s">
        <v>310</v>
      </c>
      <c r="I459" s="1">
        <v>5</v>
      </c>
      <c r="J459" s="1">
        <v>878</v>
      </c>
      <c r="K459" s="64" t="s">
        <v>796</v>
      </c>
      <c r="Q459" s="64" t="s">
        <v>521</v>
      </c>
      <c r="R459" s="64" t="s">
        <v>408</v>
      </c>
      <c r="S459" s="64" t="s">
        <v>409</v>
      </c>
      <c r="T459" s="64" t="s">
        <v>410</v>
      </c>
      <c r="U459" s="64" t="s">
        <v>797</v>
      </c>
      <c r="V459" s="64" t="s">
        <v>735</v>
      </c>
      <c r="W459" s="64" t="s">
        <v>255</v>
      </c>
      <c r="X459" s="64" t="s">
        <v>241</v>
      </c>
      <c r="Y459" s="64">
        <v>36</v>
      </c>
      <c r="Z459" s="64" t="s">
        <v>251</v>
      </c>
      <c r="AA459" s="64" t="s">
        <v>736</v>
      </c>
      <c r="AB459" s="64" t="s">
        <v>737</v>
      </c>
      <c r="AC459" s="64" t="s">
        <v>727</v>
      </c>
      <c r="AD459" s="64" t="s">
        <v>171</v>
      </c>
      <c r="AE459" s="64" t="s">
        <v>166</v>
      </c>
      <c r="AF459" s="64" t="s">
        <v>377</v>
      </c>
      <c r="AG459" s="1">
        <v>928</v>
      </c>
      <c r="AH459" s="1"/>
      <c r="AI459" s="1"/>
      <c r="AJ459" s="1">
        <v>5</v>
      </c>
      <c r="AK459" s="1"/>
      <c r="AL459" s="1"/>
      <c r="AM459" s="64" t="s">
        <v>610</v>
      </c>
    </row>
    <row r="460" spans="1:39" s="68" customFormat="1">
      <c r="A460" s="64">
        <v>0.6</v>
      </c>
      <c r="B460" s="64" t="s">
        <v>419</v>
      </c>
      <c r="C460" s="64" t="s">
        <v>421</v>
      </c>
      <c r="D460" s="64" t="s">
        <v>422</v>
      </c>
      <c r="E460" s="64" t="s">
        <v>232</v>
      </c>
      <c r="F460" s="64">
        <v>27</v>
      </c>
      <c r="G460" s="64" t="s">
        <v>241</v>
      </c>
      <c r="H460" s="64" t="s">
        <v>454</v>
      </c>
      <c r="I460" s="1">
        <v>5</v>
      </c>
      <c r="J460" s="1">
        <v>978</v>
      </c>
      <c r="K460" s="64" t="s">
        <v>798</v>
      </c>
      <c r="Q460" s="64" t="s">
        <v>521</v>
      </c>
      <c r="R460" s="64" t="s">
        <v>419</v>
      </c>
      <c r="S460" s="64" t="s">
        <v>420</v>
      </c>
      <c r="T460" s="64" t="s">
        <v>412</v>
      </c>
      <c r="U460" s="64" t="s">
        <v>799</v>
      </c>
      <c r="V460" s="64" t="s">
        <v>741</v>
      </c>
      <c r="W460" s="64" t="s">
        <v>255</v>
      </c>
      <c r="X460" s="64" t="s">
        <v>275</v>
      </c>
      <c r="Y460" s="64">
        <v>36</v>
      </c>
      <c r="Z460" s="64" t="s">
        <v>240</v>
      </c>
      <c r="AA460" s="64" t="s">
        <v>742</v>
      </c>
      <c r="AB460" s="64" t="s">
        <v>743</v>
      </c>
      <c r="AC460" s="64" t="s">
        <v>727</v>
      </c>
      <c r="AD460" s="64" t="s">
        <v>171</v>
      </c>
      <c r="AE460" s="64" t="s">
        <v>166</v>
      </c>
      <c r="AF460" s="64" t="s">
        <v>271</v>
      </c>
      <c r="AG460" s="1">
        <v>1028</v>
      </c>
      <c r="AH460" s="1"/>
      <c r="AI460" s="1"/>
      <c r="AJ460" s="1">
        <v>5</v>
      </c>
      <c r="AK460" s="1"/>
      <c r="AL460" s="1"/>
      <c r="AM460" s="64" t="s">
        <v>800</v>
      </c>
    </row>
    <row r="461" spans="1:39" s="68" customFormat="1">
      <c r="A461" s="64">
        <v>0.6</v>
      </c>
      <c r="B461" s="64" t="s">
        <v>429</v>
      </c>
      <c r="C461" s="64" t="s">
        <v>431</v>
      </c>
      <c r="D461" s="64" t="s">
        <v>432</v>
      </c>
      <c r="E461" s="64" t="s">
        <v>232</v>
      </c>
      <c r="F461" s="64">
        <v>27</v>
      </c>
      <c r="G461" s="64" t="s">
        <v>275</v>
      </c>
      <c r="H461" s="64" t="s">
        <v>389</v>
      </c>
      <c r="I461" s="1">
        <v>5</v>
      </c>
      <c r="J461" s="1">
        <v>1078</v>
      </c>
      <c r="K461" s="64" t="s">
        <v>801</v>
      </c>
      <c r="Q461" s="64" t="s">
        <v>521</v>
      </c>
      <c r="R461" s="64" t="s">
        <v>429</v>
      </c>
      <c r="S461" s="64" t="s">
        <v>430</v>
      </c>
      <c r="T461" s="64" t="s">
        <v>422</v>
      </c>
      <c r="U461" s="64" t="s">
        <v>802</v>
      </c>
      <c r="V461" s="64" t="s">
        <v>803</v>
      </c>
      <c r="W461" s="64" t="s">
        <v>433</v>
      </c>
      <c r="X461" s="64" t="s">
        <v>275</v>
      </c>
      <c r="Y461" s="64">
        <v>39</v>
      </c>
      <c r="Z461" s="64" t="s">
        <v>433</v>
      </c>
      <c r="AA461" s="64" t="s">
        <v>804</v>
      </c>
      <c r="AB461" s="64" t="s">
        <v>805</v>
      </c>
      <c r="AC461" s="64" t="s">
        <v>727</v>
      </c>
      <c r="AD461" s="64" t="s">
        <v>229</v>
      </c>
      <c r="AE461" s="64" t="s">
        <v>166</v>
      </c>
      <c r="AF461" s="64" t="s">
        <v>252</v>
      </c>
      <c r="AG461" s="1">
        <v>1140</v>
      </c>
      <c r="AH461" s="1"/>
      <c r="AI461" s="1"/>
      <c r="AJ461" s="1">
        <v>5</v>
      </c>
      <c r="AK461" s="1"/>
      <c r="AL461" s="1"/>
      <c r="AM461" s="64" t="s">
        <v>806</v>
      </c>
    </row>
    <row r="462" spans="1:39" s="68" customFormat="1">
      <c r="A462" s="64">
        <v>0.6</v>
      </c>
      <c r="B462" s="64" t="s">
        <v>438</v>
      </c>
      <c r="C462" s="64" t="s">
        <v>540</v>
      </c>
      <c r="D462" s="64" t="s">
        <v>541</v>
      </c>
      <c r="E462" s="64" t="s">
        <v>247</v>
      </c>
      <c r="F462" s="64">
        <v>30</v>
      </c>
      <c r="G462" s="64" t="s">
        <v>244</v>
      </c>
      <c r="H462" s="64" t="s">
        <v>257</v>
      </c>
      <c r="I462" s="1">
        <v>5</v>
      </c>
      <c r="J462" s="1">
        <v>1295</v>
      </c>
      <c r="K462" s="64" t="s">
        <v>807</v>
      </c>
      <c r="Q462" s="64" t="s">
        <v>521</v>
      </c>
      <c r="R462" s="64" t="s">
        <v>438</v>
      </c>
      <c r="S462" s="64" t="s">
        <v>439</v>
      </c>
      <c r="T462" s="64" t="s">
        <v>440</v>
      </c>
      <c r="U462" s="64" t="s">
        <v>808</v>
      </c>
      <c r="V462" s="64" t="s">
        <v>809</v>
      </c>
      <c r="W462" s="64" t="s">
        <v>454</v>
      </c>
      <c r="X462" s="64" t="s">
        <v>244</v>
      </c>
      <c r="Y462" s="64">
        <v>45</v>
      </c>
      <c r="Z462" s="64" t="s">
        <v>454</v>
      </c>
      <c r="AA462" s="64" t="s">
        <v>810</v>
      </c>
      <c r="AB462" s="64" t="s">
        <v>810</v>
      </c>
      <c r="AC462" s="64" t="s">
        <v>727</v>
      </c>
      <c r="AD462" s="64" t="s">
        <v>232</v>
      </c>
      <c r="AE462" s="64" t="s">
        <v>166</v>
      </c>
      <c r="AF462" s="64" t="s">
        <v>262</v>
      </c>
      <c r="AG462" s="1">
        <v>1350</v>
      </c>
      <c r="AH462" s="1"/>
      <c r="AI462" s="1"/>
      <c r="AJ462" s="1">
        <v>5</v>
      </c>
      <c r="AK462" s="1"/>
      <c r="AL462" s="1"/>
      <c r="AM462" s="64" t="s">
        <v>811</v>
      </c>
    </row>
    <row r="463" spans="1:39" s="68" customFormat="1">
      <c r="A463" s="64">
        <v>0.6</v>
      </c>
      <c r="B463" s="64" t="s">
        <v>449</v>
      </c>
      <c r="C463" s="64" t="s">
        <v>466</v>
      </c>
      <c r="D463" s="64" t="s">
        <v>546</v>
      </c>
      <c r="E463" s="64" t="s">
        <v>395</v>
      </c>
      <c r="F463" s="64">
        <v>33</v>
      </c>
      <c r="G463" s="64" t="s">
        <v>395</v>
      </c>
      <c r="H463" s="64" t="s">
        <v>538</v>
      </c>
      <c r="I463" s="1">
        <v>5</v>
      </c>
      <c r="J463" s="1">
        <v>1510</v>
      </c>
      <c r="K463" s="64" t="s">
        <v>812</v>
      </c>
      <c r="Q463" s="64" t="s">
        <v>521</v>
      </c>
      <c r="R463" s="64" t="s">
        <v>449</v>
      </c>
      <c r="S463" s="64" t="s">
        <v>450</v>
      </c>
      <c r="T463" s="64" t="s">
        <v>451</v>
      </c>
      <c r="U463" s="64" t="s">
        <v>813</v>
      </c>
      <c r="V463" s="64" t="s">
        <v>757</v>
      </c>
      <c r="W463" s="64" t="s">
        <v>454</v>
      </c>
      <c r="X463" s="64" t="s">
        <v>395</v>
      </c>
      <c r="Y463" s="64">
        <v>45</v>
      </c>
      <c r="Z463" s="64" t="s">
        <v>389</v>
      </c>
      <c r="AA463" s="64" t="s">
        <v>814</v>
      </c>
      <c r="AB463" s="64" t="s">
        <v>815</v>
      </c>
      <c r="AC463" s="64" t="s">
        <v>659</v>
      </c>
      <c r="AD463" s="64" t="s">
        <v>232</v>
      </c>
      <c r="AE463" s="64" t="s">
        <v>166</v>
      </c>
      <c r="AF463" s="64" t="s">
        <v>426</v>
      </c>
      <c r="AG463" s="1"/>
      <c r="AH463" s="1"/>
      <c r="AI463" s="1"/>
      <c r="AJ463" s="1">
        <v>5</v>
      </c>
      <c r="AK463" s="1"/>
      <c r="AL463" s="1"/>
      <c r="AM463" s="64" t="s">
        <v>816</v>
      </c>
    </row>
    <row r="464" spans="1:39" s="68" customFormat="1">
      <c r="A464" s="64">
        <v>0.6</v>
      </c>
      <c r="B464" s="64" t="s">
        <v>460</v>
      </c>
      <c r="C464" s="64" t="s">
        <v>552</v>
      </c>
      <c r="D464" s="64" t="s">
        <v>553</v>
      </c>
      <c r="E464" s="64" t="s">
        <v>395</v>
      </c>
      <c r="F464" s="64">
        <v>33</v>
      </c>
      <c r="G464" s="64" t="s">
        <v>240</v>
      </c>
      <c r="H464" s="64" t="s">
        <v>278</v>
      </c>
      <c r="I464" s="1">
        <v>5</v>
      </c>
      <c r="J464" s="1">
        <v>1710</v>
      </c>
      <c r="K464" s="64" t="s">
        <v>817</v>
      </c>
      <c r="Q464" s="64" t="s">
        <v>521</v>
      </c>
      <c r="R464" s="64" t="s">
        <v>460</v>
      </c>
      <c r="S464" s="64" t="s">
        <v>461</v>
      </c>
      <c r="T464" s="64" t="s">
        <v>462</v>
      </c>
      <c r="U464" s="64" t="s">
        <v>476</v>
      </c>
      <c r="V464" s="64" t="s">
        <v>474</v>
      </c>
      <c r="W464" s="64" t="s">
        <v>228</v>
      </c>
      <c r="X464" s="64" t="s">
        <v>240</v>
      </c>
      <c r="Y464" s="64">
        <v>52</v>
      </c>
      <c r="Z464" s="64" t="s">
        <v>489</v>
      </c>
      <c r="AA464" s="64" t="s">
        <v>818</v>
      </c>
      <c r="AB464" s="64" t="s">
        <v>819</v>
      </c>
      <c r="AC464" s="64" t="s">
        <v>253</v>
      </c>
      <c r="AD464" s="64" t="s">
        <v>367</v>
      </c>
      <c r="AE464" s="64" t="s">
        <v>166</v>
      </c>
      <c r="AF464" s="64" t="s">
        <v>279</v>
      </c>
      <c r="AG464" s="1"/>
      <c r="AH464" s="1"/>
      <c r="AI464" s="1"/>
      <c r="AJ464" s="1">
        <v>5</v>
      </c>
      <c r="AK464" s="1"/>
      <c r="AL464" s="1"/>
      <c r="AM464" s="64" t="s">
        <v>820</v>
      </c>
    </row>
    <row r="465" spans="1:39" s="68" customFormat="1">
      <c r="A465" s="64">
        <v>0.6</v>
      </c>
      <c r="B465" s="64" t="s">
        <v>472</v>
      </c>
      <c r="C465" s="64" t="s">
        <v>556</v>
      </c>
      <c r="D465" s="64" t="s">
        <v>557</v>
      </c>
      <c r="E465" s="64" t="s">
        <v>255</v>
      </c>
      <c r="F465" s="64">
        <v>36</v>
      </c>
      <c r="G465" s="64" t="s">
        <v>310</v>
      </c>
      <c r="H465" s="64" t="s">
        <v>417</v>
      </c>
      <c r="I465" s="1">
        <v>5</v>
      </c>
      <c r="J465" s="1">
        <v>1918</v>
      </c>
      <c r="K465" s="64" t="s">
        <v>821</v>
      </c>
      <c r="Q465" s="64" t="s">
        <v>521</v>
      </c>
      <c r="R465" s="64" t="s">
        <v>472</v>
      </c>
      <c r="S465" s="64" t="s">
        <v>473</v>
      </c>
      <c r="T465" s="64" t="s">
        <v>474</v>
      </c>
      <c r="U465" s="64" t="s">
        <v>488</v>
      </c>
      <c r="V465" s="64" t="s">
        <v>486</v>
      </c>
      <c r="W465" s="64" t="s">
        <v>228</v>
      </c>
      <c r="X465" s="64" t="s">
        <v>310</v>
      </c>
      <c r="Y465" s="64">
        <v>52</v>
      </c>
      <c r="Z465" s="64" t="s">
        <v>706</v>
      </c>
      <c r="AA465" s="64" t="s">
        <v>822</v>
      </c>
      <c r="AB465" s="64" t="s">
        <v>823</v>
      </c>
      <c r="AC465" s="64" t="s">
        <v>824</v>
      </c>
      <c r="AD465" s="64" t="s">
        <v>367</v>
      </c>
      <c r="AE465" s="64" t="s">
        <v>168</v>
      </c>
      <c r="AF465" s="64" t="s">
        <v>297</v>
      </c>
      <c r="AG465" s="1"/>
      <c r="AH465" s="1"/>
      <c r="AI465" s="1"/>
      <c r="AJ465" s="1">
        <v>5</v>
      </c>
      <c r="AK465" s="1"/>
      <c r="AL465" s="1"/>
      <c r="AM465" s="64" t="s">
        <v>825</v>
      </c>
    </row>
    <row r="466" spans="1:39" s="68" customFormat="1">
      <c r="A466" s="64">
        <v>0.6</v>
      </c>
      <c r="B466" s="64" t="s">
        <v>484</v>
      </c>
      <c r="C466" s="64" t="s">
        <v>559</v>
      </c>
      <c r="D466" s="64" t="s">
        <v>560</v>
      </c>
      <c r="E466" s="64" t="s">
        <v>433</v>
      </c>
      <c r="F466" s="64">
        <v>39</v>
      </c>
      <c r="G466" s="64" t="s">
        <v>454</v>
      </c>
      <c r="H466" s="64" t="s">
        <v>561</v>
      </c>
      <c r="I466" s="1">
        <v>5</v>
      </c>
      <c r="J466" s="1">
        <v>2125</v>
      </c>
      <c r="K466" s="64" t="s">
        <v>826</v>
      </c>
      <c r="Q466" s="64" t="s">
        <v>521</v>
      </c>
      <c r="R466" s="64" t="s">
        <v>484</v>
      </c>
      <c r="S466" s="64" t="s">
        <v>485</v>
      </c>
      <c r="T466" s="64" t="s">
        <v>486</v>
      </c>
      <c r="U466" s="64" t="s">
        <v>827</v>
      </c>
      <c r="V466" s="64" t="s">
        <v>773</v>
      </c>
      <c r="W466" s="64" t="s">
        <v>257</v>
      </c>
      <c r="X466" s="64" t="s">
        <v>454</v>
      </c>
      <c r="Y466" s="64">
        <v>56</v>
      </c>
      <c r="Z466" s="64" t="s">
        <v>828</v>
      </c>
      <c r="AA466" s="64" t="s">
        <v>829</v>
      </c>
      <c r="AB466" s="64" t="s">
        <v>830</v>
      </c>
      <c r="AC466" s="64" t="s">
        <v>171</v>
      </c>
      <c r="AD466" s="64" t="s">
        <v>240</v>
      </c>
      <c r="AE466" s="64" t="s">
        <v>168</v>
      </c>
      <c r="AF466" s="64" t="s">
        <v>287</v>
      </c>
      <c r="AG466" s="1"/>
      <c r="AH466" s="1"/>
      <c r="AI466" s="1"/>
      <c r="AJ466" s="1">
        <v>5</v>
      </c>
      <c r="AK466" s="1"/>
      <c r="AL466" s="1"/>
      <c r="AM466" s="64" t="s">
        <v>831</v>
      </c>
    </row>
    <row r="467" spans="1:39" s="68" customFormat="1">
      <c r="A467" s="65">
        <v>1</v>
      </c>
      <c r="B467" s="64" t="s">
        <v>224</v>
      </c>
      <c r="C467" s="64" t="s">
        <v>235</v>
      </c>
      <c r="D467" s="64" t="s">
        <v>257</v>
      </c>
      <c r="E467" s="64" t="s">
        <v>161</v>
      </c>
      <c r="F467" s="64">
        <v>12</v>
      </c>
      <c r="G467" s="64" t="s">
        <v>165</v>
      </c>
      <c r="H467" s="64" t="s">
        <v>161</v>
      </c>
      <c r="I467" s="1">
        <v>2</v>
      </c>
      <c r="J467" s="1">
        <v>41</v>
      </c>
      <c r="K467" s="64" t="s">
        <v>832</v>
      </c>
      <c r="Q467" s="64" t="s">
        <v>555</v>
      </c>
      <c r="R467" s="64" t="s">
        <v>224</v>
      </c>
      <c r="S467" s="64" t="s">
        <v>160</v>
      </c>
      <c r="T467" s="64" t="s">
        <v>161</v>
      </c>
      <c r="U467" s="64" t="s">
        <v>235</v>
      </c>
      <c r="V467" s="64" t="s">
        <v>257</v>
      </c>
      <c r="W467" s="64" t="s">
        <v>161</v>
      </c>
      <c r="X467" s="64" t="s">
        <v>165</v>
      </c>
      <c r="Y467" s="64">
        <v>12</v>
      </c>
      <c r="Z467" s="64" t="s">
        <v>161</v>
      </c>
      <c r="AA467" s="64" t="s">
        <v>275</v>
      </c>
      <c r="AB467" s="64" t="s">
        <v>275</v>
      </c>
      <c r="AC467" s="64" t="s">
        <v>676</v>
      </c>
      <c r="AD467" s="64" t="s">
        <v>283</v>
      </c>
      <c r="AE467" s="64" t="s">
        <v>170</v>
      </c>
      <c r="AF467" s="64" t="s">
        <v>367</v>
      </c>
      <c r="AG467" s="1">
        <v>41</v>
      </c>
      <c r="AH467" s="1">
        <v>34</v>
      </c>
      <c r="AI467" s="1">
        <v>35</v>
      </c>
      <c r="AJ467" s="1">
        <v>2</v>
      </c>
      <c r="AK467" s="1">
        <v>4</v>
      </c>
      <c r="AL467" s="1">
        <v>3</v>
      </c>
      <c r="AM467" s="64" t="s">
        <v>242</v>
      </c>
    </row>
    <row r="468" spans="1:39" s="68" customFormat="1">
      <c r="A468" s="65">
        <v>1</v>
      </c>
      <c r="B468" s="64" t="s">
        <v>168</v>
      </c>
      <c r="C468" s="64" t="s">
        <v>366</v>
      </c>
      <c r="D468" s="64" t="s">
        <v>236</v>
      </c>
      <c r="E468" s="64" t="s">
        <v>161</v>
      </c>
      <c r="F468" s="64">
        <v>12</v>
      </c>
      <c r="G468" s="64" t="s">
        <v>165</v>
      </c>
      <c r="H468" s="64" t="s">
        <v>161</v>
      </c>
      <c r="I468" s="1">
        <v>2</v>
      </c>
      <c r="J468" s="1">
        <v>46</v>
      </c>
      <c r="K468" s="64" t="s">
        <v>833</v>
      </c>
      <c r="Q468" s="64" t="s">
        <v>555</v>
      </c>
      <c r="R468" s="64" t="s">
        <v>168</v>
      </c>
      <c r="S468" s="64" t="s">
        <v>226</v>
      </c>
      <c r="T468" s="64" t="s">
        <v>167</v>
      </c>
      <c r="U468" s="64" t="s">
        <v>366</v>
      </c>
      <c r="V468" s="64" t="s">
        <v>236</v>
      </c>
      <c r="W468" s="64" t="s">
        <v>161</v>
      </c>
      <c r="X468" s="64" t="s">
        <v>165</v>
      </c>
      <c r="Y468" s="64">
        <v>12</v>
      </c>
      <c r="Z468" s="64" t="s">
        <v>161</v>
      </c>
      <c r="AA468" s="64" t="s">
        <v>244</v>
      </c>
      <c r="AB468" s="64" t="s">
        <v>244</v>
      </c>
      <c r="AC468" s="64" t="s">
        <v>691</v>
      </c>
      <c r="AD468" s="64" t="s">
        <v>283</v>
      </c>
      <c r="AE468" s="64" t="s">
        <v>170</v>
      </c>
      <c r="AF468" s="64" t="s">
        <v>251</v>
      </c>
      <c r="AG468" s="1">
        <v>46</v>
      </c>
      <c r="AH468" s="1">
        <v>39</v>
      </c>
      <c r="AI468" s="1">
        <v>40</v>
      </c>
      <c r="AJ468" s="1">
        <v>2</v>
      </c>
      <c r="AK468" s="1">
        <v>4</v>
      </c>
      <c r="AL468" s="1">
        <v>3</v>
      </c>
      <c r="AM468" s="64" t="s">
        <v>675</v>
      </c>
    </row>
    <row r="469" spans="1:39" s="68" customFormat="1">
      <c r="A469" s="65">
        <v>1</v>
      </c>
      <c r="B469" s="64" t="s">
        <v>171</v>
      </c>
      <c r="C469" s="64" t="s">
        <v>377</v>
      </c>
      <c r="D469" s="64" t="s">
        <v>162</v>
      </c>
      <c r="E469" s="64" t="s">
        <v>161</v>
      </c>
      <c r="F469" s="64">
        <v>12</v>
      </c>
      <c r="G469" s="64" t="s">
        <v>165</v>
      </c>
      <c r="H469" s="64" t="s">
        <v>253</v>
      </c>
      <c r="I469" s="1">
        <v>2</v>
      </c>
      <c r="J469" s="1">
        <v>56</v>
      </c>
      <c r="K469" s="64" t="s">
        <v>834</v>
      </c>
      <c r="Q469" s="64" t="s">
        <v>555</v>
      </c>
      <c r="R469" s="64" t="s">
        <v>171</v>
      </c>
      <c r="S469" s="64" t="s">
        <v>234</v>
      </c>
      <c r="T469" s="64" t="s">
        <v>169</v>
      </c>
      <c r="U469" s="64" t="s">
        <v>377</v>
      </c>
      <c r="V469" s="64" t="s">
        <v>162</v>
      </c>
      <c r="W469" s="64" t="s">
        <v>161</v>
      </c>
      <c r="X469" s="64" t="s">
        <v>165</v>
      </c>
      <c r="Y469" s="64">
        <v>12</v>
      </c>
      <c r="Z469" s="64" t="s">
        <v>253</v>
      </c>
      <c r="AA469" s="64" t="s">
        <v>240</v>
      </c>
      <c r="AB469" s="64" t="s">
        <v>240</v>
      </c>
      <c r="AC469" s="64" t="s">
        <v>691</v>
      </c>
      <c r="AD469" s="64" t="s">
        <v>283</v>
      </c>
      <c r="AE469" s="64" t="s">
        <v>165</v>
      </c>
      <c r="AF469" s="64" t="s">
        <v>240</v>
      </c>
      <c r="AG469" s="1">
        <v>56</v>
      </c>
      <c r="AH469" s="1">
        <v>50</v>
      </c>
      <c r="AI469" s="1">
        <v>51</v>
      </c>
      <c r="AJ469" s="1">
        <v>2</v>
      </c>
      <c r="AK469" s="1">
        <v>4</v>
      </c>
      <c r="AL469" s="1">
        <v>3</v>
      </c>
      <c r="AM469" s="64" t="s">
        <v>677</v>
      </c>
    </row>
    <row r="470" spans="1:39" s="68" customFormat="1">
      <c r="A470" s="65">
        <v>1</v>
      </c>
      <c r="B470" s="64" t="s">
        <v>169</v>
      </c>
      <c r="C470" s="64" t="s">
        <v>387</v>
      </c>
      <c r="D470" s="64" t="s">
        <v>388</v>
      </c>
      <c r="E470" s="64" t="s">
        <v>161</v>
      </c>
      <c r="F470" s="64">
        <v>12</v>
      </c>
      <c r="G470" s="64" t="s">
        <v>165</v>
      </c>
      <c r="H470" s="64" t="s">
        <v>253</v>
      </c>
      <c r="I470" s="1">
        <v>2</v>
      </c>
      <c r="J470" s="1">
        <v>65</v>
      </c>
      <c r="K470" s="64" t="s">
        <v>835</v>
      </c>
      <c r="Q470" s="64" t="s">
        <v>555</v>
      </c>
      <c r="R470" s="64" t="s">
        <v>169</v>
      </c>
      <c r="S470" s="64" t="s">
        <v>243</v>
      </c>
      <c r="T470" s="64" t="s">
        <v>244</v>
      </c>
      <c r="U470" s="64" t="s">
        <v>387</v>
      </c>
      <c r="V470" s="64" t="s">
        <v>388</v>
      </c>
      <c r="W470" s="64" t="s">
        <v>161</v>
      </c>
      <c r="X470" s="64" t="s">
        <v>165</v>
      </c>
      <c r="Y470" s="64">
        <v>12</v>
      </c>
      <c r="Z470" s="64" t="s">
        <v>253</v>
      </c>
      <c r="AA470" s="64" t="s">
        <v>264</v>
      </c>
      <c r="AB470" s="64" t="s">
        <v>264</v>
      </c>
      <c r="AC470" s="64" t="s">
        <v>691</v>
      </c>
      <c r="AD470" s="64" t="s">
        <v>283</v>
      </c>
      <c r="AE470" s="64" t="s">
        <v>165</v>
      </c>
      <c r="AF470" s="64" t="s">
        <v>240</v>
      </c>
      <c r="AG470" s="1">
        <v>65</v>
      </c>
      <c r="AH470" s="1">
        <v>57</v>
      </c>
      <c r="AI470" s="1">
        <v>58</v>
      </c>
      <c r="AJ470" s="1">
        <v>2</v>
      </c>
      <c r="AK470" s="1">
        <v>4</v>
      </c>
      <c r="AL470" s="1">
        <v>3</v>
      </c>
      <c r="AM470" s="64" t="s">
        <v>680</v>
      </c>
    </row>
    <row r="471" spans="1:39" s="68" customFormat="1">
      <c r="A471" s="65">
        <v>1</v>
      </c>
      <c r="B471" s="64" t="s">
        <v>244</v>
      </c>
      <c r="C471" s="64" t="s">
        <v>270</v>
      </c>
      <c r="D471" s="64" t="s">
        <v>245</v>
      </c>
      <c r="E471" s="64" t="s">
        <v>167</v>
      </c>
      <c r="F471" s="64">
        <v>16</v>
      </c>
      <c r="G471" s="64" t="s">
        <v>165</v>
      </c>
      <c r="H471" s="64" t="s">
        <v>167</v>
      </c>
      <c r="I471" s="1">
        <v>2</v>
      </c>
      <c r="J471" s="1">
        <v>76</v>
      </c>
      <c r="K471" s="64" t="s">
        <v>836</v>
      </c>
      <c r="Q471" s="64" t="s">
        <v>555</v>
      </c>
      <c r="R471" s="64" t="s">
        <v>244</v>
      </c>
      <c r="S471" s="64" t="s">
        <v>250</v>
      </c>
      <c r="T471" s="64" t="s">
        <v>251</v>
      </c>
      <c r="U471" s="64" t="s">
        <v>270</v>
      </c>
      <c r="V471" s="64" t="s">
        <v>245</v>
      </c>
      <c r="W471" s="64" t="s">
        <v>167</v>
      </c>
      <c r="X471" s="64" t="s">
        <v>165</v>
      </c>
      <c r="Y471" s="64">
        <v>16</v>
      </c>
      <c r="Z471" s="64" t="s">
        <v>167</v>
      </c>
      <c r="AA471" s="64" t="s">
        <v>29</v>
      </c>
      <c r="AB471" s="64" t="s">
        <v>29</v>
      </c>
      <c r="AC471" s="64" t="s">
        <v>694</v>
      </c>
      <c r="AD471" s="64" t="s">
        <v>283</v>
      </c>
      <c r="AE471" s="64" t="s">
        <v>258</v>
      </c>
      <c r="AF471" s="64" t="s">
        <v>433</v>
      </c>
      <c r="AG471" s="1">
        <v>76</v>
      </c>
      <c r="AH471" s="1">
        <v>65</v>
      </c>
      <c r="AI471" s="1">
        <v>66</v>
      </c>
      <c r="AJ471" s="1">
        <v>2</v>
      </c>
      <c r="AK471" s="1">
        <v>4</v>
      </c>
      <c r="AL471" s="1">
        <v>3</v>
      </c>
      <c r="AM471" s="64" t="s">
        <v>682</v>
      </c>
    </row>
    <row r="472" spans="1:39" s="68" customFormat="1">
      <c r="A472" s="65">
        <v>1</v>
      </c>
      <c r="B472" s="64" t="s">
        <v>240</v>
      </c>
      <c r="C472" s="64" t="s">
        <v>288</v>
      </c>
      <c r="D472" s="64" t="s">
        <v>271</v>
      </c>
      <c r="E472" s="64" t="s">
        <v>167</v>
      </c>
      <c r="F472" s="64">
        <v>16</v>
      </c>
      <c r="G472" s="64" t="s">
        <v>165</v>
      </c>
      <c r="H472" s="64" t="s">
        <v>167</v>
      </c>
      <c r="I472" s="1">
        <v>2</v>
      </c>
      <c r="J472" s="1">
        <v>84</v>
      </c>
      <c r="K472" s="64" t="s">
        <v>837</v>
      </c>
      <c r="Q472" s="64" t="s">
        <v>555</v>
      </c>
      <c r="R472" s="64" t="s">
        <v>240</v>
      </c>
      <c r="S472" s="64" t="s">
        <v>260</v>
      </c>
      <c r="T472" s="64" t="s">
        <v>261</v>
      </c>
      <c r="U472" s="64" t="s">
        <v>288</v>
      </c>
      <c r="V472" s="64" t="s">
        <v>271</v>
      </c>
      <c r="W472" s="64" t="s">
        <v>167</v>
      </c>
      <c r="X472" s="64" t="s">
        <v>165</v>
      </c>
      <c r="Y472" s="64">
        <v>16</v>
      </c>
      <c r="Z472" s="64" t="s">
        <v>167</v>
      </c>
      <c r="AA472" s="64" t="s">
        <v>619</v>
      </c>
      <c r="AB472" s="64" t="s">
        <v>619</v>
      </c>
      <c r="AC472" s="64" t="s">
        <v>694</v>
      </c>
      <c r="AD472" s="64" t="s">
        <v>614</v>
      </c>
      <c r="AE472" s="64" t="s">
        <v>258</v>
      </c>
      <c r="AF472" s="64" t="s">
        <v>261</v>
      </c>
      <c r="AG472" s="1">
        <v>84</v>
      </c>
      <c r="AH472" s="1">
        <v>75</v>
      </c>
      <c r="AI472" s="1">
        <v>76</v>
      </c>
      <c r="AJ472" s="1">
        <v>2</v>
      </c>
      <c r="AK472" s="1">
        <v>4</v>
      </c>
      <c r="AL472" s="1">
        <v>3</v>
      </c>
      <c r="AM472" s="64" t="s">
        <v>684</v>
      </c>
    </row>
    <row r="473" spans="1:39" s="68" customFormat="1">
      <c r="A473" s="65">
        <v>1</v>
      </c>
      <c r="B473" s="64" t="s">
        <v>163</v>
      </c>
      <c r="C473" s="64" t="s">
        <v>416</v>
      </c>
      <c r="D473" s="64" t="s">
        <v>301</v>
      </c>
      <c r="E473" s="64" t="s">
        <v>167</v>
      </c>
      <c r="F473" s="64">
        <v>16</v>
      </c>
      <c r="G473" s="64" t="s">
        <v>165</v>
      </c>
      <c r="H473" s="64" t="s">
        <v>171</v>
      </c>
      <c r="I473" s="1">
        <v>2</v>
      </c>
      <c r="J473" s="1">
        <v>99</v>
      </c>
      <c r="K473" s="64" t="s">
        <v>691</v>
      </c>
      <c r="Q473" s="64" t="s">
        <v>555</v>
      </c>
      <c r="R473" s="64" t="s">
        <v>163</v>
      </c>
      <c r="S473" s="64" t="s">
        <v>268</v>
      </c>
      <c r="T473" s="64" t="s">
        <v>269</v>
      </c>
      <c r="U473" s="64" t="s">
        <v>416</v>
      </c>
      <c r="V473" s="64" t="s">
        <v>301</v>
      </c>
      <c r="W473" s="64" t="s">
        <v>167</v>
      </c>
      <c r="X473" s="64" t="s">
        <v>165</v>
      </c>
      <c r="Y473" s="64">
        <v>16</v>
      </c>
      <c r="Z473" s="64" t="s">
        <v>171</v>
      </c>
      <c r="AA473" s="64" t="s">
        <v>685</v>
      </c>
      <c r="AB473" s="64" t="s">
        <v>685</v>
      </c>
      <c r="AC473" s="64" t="s">
        <v>165</v>
      </c>
      <c r="AD473" s="64" t="s">
        <v>306</v>
      </c>
      <c r="AE473" s="64" t="s">
        <v>258</v>
      </c>
      <c r="AF473" s="64" t="s">
        <v>454</v>
      </c>
      <c r="AG473" s="1">
        <v>99</v>
      </c>
      <c r="AH473" s="1">
        <v>87</v>
      </c>
      <c r="AI473" s="1">
        <v>88</v>
      </c>
      <c r="AJ473" s="1">
        <v>2</v>
      </c>
      <c r="AK473" s="1">
        <v>4</v>
      </c>
      <c r="AL473" s="1">
        <v>3</v>
      </c>
      <c r="AM473" s="64" t="s">
        <v>687</v>
      </c>
    </row>
    <row r="474" spans="1:39" s="68" customFormat="1">
      <c r="A474" s="65">
        <v>1</v>
      </c>
      <c r="B474" s="64" t="s">
        <v>236</v>
      </c>
      <c r="C474" s="64" t="s">
        <v>319</v>
      </c>
      <c r="D474" s="64" t="s">
        <v>426</v>
      </c>
      <c r="E474" s="64" t="s">
        <v>167</v>
      </c>
      <c r="F474" s="64">
        <v>16</v>
      </c>
      <c r="G474" s="64" t="s">
        <v>165</v>
      </c>
      <c r="H474" s="64" t="s">
        <v>171</v>
      </c>
      <c r="I474" s="1">
        <v>2</v>
      </c>
      <c r="J474" s="1">
        <v>118</v>
      </c>
      <c r="K474" s="64" t="s">
        <v>300</v>
      </c>
      <c r="Q474" s="64" t="s">
        <v>555</v>
      </c>
      <c r="R474" s="64" t="s">
        <v>236</v>
      </c>
      <c r="S474" s="64" t="s">
        <v>277</v>
      </c>
      <c r="T474" s="64" t="s">
        <v>278</v>
      </c>
      <c r="U474" s="64" t="s">
        <v>319</v>
      </c>
      <c r="V474" s="64" t="s">
        <v>426</v>
      </c>
      <c r="W474" s="64" t="s">
        <v>167</v>
      </c>
      <c r="X474" s="64" t="s">
        <v>306</v>
      </c>
      <c r="Y474" s="64">
        <v>16</v>
      </c>
      <c r="Z474" s="64" t="s">
        <v>229</v>
      </c>
      <c r="AA474" s="64" t="s">
        <v>561</v>
      </c>
      <c r="AB474" s="64" t="s">
        <v>561</v>
      </c>
      <c r="AC474" s="64" t="s">
        <v>258</v>
      </c>
      <c r="AD474" s="64" t="s">
        <v>224</v>
      </c>
      <c r="AE474" s="64" t="s">
        <v>283</v>
      </c>
      <c r="AF474" s="64" t="s">
        <v>389</v>
      </c>
      <c r="AG474" s="1">
        <v>118</v>
      </c>
      <c r="AH474" s="1">
        <v>109</v>
      </c>
      <c r="AI474" s="1">
        <v>110</v>
      </c>
      <c r="AJ474" s="1">
        <v>2</v>
      </c>
      <c r="AK474" s="1">
        <v>4</v>
      </c>
      <c r="AL474" s="1">
        <v>3</v>
      </c>
      <c r="AM474" s="64" t="s">
        <v>838</v>
      </c>
    </row>
    <row r="475" spans="1:39" s="68" customFormat="1">
      <c r="A475" s="65">
        <v>1</v>
      </c>
      <c r="B475" s="64" t="s">
        <v>227</v>
      </c>
      <c r="C475" s="64" t="s">
        <v>305</v>
      </c>
      <c r="D475" s="64" t="s">
        <v>279</v>
      </c>
      <c r="E475" s="64" t="s">
        <v>167</v>
      </c>
      <c r="F475" s="64">
        <v>16</v>
      </c>
      <c r="G475" s="64" t="s">
        <v>306</v>
      </c>
      <c r="H475" s="64" t="s">
        <v>171</v>
      </c>
      <c r="I475" s="1">
        <v>2</v>
      </c>
      <c r="J475" s="1">
        <v>132</v>
      </c>
      <c r="K475" s="64" t="s">
        <v>839</v>
      </c>
      <c r="Q475" s="64" t="s">
        <v>555</v>
      </c>
      <c r="R475" s="64" t="s">
        <v>227</v>
      </c>
      <c r="S475" s="64" t="s">
        <v>285</v>
      </c>
      <c r="T475" s="64" t="s">
        <v>286</v>
      </c>
      <c r="U475" s="64" t="s">
        <v>305</v>
      </c>
      <c r="V475" s="64" t="s">
        <v>279</v>
      </c>
      <c r="W475" s="64" t="s">
        <v>167</v>
      </c>
      <c r="X475" s="64" t="s">
        <v>306</v>
      </c>
      <c r="Y475" s="64">
        <v>16</v>
      </c>
      <c r="Z475" s="64" t="s">
        <v>241</v>
      </c>
      <c r="AA475" s="64" t="s">
        <v>271</v>
      </c>
      <c r="AB475" s="64" t="s">
        <v>271</v>
      </c>
      <c r="AC475" s="64" t="s">
        <v>840</v>
      </c>
      <c r="AD475" s="64" t="s">
        <v>166</v>
      </c>
      <c r="AE475" s="64" t="s">
        <v>283</v>
      </c>
      <c r="AF475" s="64" t="s">
        <v>489</v>
      </c>
      <c r="AG475" s="1">
        <v>132</v>
      </c>
      <c r="AH475" s="1">
        <v>120</v>
      </c>
      <c r="AI475" s="1">
        <v>121</v>
      </c>
      <c r="AJ475" s="1">
        <v>2</v>
      </c>
      <c r="AK475" s="1">
        <v>4</v>
      </c>
      <c r="AL475" s="1">
        <v>3</v>
      </c>
      <c r="AM475" s="64" t="s">
        <v>841</v>
      </c>
    </row>
    <row r="476" spans="1:39" s="68" customFormat="1">
      <c r="A476" s="65">
        <v>1</v>
      </c>
      <c r="B476" s="64" t="s">
        <v>245</v>
      </c>
      <c r="C476" s="64" t="s">
        <v>446</v>
      </c>
      <c r="D476" s="64" t="s">
        <v>447</v>
      </c>
      <c r="E476" s="64" t="s">
        <v>167</v>
      </c>
      <c r="F476" s="64">
        <v>16</v>
      </c>
      <c r="G476" s="64" t="s">
        <v>306</v>
      </c>
      <c r="H476" s="64" t="s">
        <v>229</v>
      </c>
      <c r="I476" s="1">
        <v>2</v>
      </c>
      <c r="J476" s="1">
        <v>156</v>
      </c>
      <c r="K476" s="64" t="s">
        <v>842</v>
      </c>
      <c r="Q476" s="64" t="s">
        <v>555</v>
      </c>
      <c r="R476" s="64" t="s">
        <v>245</v>
      </c>
      <c r="S476" s="64" t="s">
        <v>294</v>
      </c>
      <c r="T476" s="64" t="s">
        <v>295</v>
      </c>
      <c r="U476" s="64" t="s">
        <v>572</v>
      </c>
      <c r="V476" s="64" t="s">
        <v>287</v>
      </c>
      <c r="W476" s="64" t="s">
        <v>229</v>
      </c>
      <c r="X476" s="64" t="s">
        <v>306</v>
      </c>
      <c r="Y476" s="64">
        <v>20</v>
      </c>
      <c r="Z476" s="64" t="s">
        <v>241</v>
      </c>
      <c r="AA476" s="64" t="s">
        <v>843</v>
      </c>
      <c r="AB476" s="64" t="s">
        <v>843</v>
      </c>
      <c r="AC476" s="64" t="s">
        <v>705</v>
      </c>
      <c r="AD476" s="64" t="s">
        <v>166</v>
      </c>
      <c r="AE476" s="64" t="s">
        <v>283</v>
      </c>
      <c r="AF476" s="64" t="s">
        <v>236</v>
      </c>
      <c r="AG476" s="1">
        <v>156</v>
      </c>
      <c r="AH476" s="1">
        <v>149</v>
      </c>
      <c r="AI476" s="1">
        <v>150</v>
      </c>
      <c r="AJ476" s="1">
        <v>2</v>
      </c>
      <c r="AK476" s="1">
        <v>4.5</v>
      </c>
      <c r="AL476" s="1">
        <v>3.5</v>
      </c>
      <c r="AM476" s="64" t="s">
        <v>459</v>
      </c>
    </row>
    <row r="477" spans="1:39" s="68" customFormat="1">
      <c r="A477" s="65">
        <v>1</v>
      </c>
      <c r="B477" s="64" t="s">
        <v>301</v>
      </c>
      <c r="C477" s="64" t="s">
        <v>329</v>
      </c>
      <c r="D477" s="64" t="s">
        <v>296</v>
      </c>
      <c r="E477" s="64" t="s">
        <v>167</v>
      </c>
      <c r="F477" s="64">
        <v>16</v>
      </c>
      <c r="G477" s="64" t="s">
        <v>306</v>
      </c>
      <c r="H477" s="64" t="s">
        <v>229</v>
      </c>
      <c r="I477" s="1">
        <v>2</v>
      </c>
      <c r="J477" s="1">
        <v>184</v>
      </c>
      <c r="K477" s="64" t="s">
        <v>844</v>
      </c>
      <c r="Q477" s="64" t="s">
        <v>555</v>
      </c>
      <c r="R477" s="64" t="s">
        <v>301</v>
      </c>
      <c r="S477" s="64" t="s">
        <v>302</v>
      </c>
      <c r="T477" s="64" t="s">
        <v>303</v>
      </c>
      <c r="U477" s="64" t="s">
        <v>575</v>
      </c>
      <c r="V477" s="64" t="s">
        <v>446</v>
      </c>
      <c r="W477" s="64" t="s">
        <v>238</v>
      </c>
      <c r="X477" s="64" t="s">
        <v>306</v>
      </c>
      <c r="Y477" s="64">
        <v>24</v>
      </c>
      <c r="Z477" s="64" t="s">
        <v>238</v>
      </c>
      <c r="AA477" s="64" t="s">
        <v>845</v>
      </c>
      <c r="AB477" s="64" t="s">
        <v>845</v>
      </c>
      <c r="AC477" s="64" t="s">
        <v>705</v>
      </c>
      <c r="AD477" s="64" t="s">
        <v>166</v>
      </c>
      <c r="AE477" s="64" t="s">
        <v>283</v>
      </c>
      <c r="AF477" s="64" t="s">
        <v>538</v>
      </c>
      <c r="AG477" s="1">
        <v>184</v>
      </c>
      <c r="AH477" s="1">
        <v>175</v>
      </c>
      <c r="AI477" s="1">
        <v>176</v>
      </c>
      <c r="AJ477" s="1">
        <v>2</v>
      </c>
      <c r="AK477" s="1">
        <v>4.5</v>
      </c>
      <c r="AL477" s="1">
        <v>3.5</v>
      </c>
      <c r="AM477" s="64" t="s">
        <v>846</v>
      </c>
    </row>
    <row r="478" spans="1:39" s="68" customFormat="1">
      <c r="A478" s="65">
        <v>1</v>
      </c>
      <c r="B478" s="64" t="s">
        <v>288</v>
      </c>
      <c r="C478" s="64" t="s">
        <v>469</v>
      </c>
      <c r="D478" s="64" t="s">
        <v>304</v>
      </c>
      <c r="E478" s="64" t="s">
        <v>229</v>
      </c>
      <c r="F478" s="64">
        <v>20</v>
      </c>
      <c r="G478" s="64" t="s">
        <v>306</v>
      </c>
      <c r="H478" s="64" t="s">
        <v>241</v>
      </c>
      <c r="I478" s="1">
        <v>2</v>
      </c>
      <c r="J478" s="1">
        <v>211</v>
      </c>
      <c r="K478" s="64" t="s">
        <v>847</v>
      </c>
      <c r="Q478" s="64" t="s">
        <v>555</v>
      </c>
      <c r="R478" s="64" t="s">
        <v>288</v>
      </c>
      <c r="S478" s="64" t="s">
        <v>312</v>
      </c>
      <c r="T478" s="64" t="s">
        <v>313</v>
      </c>
      <c r="U478" s="64" t="s">
        <v>338</v>
      </c>
      <c r="V478" s="64" t="s">
        <v>329</v>
      </c>
      <c r="W478" s="64" t="s">
        <v>238</v>
      </c>
      <c r="X478" s="64" t="s">
        <v>306</v>
      </c>
      <c r="Y478" s="64">
        <v>24</v>
      </c>
      <c r="Z478" s="64" t="s">
        <v>275</v>
      </c>
      <c r="AA478" s="64" t="s">
        <v>287</v>
      </c>
      <c r="AB478" s="64" t="s">
        <v>287</v>
      </c>
      <c r="AC478" s="64" t="s">
        <v>705</v>
      </c>
      <c r="AD478" s="64" t="s">
        <v>166</v>
      </c>
      <c r="AE478" s="64" t="s">
        <v>306</v>
      </c>
      <c r="AF478" s="64" t="s">
        <v>162</v>
      </c>
      <c r="AG478" s="1">
        <v>211</v>
      </c>
      <c r="AH478" s="1">
        <v>203</v>
      </c>
      <c r="AI478" s="1">
        <v>204</v>
      </c>
      <c r="AJ478" s="1">
        <v>2</v>
      </c>
      <c r="AK478" s="1">
        <v>4.5</v>
      </c>
      <c r="AL478" s="1">
        <v>3.5</v>
      </c>
      <c r="AM478" s="64" t="s">
        <v>848</v>
      </c>
    </row>
    <row r="479" spans="1:39" s="68" customFormat="1">
      <c r="A479" s="65">
        <v>1</v>
      </c>
      <c r="B479" s="64" t="s">
        <v>305</v>
      </c>
      <c r="C479" s="64" t="s">
        <v>481</v>
      </c>
      <c r="D479" s="64" t="s">
        <v>336</v>
      </c>
      <c r="E479" s="64" t="s">
        <v>229</v>
      </c>
      <c r="F479" s="64">
        <v>20</v>
      </c>
      <c r="G479" s="64" t="s">
        <v>306</v>
      </c>
      <c r="H479" s="64" t="s">
        <v>241</v>
      </c>
      <c r="I479" s="1">
        <v>2</v>
      </c>
      <c r="J479" s="1">
        <v>266</v>
      </c>
      <c r="K479" s="64" t="s">
        <v>849</v>
      </c>
      <c r="Q479" s="64" t="s">
        <v>555</v>
      </c>
      <c r="R479" s="64" t="s">
        <v>305</v>
      </c>
      <c r="S479" s="64" t="s">
        <v>321</v>
      </c>
      <c r="T479" s="64" t="s">
        <v>322</v>
      </c>
      <c r="U479" s="64" t="s">
        <v>580</v>
      </c>
      <c r="V479" s="64" t="s">
        <v>581</v>
      </c>
      <c r="W479" s="64" t="s">
        <v>238</v>
      </c>
      <c r="X479" s="64" t="s">
        <v>166</v>
      </c>
      <c r="Y479" s="64">
        <v>24</v>
      </c>
      <c r="Z479" s="64" t="s">
        <v>232</v>
      </c>
      <c r="AA479" s="64" t="s">
        <v>850</v>
      </c>
      <c r="AB479" s="64" t="s">
        <v>850</v>
      </c>
      <c r="AC479" s="64" t="s">
        <v>705</v>
      </c>
      <c r="AD479" s="64" t="s">
        <v>253</v>
      </c>
      <c r="AE479" s="64" t="s">
        <v>306</v>
      </c>
      <c r="AF479" s="64" t="s">
        <v>227</v>
      </c>
      <c r="AG479" s="1">
        <v>266</v>
      </c>
      <c r="AH479" s="1">
        <v>259</v>
      </c>
      <c r="AI479" s="1">
        <v>260</v>
      </c>
      <c r="AJ479" s="1">
        <v>2</v>
      </c>
      <c r="AK479" s="1">
        <v>4.5</v>
      </c>
      <c r="AL479" s="1">
        <v>3.5</v>
      </c>
      <c r="AM479" s="64" t="s">
        <v>851</v>
      </c>
    </row>
    <row r="480" spans="1:39" s="68" customFormat="1">
      <c r="A480" s="65">
        <v>1</v>
      </c>
      <c r="B480" s="64" t="s">
        <v>329</v>
      </c>
      <c r="C480" s="64" t="s">
        <v>342</v>
      </c>
      <c r="D480" s="64" t="s">
        <v>348</v>
      </c>
      <c r="E480" s="64" t="s">
        <v>229</v>
      </c>
      <c r="F480" s="64">
        <v>20</v>
      </c>
      <c r="G480" s="64" t="s">
        <v>166</v>
      </c>
      <c r="H480" s="64" t="s">
        <v>238</v>
      </c>
      <c r="I480" s="1">
        <v>2</v>
      </c>
      <c r="J480" s="1">
        <v>319</v>
      </c>
      <c r="K480" s="64" t="s">
        <v>852</v>
      </c>
      <c r="Q480" s="64" t="s">
        <v>555</v>
      </c>
      <c r="R480" s="64" t="s">
        <v>329</v>
      </c>
      <c r="S480" s="64" t="s">
        <v>330</v>
      </c>
      <c r="T480" s="64" t="s">
        <v>330</v>
      </c>
      <c r="U480" s="64" t="s">
        <v>585</v>
      </c>
      <c r="V480" s="64" t="s">
        <v>586</v>
      </c>
      <c r="W480" s="64" t="s">
        <v>232</v>
      </c>
      <c r="X480" s="64" t="s">
        <v>166</v>
      </c>
      <c r="Y480" s="64">
        <v>27</v>
      </c>
      <c r="Z480" s="64" t="s">
        <v>244</v>
      </c>
      <c r="AA480" s="64" t="s">
        <v>853</v>
      </c>
      <c r="AB480" s="64" t="s">
        <v>853</v>
      </c>
      <c r="AC480" s="64" t="s">
        <v>705</v>
      </c>
      <c r="AD480" s="64" t="s">
        <v>167</v>
      </c>
      <c r="AE480" s="64" t="s">
        <v>224</v>
      </c>
      <c r="AF480" s="64" t="s">
        <v>854</v>
      </c>
      <c r="AG480" s="1">
        <v>330</v>
      </c>
      <c r="AH480" s="1">
        <v>312</v>
      </c>
      <c r="AI480" s="1">
        <v>313</v>
      </c>
      <c r="AJ480" s="1">
        <v>2</v>
      </c>
      <c r="AK480" s="1">
        <v>4.5</v>
      </c>
      <c r="AL480" s="1">
        <v>3.5</v>
      </c>
      <c r="AM480" s="64" t="s">
        <v>606</v>
      </c>
    </row>
    <row r="481" spans="1:39" s="68" customFormat="1">
      <c r="A481" s="65">
        <v>1</v>
      </c>
      <c r="B481" s="64" t="s">
        <v>338</v>
      </c>
      <c r="C481" s="64" t="s">
        <v>352</v>
      </c>
      <c r="D481" s="64" t="s">
        <v>358</v>
      </c>
      <c r="E481" s="64" t="s">
        <v>229</v>
      </c>
      <c r="F481" s="64">
        <v>20</v>
      </c>
      <c r="G481" s="64" t="s">
        <v>166</v>
      </c>
      <c r="H481" s="64" t="s">
        <v>238</v>
      </c>
      <c r="I481" s="1">
        <v>2</v>
      </c>
      <c r="J481" s="1">
        <v>370</v>
      </c>
      <c r="K481" s="64" t="s">
        <v>855</v>
      </c>
      <c r="Q481" s="64" t="s">
        <v>555</v>
      </c>
      <c r="R481" s="64" t="s">
        <v>338</v>
      </c>
      <c r="S481" s="64" t="s">
        <v>339</v>
      </c>
      <c r="T481" s="64" t="s">
        <v>340</v>
      </c>
      <c r="U481" s="64" t="s">
        <v>375</v>
      </c>
      <c r="V481" s="64" t="s">
        <v>364</v>
      </c>
      <c r="W481" s="64" t="s">
        <v>232</v>
      </c>
      <c r="X481" s="64" t="s">
        <v>253</v>
      </c>
      <c r="Y481" s="64">
        <v>27</v>
      </c>
      <c r="Z481" s="64" t="s">
        <v>292</v>
      </c>
      <c r="AA481" s="64" t="s">
        <v>348</v>
      </c>
      <c r="AB481" s="64" t="s">
        <v>348</v>
      </c>
      <c r="AC481" s="64" t="s">
        <v>711</v>
      </c>
      <c r="AD481" s="64" t="s">
        <v>167</v>
      </c>
      <c r="AE481" s="64" t="s">
        <v>224</v>
      </c>
      <c r="AF481" s="64" t="s">
        <v>561</v>
      </c>
      <c r="AG481" s="1">
        <v>389</v>
      </c>
      <c r="AH481" s="1">
        <v>363</v>
      </c>
      <c r="AI481" s="1">
        <v>364</v>
      </c>
      <c r="AJ481" s="1">
        <v>2</v>
      </c>
      <c r="AK481" s="1">
        <v>4.5</v>
      </c>
      <c r="AL481" s="1">
        <v>3.5</v>
      </c>
      <c r="AM481" s="64" t="s">
        <v>856</v>
      </c>
    </row>
    <row r="482" spans="1:39" s="68" customFormat="1">
      <c r="A482" s="65">
        <v>1</v>
      </c>
      <c r="B482" s="64" t="s">
        <v>348</v>
      </c>
      <c r="C482" s="64" t="s">
        <v>496</v>
      </c>
      <c r="D482" s="64" t="s">
        <v>497</v>
      </c>
      <c r="E482" s="64" t="s">
        <v>229</v>
      </c>
      <c r="F482" s="64">
        <v>20</v>
      </c>
      <c r="G482" s="64" t="s">
        <v>253</v>
      </c>
      <c r="H482" s="64" t="s">
        <v>238</v>
      </c>
      <c r="I482" s="1">
        <v>2</v>
      </c>
      <c r="J482" s="1">
        <v>429</v>
      </c>
      <c r="K482" s="64" t="s">
        <v>857</v>
      </c>
      <c r="Q482" s="64" t="s">
        <v>555</v>
      </c>
      <c r="R482" s="64" t="s">
        <v>348</v>
      </c>
      <c r="S482" s="64" t="s">
        <v>349</v>
      </c>
      <c r="T482" s="64" t="s">
        <v>350</v>
      </c>
      <c r="U482" s="64" t="s">
        <v>592</v>
      </c>
      <c r="V482" s="64" t="s">
        <v>351</v>
      </c>
      <c r="W482" s="64" t="s">
        <v>247</v>
      </c>
      <c r="X482" s="64" t="s">
        <v>253</v>
      </c>
      <c r="Y482" s="64">
        <v>30</v>
      </c>
      <c r="Z482" s="64" t="s">
        <v>251</v>
      </c>
      <c r="AA482" s="64" t="s">
        <v>858</v>
      </c>
      <c r="AB482" s="64" t="s">
        <v>859</v>
      </c>
      <c r="AC482" s="64" t="s">
        <v>306</v>
      </c>
      <c r="AD482" s="64" t="s">
        <v>171</v>
      </c>
      <c r="AE482" s="64" t="s">
        <v>224</v>
      </c>
      <c r="AF482" s="64" t="s">
        <v>245</v>
      </c>
      <c r="AG482" s="1">
        <v>448</v>
      </c>
      <c r="AH482" s="1">
        <v>421</v>
      </c>
      <c r="AI482" s="1">
        <v>422</v>
      </c>
      <c r="AJ482" s="1">
        <v>2</v>
      </c>
      <c r="AK482" s="1">
        <v>5</v>
      </c>
      <c r="AL482" s="1">
        <v>4</v>
      </c>
      <c r="AM482" s="64" t="s">
        <v>860</v>
      </c>
    </row>
    <row r="483" spans="1:39" s="68" customFormat="1">
      <c r="A483" s="65">
        <v>1</v>
      </c>
      <c r="B483" s="64" t="s">
        <v>358</v>
      </c>
      <c r="C483" s="64" t="s">
        <v>500</v>
      </c>
      <c r="D483" s="64" t="s">
        <v>501</v>
      </c>
      <c r="E483" s="64" t="s">
        <v>238</v>
      </c>
      <c r="F483" s="64">
        <v>24</v>
      </c>
      <c r="G483" s="64" t="s">
        <v>253</v>
      </c>
      <c r="H483" s="64" t="s">
        <v>238</v>
      </c>
      <c r="I483" s="1">
        <v>2</v>
      </c>
      <c r="J483" s="1">
        <v>480</v>
      </c>
      <c r="K483" s="64" t="s">
        <v>861</v>
      </c>
      <c r="Q483" s="64" t="s">
        <v>555</v>
      </c>
      <c r="R483" s="64" t="s">
        <v>358</v>
      </c>
      <c r="S483" s="64" t="s">
        <v>359</v>
      </c>
      <c r="T483" s="64" t="s">
        <v>360</v>
      </c>
      <c r="U483" s="64" t="s">
        <v>511</v>
      </c>
      <c r="V483" s="64" t="s">
        <v>373</v>
      </c>
      <c r="W483" s="64" t="s">
        <v>395</v>
      </c>
      <c r="X483" s="64" t="s">
        <v>253</v>
      </c>
      <c r="Y483" s="64">
        <v>33</v>
      </c>
      <c r="Z483" s="64" t="s">
        <v>240</v>
      </c>
      <c r="AA483" s="64" t="s">
        <v>862</v>
      </c>
      <c r="AB483" s="64" t="s">
        <v>595</v>
      </c>
      <c r="AC483" s="64" t="s">
        <v>718</v>
      </c>
      <c r="AD483" s="64" t="s">
        <v>171</v>
      </c>
      <c r="AE483" s="64" t="s">
        <v>224</v>
      </c>
      <c r="AF483" s="64" t="s">
        <v>271</v>
      </c>
      <c r="AG483" s="1">
        <v>503</v>
      </c>
      <c r="AH483" s="1">
        <v>273</v>
      </c>
      <c r="AI483" s="1">
        <v>474</v>
      </c>
      <c r="AJ483" s="1">
        <v>2</v>
      </c>
      <c r="AK483" s="1">
        <v>5</v>
      </c>
      <c r="AL483" s="1">
        <v>4</v>
      </c>
      <c r="AM483" s="64" t="s">
        <v>863</v>
      </c>
    </row>
    <row r="484" spans="1:39" s="68" customFormat="1">
      <c r="A484" s="65">
        <v>1</v>
      </c>
      <c r="B484" s="64" t="s">
        <v>369</v>
      </c>
      <c r="C484" s="64" t="s">
        <v>505</v>
      </c>
      <c r="D484" s="64" t="s">
        <v>500</v>
      </c>
      <c r="E484" s="64" t="s">
        <v>238</v>
      </c>
      <c r="F484" s="64">
        <v>24</v>
      </c>
      <c r="G484" s="64" t="s">
        <v>171</v>
      </c>
      <c r="H484" s="64" t="s">
        <v>275</v>
      </c>
      <c r="I484" s="1">
        <v>2</v>
      </c>
      <c r="J484" s="1">
        <v>530</v>
      </c>
      <c r="K484" s="64" t="s">
        <v>864</v>
      </c>
      <c r="Q484" s="64" t="s">
        <v>555</v>
      </c>
      <c r="R484" s="64" t="s">
        <v>369</v>
      </c>
      <c r="S484" s="64" t="s">
        <v>370</v>
      </c>
      <c r="T484" s="64" t="s">
        <v>371</v>
      </c>
      <c r="U484" s="64" t="s">
        <v>510</v>
      </c>
      <c r="V484" s="64" t="s">
        <v>383</v>
      </c>
      <c r="W484" s="64" t="s">
        <v>395</v>
      </c>
      <c r="X484" s="64" t="s">
        <v>171</v>
      </c>
      <c r="Y484" s="64">
        <v>33</v>
      </c>
      <c r="Z484" s="64" t="s">
        <v>433</v>
      </c>
      <c r="AA484" s="64" t="s">
        <v>379</v>
      </c>
      <c r="AB484" s="64" t="s">
        <v>635</v>
      </c>
      <c r="AC484" s="64" t="s">
        <v>224</v>
      </c>
      <c r="AD484" s="64" t="s">
        <v>171</v>
      </c>
      <c r="AE484" s="64" t="s">
        <v>166</v>
      </c>
      <c r="AF484" s="64" t="s">
        <v>271</v>
      </c>
      <c r="AG484" s="1">
        <v>548</v>
      </c>
      <c r="AH484" s="1">
        <v>523</v>
      </c>
      <c r="AI484" s="1">
        <v>524</v>
      </c>
      <c r="AJ484" s="1">
        <v>2</v>
      </c>
      <c r="AK484" s="1">
        <v>5</v>
      </c>
      <c r="AL484" s="1">
        <v>4</v>
      </c>
      <c r="AM484" s="64" t="s">
        <v>865</v>
      </c>
    </row>
    <row r="485" spans="1:39" s="68" customFormat="1">
      <c r="A485" s="65">
        <v>1</v>
      </c>
      <c r="B485" s="64" t="s">
        <v>379</v>
      </c>
      <c r="C485" s="64" t="s">
        <v>510</v>
      </c>
      <c r="D485" s="64" t="s">
        <v>511</v>
      </c>
      <c r="E485" s="64" t="s">
        <v>238</v>
      </c>
      <c r="F485" s="64">
        <v>24</v>
      </c>
      <c r="G485" s="64" t="s">
        <v>171</v>
      </c>
      <c r="H485" s="64" t="s">
        <v>275</v>
      </c>
      <c r="I485" s="1">
        <v>2</v>
      </c>
      <c r="J485" s="1">
        <v>582</v>
      </c>
      <c r="K485" s="64" t="s">
        <v>866</v>
      </c>
      <c r="Q485" s="64" t="s">
        <v>555</v>
      </c>
      <c r="R485" s="64" t="s">
        <v>379</v>
      </c>
      <c r="S485" s="64" t="s">
        <v>380</v>
      </c>
      <c r="T485" s="64" t="s">
        <v>381</v>
      </c>
      <c r="U485" s="64" t="s">
        <v>602</v>
      </c>
      <c r="V485" s="64" t="s">
        <v>603</v>
      </c>
      <c r="W485" s="64" t="s">
        <v>395</v>
      </c>
      <c r="X485" s="64" t="s">
        <v>171</v>
      </c>
      <c r="Y485" s="64">
        <v>33</v>
      </c>
      <c r="Z485" s="64" t="s">
        <v>310</v>
      </c>
      <c r="AA485" s="64" t="s">
        <v>867</v>
      </c>
      <c r="AB485" s="64" t="s">
        <v>533</v>
      </c>
      <c r="AC485" s="64" t="s">
        <v>164</v>
      </c>
      <c r="AD485" s="64" t="s">
        <v>171</v>
      </c>
      <c r="AE485" s="64" t="s">
        <v>166</v>
      </c>
      <c r="AF485" s="64" t="s">
        <v>301</v>
      </c>
      <c r="AG485" s="1">
        <v>609</v>
      </c>
      <c r="AH485" s="1">
        <v>575</v>
      </c>
      <c r="AI485" s="1">
        <v>576</v>
      </c>
      <c r="AJ485" s="1">
        <v>2</v>
      </c>
      <c r="AK485" s="1">
        <v>5</v>
      </c>
      <c r="AL485" s="1">
        <v>4</v>
      </c>
      <c r="AM485" s="64" t="s">
        <v>868</v>
      </c>
    </row>
    <row r="486" spans="1:39" s="68" customFormat="1">
      <c r="A486" s="65">
        <v>1</v>
      </c>
      <c r="B486" s="64" t="s">
        <v>383</v>
      </c>
      <c r="C486" s="64" t="s">
        <v>516</v>
      </c>
      <c r="D486" s="64" t="s">
        <v>517</v>
      </c>
      <c r="E486" s="64" t="s">
        <v>232</v>
      </c>
      <c r="F486" s="64">
        <v>27</v>
      </c>
      <c r="G486" s="64" t="s">
        <v>171</v>
      </c>
      <c r="H486" s="64" t="s">
        <v>292</v>
      </c>
      <c r="I486" s="1">
        <v>2</v>
      </c>
      <c r="J486" s="1">
        <v>682</v>
      </c>
      <c r="K486" s="64" t="s">
        <v>869</v>
      </c>
      <c r="Q486" s="64" t="s">
        <v>555</v>
      </c>
      <c r="R486" s="64" t="s">
        <v>383</v>
      </c>
      <c r="S486" s="64" t="s">
        <v>391</v>
      </c>
      <c r="T486" s="64" t="s">
        <v>392</v>
      </c>
      <c r="U486" s="64" t="s">
        <v>607</v>
      </c>
      <c r="V486" s="64" t="s">
        <v>549</v>
      </c>
      <c r="W486" s="64" t="s">
        <v>255</v>
      </c>
      <c r="X486" s="64" t="s">
        <v>171</v>
      </c>
      <c r="Y486" s="64">
        <v>36</v>
      </c>
      <c r="Z486" s="64" t="s">
        <v>264</v>
      </c>
      <c r="AA486" s="64" t="s">
        <v>603</v>
      </c>
      <c r="AB486" s="64" t="s">
        <v>870</v>
      </c>
      <c r="AC486" s="64" t="s">
        <v>727</v>
      </c>
      <c r="AD486" s="64" t="s">
        <v>171</v>
      </c>
      <c r="AE486" s="64" t="s">
        <v>166</v>
      </c>
      <c r="AF486" s="64" t="s">
        <v>301</v>
      </c>
      <c r="AG486" s="1">
        <v>720</v>
      </c>
      <c r="AH486" s="1">
        <v>675</v>
      </c>
      <c r="AI486" s="1">
        <v>676</v>
      </c>
      <c r="AJ486" s="1">
        <v>2</v>
      </c>
      <c r="AK486" s="1">
        <v>5</v>
      </c>
      <c r="AL486" s="1">
        <v>4</v>
      </c>
      <c r="AM486" s="64" t="s">
        <v>871</v>
      </c>
    </row>
    <row r="487" spans="1:39" s="68" customFormat="1">
      <c r="A487" s="65">
        <v>1</v>
      </c>
      <c r="B487" s="64" t="s">
        <v>399</v>
      </c>
      <c r="C487" s="64" t="s">
        <v>730</v>
      </c>
      <c r="D487" s="64" t="s">
        <v>548</v>
      </c>
      <c r="E487" s="64" t="s">
        <v>232</v>
      </c>
      <c r="F487" s="64">
        <v>27</v>
      </c>
      <c r="G487" s="64" t="s">
        <v>241</v>
      </c>
      <c r="H487" s="64" t="s">
        <v>251</v>
      </c>
      <c r="I487" s="1">
        <v>5</v>
      </c>
      <c r="J487" s="64">
        <v>794</v>
      </c>
      <c r="K487" s="64" t="s">
        <v>872</v>
      </c>
      <c r="Q487" s="64" t="s">
        <v>555</v>
      </c>
      <c r="R487" s="64" t="s">
        <v>399</v>
      </c>
      <c r="S487" s="64" t="s">
        <v>400</v>
      </c>
      <c r="T487" s="64" t="s">
        <v>401</v>
      </c>
      <c r="U487" s="64" t="s">
        <v>873</v>
      </c>
      <c r="V487" s="64" t="s">
        <v>874</v>
      </c>
      <c r="W487" s="64" t="s">
        <v>433</v>
      </c>
      <c r="X487" s="64" t="s">
        <v>241</v>
      </c>
      <c r="Y487" s="64">
        <v>39</v>
      </c>
      <c r="Z487" s="64" t="s">
        <v>264</v>
      </c>
      <c r="AA487" s="64" t="s">
        <v>875</v>
      </c>
      <c r="AB487" s="64" t="s">
        <v>876</v>
      </c>
      <c r="AC487" s="64" t="s">
        <v>659</v>
      </c>
      <c r="AD487" s="64" t="s">
        <v>171</v>
      </c>
      <c r="AE487" s="64" t="s">
        <v>166</v>
      </c>
      <c r="AF487" s="64" t="s">
        <v>301</v>
      </c>
      <c r="AG487" s="1"/>
      <c r="AH487" s="1"/>
      <c r="AI487" s="1"/>
      <c r="AJ487" s="1"/>
      <c r="AK487" s="1"/>
      <c r="AL487" s="1"/>
      <c r="AM487" s="64" t="s">
        <v>877</v>
      </c>
    </row>
    <row r="488" spans="1:39" s="68" customFormat="1">
      <c r="A488" s="65">
        <v>1</v>
      </c>
      <c r="B488" s="64" t="s">
        <v>408</v>
      </c>
      <c r="C488" s="64" t="s">
        <v>734</v>
      </c>
      <c r="D488" s="64" t="s">
        <v>735</v>
      </c>
      <c r="E488" s="64" t="s">
        <v>247</v>
      </c>
      <c r="F488" s="64">
        <v>30</v>
      </c>
      <c r="G488" s="64" t="s">
        <v>241</v>
      </c>
      <c r="H488" s="64" t="s">
        <v>433</v>
      </c>
      <c r="I488" s="1">
        <v>5</v>
      </c>
      <c r="J488" s="64">
        <v>901</v>
      </c>
      <c r="K488" s="64" t="s">
        <v>878</v>
      </c>
      <c r="Q488" s="64" t="s">
        <v>555</v>
      </c>
      <c r="R488" s="64" t="s">
        <v>408</v>
      </c>
      <c r="S488" s="64" t="s">
        <v>409</v>
      </c>
      <c r="T488" s="64" t="s">
        <v>410</v>
      </c>
      <c r="U488" s="64" t="s">
        <v>879</v>
      </c>
      <c r="V488" s="64" t="s">
        <v>880</v>
      </c>
      <c r="W488" s="64" t="s">
        <v>454</v>
      </c>
      <c r="X488" s="64" t="s">
        <v>241</v>
      </c>
      <c r="Y488" s="64">
        <v>45</v>
      </c>
      <c r="Z488" s="64" t="s">
        <v>163</v>
      </c>
      <c r="AA488" s="64" t="s">
        <v>881</v>
      </c>
      <c r="AB488" s="64" t="s">
        <v>882</v>
      </c>
      <c r="AC488" s="64" t="s">
        <v>253</v>
      </c>
      <c r="AD488" s="64" t="s">
        <v>229</v>
      </c>
      <c r="AE488" s="64" t="s">
        <v>166</v>
      </c>
      <c r="AF488" s="64" t="s">
        <v>308</v>
      </c>
      <c r="AG488" s="1"/>
      <c r="AH488" s="1"/>
      <c r="AI488" s="1"/>
      <c r="AJ488" s="1"/>
      <c r="AK488" s="1"/>
      <c r="AL488" s="1"/>
      <c r="AM488" s="64" t="s">
        <v>883</v>
      </c>
    </row>
    <row r="489" spans="1:39" s="68" customFormat="1">
      <c r="A489" s="65">
        <v>1</v>
      </c>
      <c r="B489" s="64" t="s">
        <v>419</v>
      </c>
      <c r="C489" s="64" t="s">
        <v>740</v>
      </c>
      <c r="D489" s="64" t="s">
        <v>741</v>
      </c>
      <c r="E489" s="64" t="s">
        <v>247</v>
      </c>
      <c r="F489" s="64">
        <v>30</v>
      </c>
      <c r="G489" s="64" t="s">
        <v>275</v>
      </c>
      <c r="H489" s="64" t="s">
        <v>264</v>
      </c>
      <c r="I489" s="1">
        <v>5</v>
      </c>
      <c r="J489" s="64">
        <v>1001</v>
      </c>
      <c r="K489" s="64" t="s">
        <v>884</v>
      </c>
      <c r="Q489" s="64" t="s">
        <v>555</v>
      </c>
      <c r="R489" s="64" t="s">
        <v>419</v>
      </c>
      <c r="S489" s="64" t="s">
        <v>420</v>
      </c>
      <c r="T489" s="64" t="s">
        <v>412</v>
      </c>
      <c r="U489" s="64" t="s">
        <v>885</v>
      </c>
      <c r="V489" s="64" t="s">
        <v>886</v>
      </c>
      <c r="W489" s="64" t="s">
        <v>454</v>
      </c>
      <c r="X489" s="64" t="s">
        <v>275</v>
      </c>
      <c r="Y489" s="64">
        <v>45</v>
      </c>
      <c r="Z489" s="64" t="s">
        <v>477</v>
      </c>
      <c r="AA489" s="64" t="s">
        <v>887</v>
      </c>
      <c r="AB489" s="64" t="s">
        <v>888</v>
      </c>
      <c r="AC489" s="64" t="s">
        <v>824</v>
      </c>
      <c r="AD489" s="64" t="s">
        <v>241</v>
      </c>
      <c r="AE489" s="64" t="s">
        <v>166</v>
      </c>
      <c r="AF489" s="64" t="s">
        <v>426</v>
      </c>
      <c r="AG489" s="1"/>
      <c r="AH489" s="1"/>
      <c r="AI489" s="1"/>
      <c r="AJ489" s="1"/>
      <c r="AK489" s="1"/>
      <c r="AL489" s="1"/>
      <c r="AM489" s="64" t="s">
        <v>889</v>
      </c>
    </row>
    <row r="490" spans="1:39" s="68" customFormat="1">
      <c r="A490" s="65">
        <v>1</v>
      </c>
      <c r="B490" s="64" t="s">
        <v>429</v>
      </c>
      <c r="C490" s="64" t="s">
        <v>746</v>
      </c>
      <c r="D490" s="64" t="s">
        <v>747</v>
      </c>
      <c r="E490" s="64" t="s">
        <v>395</v>
      </c>
      <c r="F490" s="64">
        <v>33</v>
      </c>
      <c r="G490" s="64" t="s">
        <v>275</v>
      </c>
      <c r="H490" s="64" t="s">
        <v>389</v>
      </c>
      <c r="I490" s="1">
        <v>5</v>
      </c>
      <c r="J490" s="64">
        <v>1112</v>
      </c>
      <c r="K490" s="64" t="s">
        <v>890</v>
      </c>
      <c r="Q490" s="64" t="s">
        <v>555</v>
      </c>
      <c r="R490" s="64" t="s">
        <v>429</v>
      </c>
      <c r="S490" s="64" t="s">
        <v>430</v>
      </c>
      <c r="T490" s="64" t="s">
        <v>422</v>
      </c>
      <c r="U490" s="64" t="s">
        <v>442</v>
      </c>
      <c r="V490" s="64" t="s">
        <v>891</v>
      </c>
      <c r="W490" s="64" t="s">
        <v>228</v>
      </c>
      <c r="X490" s="64" t="s">
        <v>275</v>
      </c>
      <c r="Y490" s="64">
        <v>52</v>
      </c>
      <c r="Z490" s="64" t="s">
        <v>489</v>
      </c>
      <c r="AA490" s="64" t="s">
        <v>892</v>
      </c>
      <c r="AB490" s="64" t="s">
        <v>893</v>
      </c>
      <c r="AC490" s="64" t="s">
        <v>171</v>
      </c>
      <c r="AD490" s="64" t="s">
        <v>241</v>
      </c>
      <c r="AE490" s="64" t="s">
        <v>166</v>
      </c>
      <c r="AF490" s="64" t="s">
        <v>894</v>
      </c>
      <c r="AG490" s="1"/>
      <c r="AH490" s="1"/>
      <c r="AI490" s="1"/>
      <c r="AJ490" s="1"/>
      <c r="AK490" s="1"/>
      <c r="AL490" s="1"/>
      <c r="AM490" s="64" t="s">
        <v>895</v>
      </c>
    </row>
    <row r="491" spans="1:39" s="68" customFormat="1">
      <c r="A491" s="65">
        <v>1</v>
      </c>
      <c r="B491" s="64" t="s">
        <v>438</v>
      </c>
      <c r="C491" s="64" t="s">
        <v>751</v>
      </c>
      <c r="D491" s="64" t="s">
        <v>752</v>
      </c>
      <c r="E491" s="64" t="s">
        <v>255</v>
      </c>
      <c r="F491" s="64">
        <v>36</v>
      </c>
      <c r="G491" s="64" t="s">
        <v>244</v>
      </c>
      <c r="H491" s="64" t="s">
        <v>257</v>
      </c>
      <c r="I491" s="1">
        <v>5</v>
      </c>
      <c r="J491" s="64">
        <v>1328</v>
      </c>
      <c r="K491" s="64" t="s">
        <v>896</v>
      </c>
      <c r="Q491" s="64" t="s">
        <v>612</v>
      </c>
      <c r="R491" s="64" t="s">
        <v>224</v>
      </c>
      <c r="S491" s="64" t="s">
        <v>160</v>
      </c>
      <c r="T491" s="64" t="s">
        <v>161</v>
      </c>
      <c r="U491" s="64" t="s">
        <v>235</v>
      </c>
      <c r="V491" s="64" t="s">
        <v>257</v>
      </c>
      <c r="W491" s="64" t="s">
        <v>161</v>
      </c>
      <c r="X491" s="64" t="s">
        <v>165</v>
      </c>
      <c r="Y491" s="64">
        <v>12</v>
      </c>
      <c r="Z491" s="64" t="s">
        <v>161</v>
      </c>
      <c r="AA491" s="64" t="s">
        <v>275</v>
      </c>
      <c r="AB491" s="64" t="s">
        <v>275</v>
      </c>
      <c r="AC491" s="64" t="s">
        <v>676</v>
      </c>
      <c r="AD491" s="64" t="s">
        <v>283</v>
      </c>
      <c r="AE491" s="64" t="s">
        <v>170</v>
      </c>
      <c r="AF491" s="64" t="s">
        <v>367</v>
      </c>
      <c r="AG491" s="64">
        <v>41</v>
      </c>
      <c r="AH491" s="1">
        <v>34</v>
      </c>
      <c r="AI491" s="1">
        <v>35</v>
      </c>
      <c r="AJ491" s="1">
        <v>2</v>
      </c>
      <c r="AK491" s="1">
        <v>4</v>
      </c>
      <c r="AL491" s="1">
        <v>3</v>
      </c>
      <c r="AM491" s="64" t="s">
        <v>242</v>
      </c>
    </row>
    <row r="492" spans="1:39" s="68" customFormat="1">
      <c r="A492" s="64">
        <v>1.6</v>
      </c>
      <c r="B492" s="64" t="s">
        <v>224</v>
      </c>
      <c r="C492" s="64" t="s">
        <v>235</v>
      </c>
      <c r="D492" s="64" t="s">
        <v>257</v>
      </c>
      <c r="E492" s="64" t="s">
        <v>161</v>
      </c>
      <c r="F492" s="64">
        <v>12</v>
      </c>
      <c r="G492" s="64" t="s">
        <v>165</v>
      </c>
      <c r="H492" s="64" t="s">
        <v>161</v>
      </c>
      <c r="I492" s="1">
        <v>2</v>
      </c>
      <c r="J492" s="1">
        <v>41</v>
      </c>
      <c r="K492" s="64" t="s">
        <v>832</v>
      </c>
      <c r="Q492" s="64" t="s">
        <v>612</v>
      </c>
      <c r="R492" s="64" t="s">
        <v>168</v>
      </c>
      <c r="S492" s="64" t="s">
        <v>226</v>
      </c>
      <c r="T492" s="64" t="s">
        <v>167</v>
      </c>
      <c r="U492" s="64" t="s">
        <v>366</v>
      </c>
      <c r="V492" s="64" t="s">
        <v>236</v>
      </c>
      <c r="W492" s="64" t="s">
        <v>161</v>
      </c>
      <c r="X492" s="64" t="s">
        <v>165</v>
      </c>
      <c r="Y492" s="64">
        <v>12</v>
      </c>
      <c r="Z492" s="64" t="s">
        <v>161</v>
      </c>
      <c r="AA492" s="64" t="s">
        <v>244</v>
      </c>
      <c r="AB492" s="64" t="s">
        <v>244</v>
      </c>
      <c r="AC492" s="64" t="s">
        <v>691</v>
      </c>
      <c r="AD492" s="64" t="s">
        <v>283</v>
      </c>
      <c r="AE492" s="64" t="s">
        <v>170</v>
      </c>
      <c r="AF492" s="64" t="s">
        <v>251</v>
      </c>
      <c r="AG492" s="64">
        <v>16</v>
      </c>
      <c r="AH492" s="1">
        <v>39</v>
      </c>
      <c r="AI492" s="1">
        <v>40</v>
      </c>
      <c r="AJ492" s="1">
        <v>2</v>
      </c>
      <c r="AK492" s="1">
        <v>4</v>
      </c>
      <c r="AL492" s="1">
        <v>3</v>
      </c>
      <c r="AM492" s="64" t="s">
        <v>675</v>
      </c>
    </row>
    <row r="493" spans="1:39" s="68" customFormat="1">
      <c r="A493" s="64">
        <v>1.6</v>
      </c>
      <c r="B493" s="64" t="s">
        <v>168</v>
      </c>
      <c r="C493" s="64" t="s">
        <v>366</v>
      </c>
      <c r="D493" s="64" t="s">
        <v>236</v>
      </c>
      <c r="E493" s="64" t="s">
        <v>161</v>
      </c>
      <c r="F493" s="64">
        <v>12</v>
      </c>
      <c r="G493" s="64" t="s">
        <v>165</v>
      </c>
      <c r="H493" s="64" t="s">
        <v>161</v>
      </c>
      <c r="I493" s="1">
        <v>2</v>
      </c>
      <c r="J493" s="1">
        <v>46</v>
      </c>
      <c r="K493" s="64" t="s">
        <v>833</v>
      </c>
      <c r="Q493" s="64" t="s">
        <v>612</v>
      </c>
      <c r="R493" s="64" t="s">
        <v>171</v>
      </c>
      <c r="S493" s="64" t="s">
        <v>234</v>
      </c>
      <c r="T493" s="64" t="s">
        <v>169</v>
      </c>
      <c r="U493" s="64" t="s">
        <v>377</v>
      </c>
      <c r="V493" s="64" t="s">
        <v>162</v>
      </c>
      <c r="W493" s="64" t="s">
        <v>161</v>
      </c>
      <c r="X493" s="64" t="s">
        <v>165</v>
      </c>
      <c r="Y493" s="64">
        <v>12</v>
      </c>
      <c r="Z493" s="64" t="s">
        <v>253</v>
      </c>
      <c r="AA493" s="64" t="s">
        <v>240</v>
      </c>
      <c r="AB493" s="64" t="s">
        <v>240</v>
      </c>
      <c r="AC493" s="64" t="s">
        <v>691</v>
      </c>
      <c r="AD493" s="64" t="s">
        <v>283</v>
      </c>
      <c r="AE493" s="64" t="s">
        <v>165</v>
      </c>
      <c r="AF493" s="64" t="s">
        <v>240</v>
      </c>
      <c r="AG493" s="64">
        <v>56</v>
      </c>
      <c r="AH493" s="1">
        <v>50</v>
      </c>
      <c r="AI493" s="1">
        <v>51</v>
      </c>
      <c r="AJ493" s="1">
        <v>2</v>
      </c>
      <c r="AK493" s="1">
        <v>4</v>
      </c>
      <c r="AL493" s="1">
        <v>3</v>
      </c>
      <c r="AM493" s="64" t="s">
        <v>677</v>
      </c>
    </row>
    <row r="494" spans="1:39" s="68" customFormat="1">
      <c r="A494" s="64">
        <v>1.6</v>
      </c>
      <c r="B494" s="64" t="s">
        <v>171</v>
      </c>
      <c r="C494" s="64" t="s">
        <v>377</v>
      </c>
      <c r="D494" s="64" t="s">
        <v>162</v>
      </c>
      <c r="E494" s="64" t="s">
        <v>161</v>
      </c>
      <c r="F494" s="64">
        <v>12</v>
      </c>
      <c r="G494" s="64" t="s">
        <v>165</v>
      </c>
      <c r="H494" s="64" t="s">
        <v>253</v>
      </c>
      <c r="I494" s="1">
        <v>2</v>
      </c>
      <c r="J494" s="1">
        <v>56</v>
      </c>
      <c r="K494" s="64" t="s">
        <v>834</v>
      </c>
      <c r="Q494" s="64" t="s">
        <v>612</v>
      </c>
      <c r="R494" s="64" t="s">
        <v>169</v>
      </c>
      <c r="S494" s="64" t="s">
        <v>243</v>
      </c>
      <c r="T494" s="64" t="s">
        <v>244</v>
      </c>
      <c r="U494" s="64" t="s">
        <v>387</v>
      </c>
      <c r="V494" s="64" t="s">
        <v>388</v>
      </c>
      <c r="W494" s="64" t="s">
        <v>161</v>
      </c>
      <c r="X494" s="64" t="s">
        <v>165</v>
      </c>
      <c r="Y494" s="64">
        <v>12</v>
      </c>
      <c r="Z494" s="64" t="s">
        <v>253</v>
      </c>
      <c r="AA494" s="64" t="s">
        <v>264</v>
      </c>
      <c r="AB494" s="64" t="s">
        <v>264</v>
      </c>
      <c r="AC494" s="64" t="s">
        <v>691</v>
      </c>
      <c r="AD494" s="64" t="s">
        <v>283</v>
      </c>
      <c r="AE494" s="64" t="s">
        <v>165</v>
      </c>
      <c r="AF494" s="64" t="s">
        <v>240</v>
      </c>
      <c r="AG494" s="64">
        <v>65</v>
      </c>
      <c r="AH494" s="1">
        <v>57</v>
      </c>
      <c r="AI494" s="1">
        <v>58</v>
      </c>
      <c r="AJ494" s="1">
        <v>2</v>
      </c>
      <c r="AK494" s="1">
        <v>4</v>
      </c>
      <c r="AL494" s="1">
        <v>3</v>
      </c>
      <c r="AM494" s="64" t="s">
        <v>680</v>
      </c>
    </row>
    <row r="495" spans="1:39" s="68" customFormat="1">
      <c r="A495" s="64">
        <v>1.6</v>
      </c>
      <c r="B495" s="64" t="s">
        <v>169</v>
      </c>
      <c r="C495" s="64" t="s">
        <v>387</v>
      </c>
      <c r="D495" s="64" t="s">
        <v>388</v>
      </c>
      <c r="E495" s="64" t="s">
        <v>161</v>
      </c>
      <c r="F495" s="64">
        <v>12</v>
      </c>
      <c r="G495" s="64" t="s">
        <v>165</v>
      </c>
      <c r="H495" s="64" t="s">
        <v>253</v>
      </c>
      <c r="I495" s="1">
        <v>2</v>
      </c>
      <c r="J495" s="1">
        <v>65</v>
      </c>
      <c r="K495" s="64" t="s">
        <v>835</v>
      </c>
      <c r="Q495" s="64" t="s">
        <v>612</v>
      </c>
      <c r="R495" s="64" t="s">
        <v>244</v>
      </c>
      <c r="S495" s="64" t="s">
        <v>250</v>
      </c>
      <c r="T495" s="64" t="s">
        <v>251</v>
      </c>
      <c r="U495" s="64" t="s">
        <v>270</v>
      </c>
      <c r="V495" s="64" t="s">
        <v>245</v>
      </c>
      <c r="W495" s="64" t="s">
        <v>167</v>
      </c>
      <c r="X495" s="64" t="s">
        <v>165</v>
      </c>
      <c r="Y495" s="64">
        <v>16</v>
      </c>
      <c r="Z495" s="64" t="s">
        <v>167</v>
      </c>
      <c r="AA495" s="64" t="s">
        <v>29</v>
      </c>
      <c r="AB495" s="64" t="s">
        <v>29</v>
      </c>
      <c r="AC495" s="64" t="s">
        <v>694</v>
      </c>
      <c r="AD495" s="64" t="s">
        <v>283</v>
      </c>
      <c r="AE495" s="64" t="s">
        <v>258</v>
      </c>
      <c r="AF495" s="64" t="s">
        <v>433</v>
      </c>
      <c r="AG495" s="64">
        <v>76</v>
      </c>
      <c r="AH495" s="1">
        <v>65</v>
      </c>
      <c r="AI495" s="1">
        <v>66</v>
      </c>
      <c r="AJ495" s="1">
        <v>2</v>
      </c>
      <c r="AK495" s="1">
        <v>4</v>
      </c>
      <c r="AL495" s="1">
        <v>3</v>
      </c>
      <c r="AM495" s="64" t="s">
        <v>682</v>
      </c>
    </row>
    <row r="496" spans="1:39" s="68" customFormat="1">
      <c r="A496" s="64">
        <v>1.6</v>
      </c>
      <c r="B496" s="64" t="s">
        <v>244</v>
      </c>
      <c r="C496" s="64" t="s">
        <v>270</v>
      </c>
      <c r="D496" s="64" t="s">
        <v>245</v>
      </c>
      <c r="E496" s="64" t="s">
        <v>167</v>
      </c>
      <c r="F496" s="64">
        <v>16</v>
      </c>
      <c r="G496" s="64" t="s">
        <v>165</v>
      </c>
      <c r="H496" s="64" t="s">
        <v>167</v>
      </c>
      <c r="I496" s="1">
        <v>2</v>
      </c>
      <c r="J496" s="1">
        <v>76</v>
      </c>
      <c r="K496" s="64" t="s">
        <v>836</v>
      </c>
      <c r="Q496" s="64" t="s">
        <v>612</v>
      </c>
      <c r="R496" s="64" t="s">
        <v>240</v>
      </c>
      <c r="S496" s="64" t="s">
        <v>260</v>
      </c>
      <c r="T496" s="64" t="s">
        <v>261</v>
      </c>
      <c r="U496" s="64" t="s">
        <v>288</v>
      </c>
      <c r="V496" s="64" t="s">
        <v>271</v>
      </c>
      <c r="W496" s="64" t="s">
        <v>167</v>
      </c>
      <c r="X496" s="64" t="s">
        <v>165</v>
      </c>
      <c r="Y496" s="64">
        <v>16</v>
      </c>
      <c r="Z496" s="64" t="s">
        <v>167</v>
      </c>
      <c r="AA496" s="64" t="s">
        <v>619</v>
      </c>
      <c r="AB496" s="64" t="s">
        <v>619</v>
      </c>
      <c r="AC496" s="64" t="s">
        <v>694</v>
      </c>
      <c r="AD496" s="64" t="s">
        <v>614</v>
      </c>
      <c r="AE496" s="64" t="s">
        <v>258</v>
      </c>
      <c r="AF496" s="64" t="s">
        <v>261</v>
      </c>
      <c r="AG496" s="64">
        <v>84</v>
      </c>
      <c r="AH496" s="1">
        <v>75</v>
      </c>
      <c r="AI496" s="1">
        <v>76</v>
      </c>
      <c r="AJ496" s="1">
        <v>2</v>
      </c>
      <c r="AK496" s="1">
        <v>4</v>
      </c>
      <c r="AL496" s="1">
        <v>3</v>
      </c>
      <c r="AM496" s="64" t="s">
        <v>684</v>
      </c>
    </row>
    <row r="497" spans="1:39" s="68" customFormat="1">
      <c r="A497" s="64">
        <v>1.6</v>
      </c>
      <c r="B497" s="64" t="s">
        <v>240</v>
      </c>
      <c r="C497" s="64" t="s">
        <v>288</v>
      </c>
      <c r="D497" s="64" t="s">
        <v>271</v>
      </c>
      <c r="E497" s="64" t="s">
        <v>167</v>
      </c>
      <c r="F497" s="64">
        <v>16</v>
      </c>
      <c r="G497" s="64" t="s">
        <v>165</v>
      </c>
      <c r="H497" s="64" t="s">
        <v>167</v>
      </c>
      <c r="I497" s="1">
        <v>2</v>
      </c>
      <c r="J497" s="1">
        <v>84</v>
      </c>
      <c r="K497" s="64" t="s">
        <v>837</v>
      </c>
      <c r="Q497" s="64" t="s">
        <v>612</v>
      </c>
      <c r="R497" s="64" t="s">
        <v>163</v>
      </c>
      <c r="S497" s="64" t="s">
        <v>268</v>
      </c>
      <c r="T497" s="64" t="s">
        <v>269</v>
      </c>
      <c r="U497" s="64" t="s">
        <v>416</v>
      </c>
      <c r="V497" s="64" t="s">
        <v>301</v>
      </c>
      <c r="W497" s="64" t="s">
        <v>167</v>
      </c>
      <c r="X497" s="64" t="s">
        <v>165</v>
      </c>
      <c r="Y497" s="64">
        <v>16</v>
      </c>
      <c r="Z497" s="64" t="s">
        <v>171</v>
      </c>
      <c r="AA497" s="64" t="s">
        <v>685</v>
      </c>
      <c r="AB497" s="64" t="s">
        <v>685</v>
      </c>
      <c r="AC497" s="64" t="s">
        <v>165</v>
      </c>
      <c r="AD497" s="64" t="s">
        <v>306</v>
      </c>
      <c r="AE497" s="64" t="s">
        <v>258</v>
      </c>
      <c r="AF497" s="64" t="s">
        <v>454</v>
      </c>
      <c r="AG497" s="64">
        <v>99</v>
      </c>
      <c r="AH497" s="1">
        <v>87</v>
      </c>
      <c r="AI497" s="1">
        <v>88</v>
      </c>
      <c r="AJ497" s="1">
        <v>2</v>
      </c>
      <c r="AK497" s="1">
        <v>4</v>
      </c>
      <c r="AL497" s="1">
        <v>3</v>
      </c>
      <c r="AM497" s="64" t="s">
        <v>687</v>
      </c>
    </row>
    <row r="498" spans="1:39" s="68" customFormat="1">
      <c r="A498" s="64">
        <v>1.6</v>
      </c>
      <c r="B498" s="64" t="s">
        <v>163</v>
      </c>
      <c r="C498" s="64" t="s">
        <v>416</v>
      </c>
      <c r="D498" s="64" t="s">
        <v>301</v>
      </c>
      <c r="E498" s="64" t="s">
        <v>167</v>
      </c>
      <c r="F498" s="64">
        <v>16</v>
      </c>
      <c r="G498" s="64" t="s">
        <v>165</v>
      </c>
      <c r="H498" s="64" t="s">
        <v>171</v>
      </c>
      <c r="I498" s="1">
        <v>2</v>
      </c>
      <c r="J498" s="1">
        <v>99</v>
      </c>
      <c r="K498" s="64" t="s">
        <v>691</v>
      </c>
      <c r="Q498" s="64" t="s">
        <v>612</v>
      </c>
      <c r="R498" s="64" t="s">
        <v>236</v>
      </c>
      <c r="S498" s="64" t="s">
        <v>277</v>
      </c>
      <c r="T498" s="64" t="s">
        <v>278</v>
      </c>
      <c r="U498" s="64" t="s">
        <v>319</v>
      </c>
      <c r="V498" s="64" t="s">
        <v>426</v>
      </c>
      <c r="W498" s="64" t="s">
        <v>167</v>
      </c>
      <c r="X498" s="64" t="s">
        <v>306</v>
      </c>
      <c r="Y498" s="64">
        <v>16</v>
      </c>
      <c r="Z498" s="64" t="s">
        <v>229</v>
      </c>
      <c r="AA498" s="64" t="s">
        <v>561</v>
      </c>
      <c r="AB498" s="64" t="s">
        <v>561</v>
      </c>
      <c r="AC498" s="64" t="s">
        <v>258</v>
      </c>
      <c r="AD498" s="64" t="s">
        <v>224</v>
      </c>
      <c r="AE498" s="64" t="s">
        <v>283</v>
      </c>
      <c r="AF498" s="64" t="s">
        <v>389</v>
      </c>
      <c r="AG498" s="64">
        <v>118</v>
      </c>
      <c r="AH498" s="1">
        <v>109</v>
      </c>
      <c r="AI498" s="1">
        <v>110</v>
      </c>
      <c r="AJ498" s="1">
        <v>2</v>
      </c>
      <c r="AK498" s="1">
        <v>4</v>
      </c>
      <c r="AL498" s="1">
        <v>3</v>
      </c>
      <c r="AM498" s="64" t="s">
        <v>838</v>
      </c>
    </row>
    <row r="499" spans="1:39" s="68" customFormat="1">
      <c r="A499" s="64">
        <v>1.6</v>
      </c>
      <c r="B499" s="64" t="s">
        <v>236</v>
      </c>
      <c r="C499" s="64" t="s">
        <v>319</v>
      </c>
      <c r="D499" s="64" t="s">
        <v>426</v>
      </c>
      <c r="E499" s="64" t="s">
        <v>167</v>
      </c>
      <c r="F499" s="64">
        <v>16</v>
      </c>
      <c r="G499" s="64" t="s">
        <v>165</v>
      </c>
      <c r="H499" s="64" t="s">
        <v>171</v>
      </c>
      <c r="I499" s="1">
        <v>2</v>
      </c>
      <c r="J499" s="1">
        <v>118</v>
      </c>
      <c r="K499" s="64" t="s">
        <v>300</v>
      </c>
      <c r="Q499" s="64" t="s">
        <v>612</v>
      </c>
      <c r="R499" s="64" t="s">
        <v>227</v>
      </c>
      <c r="S499" s="64" t="s">
        <v>285</v>
      </c>
      <c r="T499" s="64" t="s">
        <v>286</v>
      </c>
      <c r="U499" s="64" t="s">
        <v>305</v>
      </c>
      <c r="V499" s="64" t="s">
        <v>279</v>
      </c>
      <c r="W499" s="64" t="s">
        <v>167</v>
      </c>
      <c r="X499" s="64" t="s">
        <v>306</v>
      </c>
      <c r="Y499" s="64">
        <v>16</v>
      </c>
      <c r="Z499" s="64" t="s">
        <v>241</v>
      </c>
      <c r="AA499" s="64" t="s">
        <v>271</v>
      </c>
      <c r="AB499" s="64" t="s">
        <v>271</v>
      </c>
      <c r="AC499" s="64" t="s">
        <v>840</v>
      </c>
      <c r="AD499" s="64" t="s">
        <v>166</v>
      </c>
      <c r="AE499" s="64" t="s">
        <v>283</v>
      </c>
      <c r="AF499" s="64" t="s">
        <v>489</v>
      </c>
      <c r="AG499" s="64">
        <v>132</v>
      </c>
      <c r="AH499" s="1">
        <v>120</v>
      </c>
      <c r="AI499" s="1">
        <v>121</v>
      </c>
      <c r="AJ499" s="1">
        <v>2</v>
      </c>
      <c r="AK499" s="1">
        <v>4</v>
      </c>
      <c r="AL499" s="1">
        <v>3</v>
      </c>
      <c r="AM499" s="64" t="s">
        <v>841</v>
      </c>
    </row>
    <row r="500" spans="1:39" s="68" customFormat="1">
      <c r="A500" s="64">
        <v>1.6</v>
      </c>
      <c r="B500" s="64" t="s">
        <v>227</v>
      </c>
      <c r="C500" s="64" t="s">
        <v>305</v>
      </c>
      <c r="D500" s="64" t="s">
        <v>279</v>
      </c>
      <c r="E500" s="64" t="s">
        <v>167</v>
      </c>
      <c r="F500" s="64">
        <v>16</v>
      </c>
      <c r="G500" s="64" t="s">
        <v>306</v>
      </c>
      <c r="H500" s="64" t="s">
        <v>171</v>
      </c>
      <c r="I500" s="1">
        <v>2</v>
      </c>
      <c r="J500" s="1">
        <v>132</v>
      </c>
      <c r="K500" s="64" t="s">
        <v>839</v>
      </c>
      <c r="Q500" s="64" t="s">
        <v>612</v>
      </c>
      <c r="R500" s="64" t="s">
        <v>245</v>
      </c>
      <c r="S500" s="64" t="s">
        <v>294</v>
      </c>
      <c r="T500" s="64" t="s">
        <v>295</v>
      </c>
      <c r="U500" s="64" t="s">
        <v>572</v>
      </c>
      <c r="V500" s="64" t="s">
        <v>287</v>
      </c>
      <c r="W500" s="64" t="s">
        <v>229</v>
      </c>
      <c r="X500" s="64" t="s">
        <v>306</v>
      </c>
      <c r="Y500" s="64">
        <v>20</v>
      </c>
      <c r="Z500" s="64" t="s">
        <v>241</v>
      </c>
      <c r="AA500" s="64" t="s">
        <v>843</v>
      </c>
      <c r="AB500" s="64" t="s">
        <v>843</v>
      </c>
      <c r="AC500" s="64" t="s">
        <v>705</v>
      </c>
      <c r="AD500" s="64" t="s">
        <v>166</v>
      </c>
      <c r="AE500" s="64" t="s">
        <v>283</v>
      </c>
      <c r="AF500" s="64" t="s">
        <v>236</v>
      </c>
      <c r="AG500" s="64">
        <v>156</v>
      </c>
      <c r="AH500" s="1">
        <v>149</v>
      </c>
      <c r="AI500" s="1">
        <v>150</v>
      </c>
      <c r="AJ500" s="1">
        <v>2</v>
      </c>
      <c r="AK500" s="1">
        <v>4.5</v>
      </c>
      <c r="AL500" s="1">
        <v>3.5</v>
      </c>
      <c r="AM500" s="64" t="s">
        <v>459</v>
      </c>
    </row>
    <row r="501" spans="1:39" s="68" customFormat="1">
      <c r="A501" s="64">
        <v>1.6</v>
      </c>
      <c r="B501" s="64" t="s">
        <v>245</v>
      </c>
      <c r="C501" s="64" t="s">
        <v>446</v>
      </c>
      <c r="D501" s="64" t="s">
        <v>447</v>
      </c>
      <c r="E501" s="64" t="s">
        <v>167</v>
      </c>
      <c r="F501" s="64">
        <v>16</v>
      </c>
      <c r="G501" s="64" t="s">
        <v>306</v>
      </c>
      <c r="H501" s="64" t="s">
        <v>229</v>
      </c>
      <c r="I501" s="1">
        <v>2</v>
      </c>
      <c r="J501" s="1">
        <v>156</v>
      </c>
      <c r="K501" s="64" t="s">
        <v>842</v>
      </c>
      <c r="Q501" s="64" t="s">
        <v>612</v>
      </c>
      <c r="R501" s="64" t="s">
        <v>301</v>
      </c>
      <c r="S501" s="64" t="s">
        <v>302</v>
      </c>
      <c r="T501" s="64" t="s">
        <v>303</v>
      </c>
      <c r="U501" s="64" t="s">
        <v>575</v>
      </c>
      <c r="V501" s="64" t="s">
        <v>446</v>
      </c>
      <c r="W501" s="64" t="s">
        <v>238</v>
      </c>
      <c r="X501" s="64" t="s">
        <v>306</v>
      </c>
      <c r="Y501" s="64">
        <v>24</v>
      </c>
      <c r="Z501" s="64" t="s">
        <v>238</v>
      </c>
      <c r="AA501" s="64" t="s">
        <v>845</v>
      </c>
      <c r="AB501" s="64" t="s">
        <v>845</v>
      </c>
      <c r="AC501" s="64" t="s">
        <v>705</v>
      </c>
      <c r="AD501" s="64" t="s">
        <v>166</v>
      </c>
      <c r="AE501" s="64" t="s">
        <v>283</v>
      </c>
      <c r="AF501" s="64" t="s">
        <v>538</v>
      </c>
      <c r="AG501" s="64">
        <v>184</v>
      </c>
      <c r="AH501" s="1">
        <v>175</v>
      </c>
      <c r="AI501" s="1">
        <v>176</v>
      </c>
      <c r="AJ501" s="1">
        <v>2</v>
      </c>
      <c r="AK501" s="1">
        <v>4.5</v>
      </c>
      <c r="AL501" s="1">
        <v>3.5</v>
      </c>
      <c r="AM501" s="64" t="s">
        <v>846</v>
      </c>
    </row>
    <row r="502" spans="1:39" s="68" customFormat="1">
      <c r="A502" s="64">
        <v>1.6</v>
      </c>
      <c r="B502" s="64" t="s">
        <v>301</v>
      </c>
      <c r="C502" s="64" t="s">
        <v>329</v>
      </c>
      <c r="D502" s="64" t="s">
        <v>296</v>
      </c>
      <c r="E502" s="64" t="s">
        <v>167</v>
      </c>
      <c r="F502" s="64">
        <v>16</v>
      </c>
      <c r="G502" s="64" t="s">
        <v>306</v>
      </c>
      <c r="H502" s="64" t="s">
        <v>229</v>
      </c>
      <c r="I502" s="1">
        <v>2</v>
      </c>
      <c r="J502" s="1">
        <v>184</v>
      </c>
      <c r="K502" s="64" t="s">
        <v>844</v>
      </c>
      <c r="Q502" s="64" t="s">
        <v>612</v>
      </c>
      <c r="R502" s="64" t="s">
        <v>288</v>
      </c>
      <c r="S502" s="64" t="s">
        <v>312</v>
      </c>
      <c r="T502" s="64" t="s">
        <v>313</v>
      </c>
      <c r="U502" s="64" t="s">
        <v>338</v>
      </c>
      <c r="V502" s="64" t="s">
        <v>329</v>
      </c>
      <c r="W502" s="64" t="s">
        <v>238</v>
      </c>
      <c r="X502" s="64" t="s">
        <v>306</v>
      </c>
      <c r="Y502" s="64">
        <v>24</v>
      </c>
      <c r="Z502" s="64" t="s">
        <v>275</v>
      </c>
      <c r="AA502" s="64" t="s">
        <v>287</v>
      </c>
      <c r="AB502" s="64" t="s">
        <v>287</v>
      </c>
      <c r="AC502" s="64" t="s">
        <v>711</v>
      </c>
      <c r="AD502" s="64" t="s">
        <v>166</v>
      </c>
      <c r="AE502" s="64" t="s">
        <v>306</v>
      </c>
      <c r="AF502" s="64" t="s">
        <v>162</v>
      </c>
      <c r="AG502" s="64">
        <v>211</v>
      </c>
      <c r="AH502" s="1">
        <v>203</v>
      </c>
      <c r="AI502" s="1">
        <v>204</v>
      </c>
      <c r="AJ502" s="1">
        <v>2</v>
      </c>
      <c r="AK502" s="1">
        <v>4.5</v>
      </c>
      <c r="AL502" s="1">
        <v>3.5</v>
      </c>
      <c r="AM502" s="64" t="s">
        <v>848</v>
      </c>
    </row>
    <row r="503" spans="1:39" s="68" customFormat="1">
      <c r="A503" s="64">
        <v>1.6</v>
      </c>
      <c r="B503" s="64" t="s">
        <v>288</v>
      </c>
      <c r="C503" s="64" t="s">
        <v>469</v>
      </c>
      <c r="D503" s="64" t="s">
        <v>304</v>
      </c>
      <c r="E503" s="64" t="s">
        <v>229</v>
      </c>
      <c r="F503" s="64">
        <v>20</v>
      </c>
      <c r="G503" s="64" t="s">
        <v>306</v>
      </c>
      <c r="H503" s="64" t="s">
        <v>241</v>
      </c>
      <c r="I503" s="1">
        <v>2</v>
      </c>
      <c r="J503" s="1">
        <v>211</v>
      </c>
      <c r="K503" s="64" t="s">
        <v>847</v>
      </c>
      <c r="Q503" s="64" t="s">
        <v>612</v>
      </c>
      <c r="R503" s="64" t="s">
        <v>305</v>
      </c>
      <c r="S503" s="64" t="s">
        <v>321</v>
      </c>
      <c r="T503" s="64" t="s">
        <v>322</v>
      </c>
      <c r="U503" s="64" t="s">
        <v>331</v>
      </c>
      <c r="V503" s="64" t="s">
        <v>323</v>
      </c>
      <c r="W503" s="64" t="s">
        <v>232</v>
      </c>
      <c r="X503" s="64" t="s">
        <v>166</v>
      </c>
      <c r="Y503" s="64">
        <v>27</v>
      </c>
      <c r="Z503" s="64" t="s">
        <v>292</v>
      </c>
      <c r="AA503" s="64" t="s">
        <v>850</v>
      </c>
      <c r="AB503" s="64" t="s">
        <v>850</v>
      </c>
      <c r="AC503" s="64" t="s">
        <v>306</v>
      </c>
      <c r="AD503" s="64" t="s">
        <v>253</v>
      </c>
      <c r="AE503" s="64" t="s">
        <v>306</v>
      </c>
      <c r="AF503" s="64" t="s">
        <v>854</v>
      </c>
      <c r="AG503" s="64">
        <v>284</v>
      </c>
      <c r="AH503" s="1">
        <v>259</v>
      </c>
      <c r="AI503" s="1">
        <v>260</v>
      </c>
      <c r="AJ503" s="1">
        <v>2</v>
      </c>
      <c r="AK503" s="1">
        <v>4.5</v>
      </c>
      <c r="AL503" s="1">
        <v>3.5</v>
      </c>
      <c r="AM503" s="64" t="s">
        <v>897</v>
      </c>
    </row>
    <row r="504" spans="1:39" s="68" customFormat="1">
      <c r="A504" s="64">
        <v>1.6</v>
      </c>
      <c r="B504" s="64" t="s">
        <v>305</v>
      </c>
      <c r="C504" s="64" t="s">
        <v>481</v>
      </c>
      <c r="D504" s="64" t="s">
        <v>336</v>
      </c>
      <c r="E504" s="64" t="s">
        <v>229</v>
      </c>
      <c r="F504" s="64">
        <v>20</v>
      </c>
      <c r="G504" s="64" t="s">
        <v>166</v>
      </c>
      <c r="H504" s="64" t="s">
        <v>241</v>
      </c>
      <c r="I504" s="1">
        <v>2</v>
      </c>
      <c r="J504" s="1">
        <v>266</v>
      </c>
      <c r="K504" s="64" t="s">
        <v>898</v>
      </c>
      <c r="Q504" s="64" t="s">
        <v>612</v>
      </c>
      <c r="R504" s="64" t="s">
        <v>329</v>
      </c>
      <c r="S504" s="64" t="s">
        <v>330</v>
      </c>
      <c r="T504" s="64" t="s">
        <v>330</v>
      </c>
      <c r="U504" s="64" t="s">
        <v>369</v>
      </c>
      <c r="V504" s="64" t="s">
        <v>617</v>
      </c>
      <c r="W504" s="64" t="s">
        <v>247</v>
      </c>
      <c r="X504" s="64" t="s">
        <v>166</v>
      </c>
      <c r="Y504" s="64">
        <v>30</v>
      </c>
      <c r="Z504" s="64" t="s">
        <v>251</v>
      </c>
      <c r="AA504" s="64" t="s">
        <v>899</v>
      </c>
      <c r="AB504" s="64" t="s">
        <v>899</v>
      </c>
      <c r="AC504" s="64" t="s">
        <v>224</v>
      </c>
      <c r="AD504" s="64" t="s">
        <v>167</v>
      </c>
      <c r="AE504" s="64" t="s">
        <v>224</v>
      </c>
      <c r="AF504" s="64" t="s">
        <v>377</v>
      </c>
      <c r="AG504" s="64">
        <v>345</v>
      </c>
      <c r="AH504" s="1">
        <v>312</v>
      </c>
      <c r="AI504" s="1">
        <v>313</v>
      </c>
      <c r="AJ504" s="1">
        <v>2</v>
      </c>
      <c r="AK504" s="1">
        <v>4.5</v>
      </c>
      <c r="AL504" s="1">
        <v>3.5</v>
      </c>
      <c r="AM504" s="64" t="s">
        <v>900</v>
      </c>
    </row>
    <row r="505" spans="1:39" s="68" customFormat="1">
      <c r="A505" s="64">
        <v>1.6</v>
      </c>
      <c r="B505" s="64" t="s">
        <v>329</v>
      </c>
      <c r="C505" s="64" t="s">
        <v>524</v>
      </c>
      <c r="D505" s="64" t="s">
        <v>346</v>
      </c>
      <c r="E505" s="64" t="s">
        <v>238</v>
      </c>
      <c r="F505" s="64">
        <v>24</v>
      </c>
      <c r="G505" s="64" t="s">
        <v>166</v>
      </c>
      <c r="H505" s="64" t="s">
        <v>238</v>
      </c>
      <c r="I505" s="1">
        <v>2</v>
      </c>
      <c r="J505" s="1">
        <v>319</v>
      </c>
      <c r="K505" s="64" t="s">
        <v>169</v>
      </c>
      <c r="Q505" s="64" t="s">
        <v>612</v>
      </c>
      <c r="R505" s="64" t="s">
        <v>338</v>
      </c>
      <c r="S505" s="64" t="s">
        <v>339</v>
      </c>
      <c r="T505" s="64" t="s">
        <v>340</v>
      </c>
      <c r="U505" s="64" t="s">
        <v>501</v>
      </c>
      <c r="V505" s="64" t="s">
        <v>369</v>
      </c>
      <c r="W505" s="64" t="s">
        <v>247</v>
      </c>
      <c r="X505" s="64" t="s">
        <v>253</v>
      </c>
      <c r="Y505" s="64">
        <v>30</v>
      </c>
      <c r="Z505" s="64" t="s">
        <v>433</v>
      </c>
      <c r="AA505" s="64" t="s">
        <v>901</v>
      </c>
      <c r="AB505" s="64" t="s">
        <v>901</v>
      </c>
      <c r="AC505" s="64" t="s">
        <v>224</v>
      </c>
      <c r="AD505" s="64" t="s">
        <v>167</v>
      </c>
      <c r="AE505" s="64" t="s">
        <v>224</v>
      </c>
      <c r="AF505" s="64" t="s">
        <v>387</v>
      </c>
      <c r="AG505" s="64">
        <v>409</v>
      </c>
      <c r="AH505" s="1">
        <v>363</v>
      </c>
      <c r="AI505" s="1">
        <v>364</v>
      </c>
      <c r="AJ505" s="1">
        <v>2</v>
      </c>
      <c r="AK505" s="1">
        <v>4.5</v>
      </c>
      <c r="AL505" s="1">
        <v>3.5</v>
      </c>
      <c r="AM505" s="64" t="s">
        <v>902</v>
      </c>
    </row>
    <row r="506" spans="1:39" s="68" customFormat="1">
      <c r="A506" s="64">
        <v>1.6</v>
      </c>
      <c r="B506" s="64" t="s">
        <v>338</v>
      </c>
      <c r="C506" s="64" t="s">
        <v>497</v>
      </c>
      <c r="D506" s="64" t="s">
        <v>526</v>
      </c>
      <c r="E506" s="64" t="s">
        <v>238</v>
      </c>
      <c r="F506" s="64">
        <v>24</v>
      </c>
      <c r="G506" s="64" t="s">
        <v>166</v>
      </c>
      <c r="H506" s="64" t="s">
        <v>275</v>
      </c>
      <c r="I506" s="1">
        <v>2</v>
      </c>
      <c r="J506" s="1">
        <v>370</v>
      </c>
      <c r="K506" s="64" t="s">
        <v>903</v>
      </c>
      <c r="Q506" s="64" t="s">
        <v>612</v>
      </c>
      <c r="R506" s="64" t="s">
        <v>348</v>
      </c>
      <c r="S506" s="64" t="s">
        <v>349</v>
      </c>
      <c r="T506" s="64" t="s">
        <v>350</v>
      </c>
      <c r="U506" s="64" t="s">
        <v>533</v>
      </c>
      <c r="V506" s="64" t="s">
        <v>625</v>
      </c>
      <c r="W506" s="64" t="s">
        <v>395</v>
      </c>
      <c r="X506" s="64" t="s">
        <v>253</v>
      </c>
      <c r="Y506" s="64">
        <v>33</v>
      </c>
      <c r="Z506" s="64" t="s">
        <v>264</v>
      </c>
      <c r="AA506" s="64" t="s">
        <v>904</v>
      </c>
      <c r="AB506" s="64" t="s">
        <v>364</v>
      </c>
      <c r="AC506" s="64" t="s">
        <v>164</v>
      </c>
      <c r="AD506" s="64" t="s">
        <v>171</v>
      </c>
      <c r="AE506" s="64" t="s">
        <v>224</v>
      </c>
      <c r="AF506" s="64" t="s">
        <v>301</v>
      </c>
      <c r="AG506" s="64">
        <v>465</v>
      </c>
      <c r="AH506" s="1">
        <v>421</v>
      </c>
      <c r="AI506" s="1">
        <v>422</v>
      </c>
      <c r="AJ506" s="1">
        <v>2</v>
      </c>
      <c r="AK506" s="1">
        <v>5</v>
      </c>
      <c r="AL506" s="1">
        <v>4</v>
      </c>
      <c r="AM506" s="64" t="s">
        <v>905</v>
      </c>
    </row>
    <row r="507" spans="1:39" s="68" customFormat="1">
      <c r="A507" s="64">
        <v>1.6</v>
      </c>
      <c r="B507" s="64" t="s">
        <v>348</v>
      </c>
      <c r="C507" s="64" t="s">
        <v>529</v>
      </c>
      <c r="D507" s="64" t="s">
        <v>530</v>
      </c>
      <c r="E507" s="64" t="s">
        <v>238</v>
      </c>
      <c r="F507" s="64">
        <v>24</v>
      </c>
      <c r="G507" s="64" t="s">
        <v>253</v>
      </c>
      <c r="H507" s="64" t="s">
        <v>232</v>
      </c>
      <c r="I507" s="1">
        <v>2</v>
      </c>
      <c r="J507" s="1">
        <v>429</v>
      </c>
      <c r="K507" s="64" t="s">
        <v>454</v>
      </c>
      <c r="Q507" s="64" t="s">
        <v>612</v>
      </c>
      <c r="R507" s="64" t="s">
        <v>358</v>
      </c>
      <c r="S507" s="64" t="s">
        <v>359</v>
      </c>
      <c r="T507" s="64" t="s">
        <v>360</v>
      </c>
      <c r="U507" s="64" t="s">
        <v>603</v>
      </c>
      <c r="V507" s="64" t="s">
        <v>537</v>
      </c>
      <c r="W507" s="64" t="s">
        <v>255</v>
      </c>
      <c r="X507" s="64" t="s">
        <v>253</v>
      </c>
      <c r="Y507" s="64">
        <v>36</v>
      </c>
      <c r="Z507" s="64" t="s">
        <v>163</v>
      </c>
      <c r="AA507" s="64" t="s">
        <v>374</v>
      </c>
      <c r="AB507" s="64" t="s">
        <v>906</v>
      </c>
      <c r="AC507" s="64" t="s">
        <v>727</v>
      </c>
      <c r="AD507" s="64" t="s">
        <v>171</v>
      </c>
      <c r="AE507" s="64" t="s">
        <v>224</v>
      </c>
      <c r="AF507" s="64" t="s">
        <v>308</v>
      </c>
      <c r="AG507" s="64">
        <v>535</v>
      </c>
      <c r="AH507" s="1">
        <v>273</v>
      </c>
      <c r="AI507" s="1">
        <v>474</v>
      </c>
      <c r="AJ507" s="1">
        <v>2</v>
      </c>
      <c r="AK507" s="1">
        <v>5</v>
      </c>
      <c r="AL507" s="1">
        <v>4</v>
      </c>
      <c r="AM507" s="64" t="s">
        <v>907</v>
      </c>
    </row>
    <row r="508" spans="1:39" s="68" customFormat="1">
      <c r="A508" s="64">
        <v>1.6</v>
      </c>
      <c r="B508" s="64" t="s">
        <v>358</v>
      </c>
      <c r="C508" s="64" t="s">
        <v>533</v>
      </c>
      <c r="D508" s="64" t="s">
        <v>507</v>
      </c>
      <c r="E508" s="64" t="s">
        <v>232</v>
      </c>
      <c r="F508" s="64">
        <v>27</v>
      </c>
      <c r="G508" s="64" t="s">
        <v>253</v>
      </c>
      <c r="H508" s="64" t="s">
        <v>244</v>
      </c>
      <c r="I508" s="1">
        <v>2</v>
      </c>
      <c r="J508" s="1">
        <v>480</v>
      </c>
      <c r="K508" s="64" t="s">
        <v>908</v>
      </c>
      <c r="Q508" s="64" t="s">
        <v>612</v>
      </c>
      <c r="R508" s="64" t="s">
        <v>369</v>
      </c>
      <c r="S508" s="64" t="s">
        <v>370</v>
      </c>
      <c r="T508" s="64" t="s">
        <v>371</v>
      </c>
      <c r="U508" s="64" t="s">
        <v>634</v>
      </c>
      <c r="V508" s="64" t="s">
        <v>391</v>
      </c>
      <c r="W508" s="64" t="s">
        <v>255</v>
      </c>
      <c r="X508" s="64" t="s">
        <v>171</v>
      </c>
      <c r="Y508" s="64">
        <v>36</v>
      </c>
      <c r="Z508" s="64" t="s">
        <v>269</v>
      </c>
      <c r="AA508" s="64" t="s">
        <v>379</v>
      </c>
      <c r="AB508" s="64" t="s">
        <v>635</v>
      </c>
      <c r="AC508" s="64" t="s">
        <v>659</v>
      </c>
      <c r="AD508" s="64" t="s">
        <v>171</v>
      </c>
      <c r="AE508" s="64" t="s">
        <v>166</v>
      </c>
      <c r="AF508" s="64" t="s">
        <v>308</v>
      </c>
      <c r="AG508" s="64">
        <v>560</v>
      </c>
      <c r="AH508" s="1">
        <v>523</v>
      </c>
      <c r="AI508" s="1">
        <v>524</v>
      </c>
      <c r="AJ508" s="1">
        <v>2</v>
      </c>
      <c r="AK508" s="1">
        <v>5</v>
      </c>
      <c r="AL508" s="1">
        <v>4</v>
      </c>
      <c r="AM508" s="64" t="s">
        <v>909</v>
      </c>
    </row>
    <row r="509" spans="1:39" s="68" customFormat="1">
      <c r="A509" s="64">
        <v>1.6</v>
      </c>
      <c r="B509" s="64" t="s">
        <v>369</v>
      </c>
      <c r="C509" s="64" t="s">
        <v>536</v>
      </c>
      <c r="D509" s="64" t="s">
        <v>537</v>
      </c>
      <c r="E509" s="64" t="s">
        <v>232</v>
      </c>
      <c r="F509" s="64">
        <v>27</v>
      </c>
      <c r="G509" s="64" t="s">
        <v>171</v>
      </c>
      <c r="H509" s="64" t="s">
        <v>395</v>
      </c>
      <c r="I509" s="1">
        <v>2</v>
      </c>
      <c r="J509" s="1">
        <v>530</v>
      </c>
      <c r="K509" s="64" t="s">
        <v>910</v>
      </c>
      <c r="Q509" s="64" t="s">
        <v>612</v>
      </c>
      <c r="R509" s="64" t="s">
        <v>379</v>
      </c>
      <c r="S509" s="64" t="s">
        <v>380</v>
      </c>
      <c r="T509" s="64" t="s">
        <v>381</v>
      </c>
      <c r="U509" s="64" t="s">
        <v>393</v>
      </c>
      <c r="V509" s="64" t="s">
        <v>510</v>
      </c>
      <c r="W509" s="64" t="s">
        <v>433</v>
      </c>
      <c r="X509" s="64" t="s">
        <v>171</v>
      </c>
      <c r="Y509" s="64">
        <v>39</v>
      </c>
      <c r="Z509" s="64" t="s">
        <v>269</v>
      </c>
      <c r="AA509" s="64" t="s">
        <v>724</v>
      </c>
      <c r="AB509" s="64" t="s">
        <v>911</v>
      </c>
      <c r="AC509" s="64" t="s">
        <v>253</v>
      </c>
      <c r="AD509" s="64" t="s">
        <v>171</v>
      </c>
      <c r="AE509" s="64" t="s">
        <v>166</v>
      </c>
      <c r="AF509" s="64" t="s">
        <v>270</v>
      </c>
      <c r="AG509" s="64">
        <v>615</v>
      </c>
      <c r="AH509" s="1">
        <v>575</v>
      </c>
      <c r="AI509" s="1">
        <v>576</v>
      </c>
      <c r="AJ509" s="1">
        <v>2</v>
      </c>
      <c r="AK509" s="1">
        <v>5</v>
      </c>
      <c r="AL509" s="1">
        <v>4</v>
      </c>
      <c r="AM509" s="64" t="s">
        <v>912</v>
      </c>
    </row>
    <row r="510" spans="1:39" s="68" customFormat="1">
      <c r="A510" s="64">
        <v>1.6</v>
      </c>
      <c r="B510" s="64" t="s">
        <v>379</v>
      </c>
      <c r="C510" s="64" t="s">
        <v>404</v>
      </c>
      <c r="D510" s="64" t="s">
        <v>543</v>
      </c>
      <c r="E510" s="64" t="s">
        <v>247</v>
      </c>
      <c r="F510" s="64">
        <v>30</v>
      </c>
      <c r="G510" s="64" t="s">
        <v>171</v>
      </c>
      <c r="H510" s="64" t="s">
        <v>395</v>
      </c>
      <c r="I510" s="1">
        <v>2</v>
      </c>
      <c r="J510" s="1">
        <v>582</v>
      </c>
      <c r="K510" s="64" t="s">
        <v>913</v>
      </c>
      <c r="Q510" s="64" t="s">
        <v>612</v>
      </c>
      <c r="R510" s="64" t="s">
        <v>383</v>
      </c>
      <c r="S510" s="64" t="s">
        <v>391</v>
      </c>
      <c r="T510" s="64" t="s">
        <v>392</v>
      </c>
      <c r="U510" s="64" t="s">
        <v>645</v>
      </c>
      <c r="V510" s="64" t="s">
        <v>646</v>
      </c>
      <c r="W510" s="64" t="s">
        <v>454</v>
      </c>
      <c r="X510" s="64" t="s">
        <v>171</v>
      </c>
      <c r="Y510" s="64">
        <v>45</v>
      </c>
      <c r="Z510" s="64" t="s">
        <v>594</v>
      </c>
      <c r="AA510" s="64" t="s">
        <v>914</v>
      </c>
      <c r="AB510" s="64" t="s">
        <v>647</v>
      </c>
      <c r="AC510" s="64" t="s">
        <v>824</v>
      </c>
      <c r="AD510" s="64" t="s">
        <v>171</v>
      </c>
      <c r="AE510" s="64" t="s">
        <v>166</v>
      </c>
      <c r="AF510" s="64" t="s">
        <v>288</v>
      </c>
      <c r="AG510" s="64">
        <v>735</v>
      </c>
      <c r="AH510" s="1">
        <v>675</v>
      </c>
      <c r="AI510" s="1">
        <v>676</v>
      </c>
      <c r="AJ510" s="1">
        <v>2</v>
      </c>
      <c r="AK510" s="1">
        <v>5</v>
      </c>
      <c r="AL510" s="1">
        <v>4</v>
      </c>
      <c r="AM510" s="64" t="s">
        <v>915</v>
      </c>
    </row>
    <row r="511" spans="1:39" s="68" customFormat="1">
      <c r="A511" s="64">
        <v>1.6</v>
      </c>
      <c r="B511" s="64" t="s">
        <v>383</v>
      </c>
      <c r="C511" s="64" t="s">
        <v>548</v>
      </c>
      <c r="D511" s="64" t="s">
        <v>549</v>
      </c>
      <c r="E511" s="64" t="s">
        <v>395</v>
      </c>
      <c r="F511" s="64">
        <v>33</v>
      </c>
      <c r="G511" s="64" t="s">
        <v>171</v>
      </c>
      <c r="H511" s="64" t="s">
        <v>310</v>
      </c>
      <c r="I511" s="1">
        <v>2</v>
      </c>
      <c r="J511" s="1">
        <v>682</v>
      </c>
      <c r="K511" s="64" t="s">
        <v>916</v>
      </c>
      <c r="Q511" s="64" t="s">
        <v>705</v>
      </c>
      <c r="R511" s="64" t="s">
        <v>224</v>
      </c>
      <c r="S511" s="64" t="s">
        <v>160</v>
      </c>
      <c r="T511" s="64" t="s">
        <v>161</v>
      </c>
      <c r="U511" s="64" t="s">
        <v>245</v>
      </c>
      <c r="V511" s="64" t="s">
        <v>266</v>
      </c>
      <c r="W511" s="64" t="s">
        <v>161</v>
      </c>
      <c r="X511" s="64" t="s">
        <v>165</v>
      </c>
      <c r="Y511" s="64">
        <v>12</v>
      </c>
      <c r="Z511" s="64" t="s">
        <v>171</v>
      </c>
      <c r="AA511" s="64" t="s">
        <v>244</v>
      </c>
      <c r="AB511" s="64" t="s">
        <v>244</v>
      </c>
      <c r="AC511" s="64" t="s">
        <v>170</v>
      </c>
      <c r="AD511" s="64" t="s">
        <v>283</v>
      </c>
      <c r="AE511" s="64" t="s">
        <v>170</v>
      </c>
      <c r="AF511" s="64" t="s">
        <v>261</v>
      </c>
      <c r="AG511" s="64">
        <v>41</v>
      </c>
      <c r="AH511" s="1">
        <v>34</v>
      </c>
      <c r="AI511" s="1">
        <v>35</v>
      </c>
      <c r="AJ511" s="1">
        <v>2</v>
      </c>
      <c r="AK511" s="1">
        <v>4</v>
      </c>
      <c r="AL511" s="1">
        <v>3</v>
      </c>
      <c r="AM511" s="64" t="s">
        <v>917</v>
      </c>
    </row>
    <row r="512" spans="1:39" s="68" customFormat="1">
      <c r="A512" s="64">
        <v>1.6</v>
      </c>
      <c r="B512" s="64" t="s">
        <v>399</v>
      </c>
      <c r="C512" s="64" t="s">
        <v>792</v>
      </c>
      <c r="D512" s="64" t="s">
        <v>548</v>
      </c>
      <c r="E512" s="64" t="s">
        <v>395</v>
      </c>
      <c r="F512" s="64">
        <v>33</v>
      </c>
      <c r="G512" s="64" t="s">
        <v>241</v>
      </c>
      <c r="H512" s="64" t="s">
        <v>454</v>
      </c>
      <c r="I512" s="1">
        <v>5</v>
      </c>
      <c r="J512" s="64">
        <v>794</v>
      </c>
      <c r="K512" s="64" t="s">
        <v>918</v>
      </c>
      <c r="Q512" s="64" t="s">
        <v>705</v>
      </c>
      <c r="R512" s="64" t="s">
        <v>168</v>
      </c>
      <c r="S512" s="64" t="s">
        <v>226</v>
      </c>
      <c r="T512" s="64" t="s">
        <v>167</v>
      </c>
      <c r="U512" s="64" t="s">
        <v>377</v>
      </c>
      <c r="V512" s="64" t="s">
        <v>162</v>
      </c>
      <c r="W512" s="64" t="s">
        <v>161</v>
      </c>
      <c r="X512" s="64" t="s">
        <v>165</v>
      </c>
      <c r="Y512" s="64">
        <v>12</v>
      </c>
      <c r="Z512" s="64" t="s">
        <v>171</v>
      </c>
      <c r="AA512" s="64" t="s">
        <v>292</v>
      </c>
      <c r="AB512" s="64" t="s">
        <v>292</v>
      </c>
      <c r="AC512" s="64" t="s">
        <v>691</v>
      </c>
      <c r="AD512" s="64" t="s">
        <v>283</v>
      </c>
      <c r="AE512" s="64" t="s">
        <v>170</v>
      </c>
      <c r="AF512" s="64" t="s">
        <v>261</v>
      </c>
      <c r="AG512" s="64">
        <v>16</v>
      </c>
      <c r="AH512" s="1">
        <v>39</v>
      </c>
      <c r="AI512" s="1">
        <v>40</v>
      </c>
      <c r="AJ512" s="1">
        <v>2</v>
      </c>
      <c r="AK512" s="1">
        <v>4</v>
      </c>
      <c r="AL512" s="1">
        <v>3</v>
      </c>
      <c r="AM512" s="64" t="s">
        <v>919</v>
      </c>
    </row>
    <row r="513" spans="1:39" s="68" customFormat="1">
      <c r="A513" s="64">
        <v>1.6</v>
      </c>
      <c r="B513" s="64" t="s">
        <v>408</v>
      </c>
      <c r="C513" s="64" t="s">
        <v>797</v>
      </c>
      <c r="D513" s="64" t="s">
        <v>735</v>
      </c>
      <c r="E513" s="64" t="s">
        <v>255</v>
      </c>
      <c r="F513" s="64">
        <v>36</v>
      </c>
      <c r="G513" s="64" t="s">
        <v>241</v>
      </c>
      <c r="H513" s="64" t="s">
        <v>389</v>
      </c>
      <c r="I513" s="1">
        <v>5</v>
      </c>
      <c r="J513" s="64">
        <v>901</v>
      </c>
      <c r="K513" s="64" t="s">
        <v>340</v>
      </c>
      <c r="Q513" s="64" t="s">
        <v>705</v>
      </c>
      <c r="R513" s="64" t="s">
        <v>171</v>
      </c>
      <c r="S513" s="64" t="s">
        <v>234</v>
      </c>
      <c r="T513" s="64" t="s">
        <v>169</v>
      </c>
      <c r="U513" s="64" t="s">
        <v>262</v>
      </c>
      <c r="V513" s="64" t="s">
        <v>235</v>
      </c>
      <c r="W513" s="64" t="s">
        <v>167</v>
      </c>
      <c r="X513" s="64" t="s">
        <v>165</v>
      </c>
      <c r="Y513" s="64">
        <v>16</v>
      </c>
      <c r="Z513" s="64" t="s">
        <v>171</v>
      </c>
      <c r="AA513" s="64" t="s">
        <v>433</v>
      </c>
      <c r="AB513" s="64" t="s">
        <v>433</v>
      </c>
      <c r="AC513" s="64" t="s">
        <v>694</v>
      </c>
      <c r="AD513" s="64" t="s">
        <v>283</v>
      </c>
      <c r="AE513" s="64" t="s">
        <v>165</v>
      </c>
      <c r="AF513" s="64" t="s">
        <v>389</v>
      </c>
      <c r="AG513" s="64">
        <v>56</v>
      </c>
      <c r="AH513" s="1">
        <v>50</v>
      </c>
      <c r="AI513" s="1">
        <v>51</v>
      </c>
      <c r="AJ513" s="1">
        <v>2</v>
      </c>
      <c r="AK513" s="1">
        <v>4</v>
      </c>
      <c r="AL513" s="1">
        <v>3</v>
      </c>
      <c r="AM513" s="64" t="s">
        <v>674</v>
      </c>
    </row>
    <row r="514" spans="1:39" s="68" customFormat="1">
      <c r="A514" s="64">
        <v>1.6</v>
      </c>
      <c r="B514" s="64" t="s">
        <v>419</v>
      </c>
      <c r="C514" s="64" t="s">
        <v>799</v>
      </c>
      <c r="D514" s="64" t="s">
        <v>741</v>
      </c>
      <c r="E514" s="64" t="s">
        <v>255</v>
      </c>
      <c r="F514" s="64">
        <v>36</v>
      </c>
      <c r="G514" s="64" t="s">
        <v>275</v>
      </c>
      <c r="H514" s="64" t="s">
        <v>489</v>
      </c>
      <c r="I514" s="1">
        <v>5</v>
      </c>
      <c r="J514" s="64">
        <v>1001</v>
      </c>
      <c r="K514" s="64" t="s">
        <v>920</v>
      </c>
      <c r="Q514" s="64" t="s">
        <v>705</v>
      </c>
      <c r="R514" s="64" t="s">
        <v>169</v>
      </c>
      <c r="S514" s="64" t="s">
        <v>243</v>
      </c>
      <c r="T514" s="64" t="s">
        <v>244</v>
      </c>
      <c r="U514" s="64" t="s">
        <v>270</v>
      </c>
      <c r="V514" s="64" t="s">
        <v>245</v>
      </c>
      <c r="W514" s="64" t="s">
        <v>167</v>
      </c>
      <c r="X514" s="64" t="s">
        <v>165</v>
      </c>
      <c r="Y514" s="64">
        <v>16</v>
      </c>
      <c r="Z514" s="64" t="s">
        <v>241</v>
      </c>
      <c r="AA514" s="64" t="s">
        <v>389</v>
      </c>
      <c r="AB514" s="64" t="s">
        <v>389</v>
      </c>
      <c r="AC514" s="64" t="s">
        <v>694</v>
      </c>
      <c r="AD514" s="64" t="s">
        <v>306</v>
      </c>
      <c r="AE514" s="64" t="s">
        <v>165</v>
      </c>
      <c r="AF514" s="64" t="s">
        <v>489</v>
      </c>
      <c r="AG514" s="64">
        <v>65</v>
      </c>
      <c r="AH514" s="1">
        <v>57</v>
      </c>
      <c r="AI514" s="1">
        <v>58</v>
      </c>
      <c r="AJ514" s="1">
        <v>2</v>
      </c>
      <c r="AK514" s="1">
        <v>4</v>
      </c>
      <c r="AL514" s="1">
        <v>3</v>
      </c>
      <c r="AM514" s="64" t="s">
        <v>921</v>
      </c>
    </row>
    <row r="515" spans="1:39" s="68" customFormat="1">
      <c r="A515" s="64">
        <v>1.6</v>
      </c>
      <c r="B515" s="64" t="s">
        <v>429</v>
      </c>
      <c r="C515" s="64" t="s">
        <v>802</v>
      </c>
      <c r="D515" s="64" t="s">
        <v>803</v>
      </c>
      <c r="E515" s="64" t="s">
        <v>433</v>
      </c>
      <c r="F515" s="64">
        <v>39</v>
      </c>
      <c r="G515" s="64" t="s">
        <v>275</v>
      </c>
      <c r="H515" s="64" t="s">
        <v>619</v>
      </c>
      <c r="I515" s="1">
        <v>5</v>
      </c>
      <c r="J515" s="64">
        <v>1112</v>
      </c>
      <c r="K515" s="64" t="s">
        <v>922</v>
      </c>
      <c r="Q515" s="64" t="s">
        <v>705</v>
      </c>
      <c r="R515" s="64" t="s">
        <v>244</v>
      </c>
      <c r="S515" s="64" t="s">
        <v>250</v>
      </c>
      <c r="T515" s="64" t="s">
        <v>251</v>
      </c>
      <c r="U515" s="64" t="s">
        <v>894</v>
      </c>
      <c r="V515" s="64" t="s">
        <v>271</v>
      </c>
      <c r="W515" s="64" t="s">
        <v>229</v>
      </c>
      <c r="X515" s="64" t="s">
        <v>165</v>
      </c>
      <c r="Y515" s="64">
        <v>20</v>
      </c>
      <c r="Z515" s="64" t="s">
        <v>241</v>
      </c>
      <c r="AA515" s="64" t="s">
        <v>257</v>
      </c>
      <c r="AB515" s="64" t="s">
        <v>257</v>
      </c>
      <c r="AC515" s="64" t="s">
        <v>694</v>
      </c>
      <c r="AD515" s="64" t="s">
        <v>306</v>
      </c>
      <c r="AE515" s="64" t="s">
        <v>258</v>
      </c>
      <c r="AF515" s="64" t="s">
        <v>257</v>
      </c>
      <c r="AG515" s="64">
        <v>76</v>
      </c>
      <c r="AH515" s="1">
        <v>65</v>
      </c>
      <c r="AI515" s="1">
        <v>66</v>
      </c>
      <c r="AJ515" s="1">
        <v>2</v>
      </c>
      <c r="AK515" s="1">
        <v>4</v>
      </c>
      <c r="AL515" s="1">
        <v>3</v>
      </c>
      <c r="AM515" s="64" t="s">
        <v>923</v>
      </c>
    </row>
    <row r="516" spans="1:39" s="68" customFormat="1">
      <c r="A516" s="64">
        <v>1.6</v>
      </c>
      <c r="B516" s="64" t="s">
        <v>438</v>
      </c>
      <c r="C516" s="64" t="s">
        <v>808</v>
      </c>
      <c r="D516" s="64" t="s">
        <v>809</v>
      </c>
      <c r="E516" s="64" t="s">
        <v>454</v>
      </c>
      <c r="F516" s="64">
        <v>45</v>
      </c>
      <c r="G516" s="64" t="s">
        <v>244</v>
      </c>
      <c r="H516" s="64" t="s">
        <v>278</v>
      </c>
      <c r="I516" s="1">
        <v>5</v>
      </c>
      <c r="J516" s="64">
        <v>1328</v>
      </c>
      <c r="K516" s="64" t="s">
        <v>924</v>
      </c>
      <c r="Q516" s="64" t="s">
        <v>705</v>
      </c>
      <c r="R516" s="64" t="s">
        <v>240</v>
      </c>
      <c r="S516" s="64" t="s">
        <v>260</v>
      </c>
      <c r="T516" s="64" t="s">
        <v>261</v>
      </c>
      <c r="U516" s="64" t="s">
        <v>297</v>
      </c>
      <c r="V516" s="64" t="s">
        <v>301</v>
      </c>
      <c r="W516" s="64" t="s">
        <v>229</v>
      </c>
      <c r="X516" s="64" t="s">
        <v>165</v>
      </c>
      <c r="Y516" s="64">
        <v>20</v>
      </c>
      <c r="Z516" s="64" t="s">
        <v>238</v>
      </c>
      <c r="AA516" s="64" t="s">
        <v>266</v>
      </c>
      <c r="AB516" s="64" t="s">
        <v>266</v>
      </c>
      <c r="AC516" s="64" t="s">
        <v>165</v>
      </c>
      <c r="AD516" s="64" t="s">
        <v>224</v>
      </c>
      <c r="AE516" s="64" t="s">
        <v>258</v>
      </c>
      <c r="AF516" s="64" t="s">
        <v>706</v>
      </c>
      <c r="AG516" s="64">
        <v>84</v>
      </c>
      <c r="AH516" s="1">
        <v>75</v>
      </c>
      <c r="AI516" s="1">
        <v>76</v>
      </c>
      <c r="AJ516" s="1">
        <v>2</v>
      </c>
      <c r="AK516" s="1">
        <v>4</v>
      </c>
      <c r="AL516" s="1">
        <v>3</v>
      </c>
      <c r="AM516" s="64" t="s">
        <v>925</v>
      </c>
    </row>
    <row r="517" spans="1:39" s="68" customFormat="1">
      <c r="A517" s="64">
        <v>2.5</v>
      </c>
      <c r="B517" s="64" t="s">
        <v>224</v>
      </c>
      <c r="C517" s="64" t="s">
        <v>235</v>
      </c>
      <c r="D517" s="64" t="s">
        <v>257</v>
      </c>
      <c r="E517" s="64" t="s">
        <v>161</v>
      </c>
      <c r="F517" s="64">
        <v>12</v>
      </c>
      <c r="G517" s="64" t="s">
        <v>165</v>
      </c>
      <c r="H517" s="64" t="s">
        <v>161</v>
      </c>
      <c r="I517" s="1">
        <v>2</v>
      </c>
      <c r="J517" s="1">
        <v>41</v>
      </c>
      <c r="K517" s="64" t="s">
        <v>832</v>
      </c>
      <c r="Q517" s="64" t="s">
        <v>705</v>
      </c>
      <c r="R517" s="64" t="s">
        <v>163</v>
      </c>
      <c r="S517" s="64" t="s">
        <v>268</v>
      </c>
      <c r="T517" s="64" t="s">
        <v>269</v>
      </c>
      <c r="U517" s="64" t="s">
        <v>447</v>
      </c>
      <c r="V517" s="64" t="s">
        <v>308</v>
      </c>
      <c r="W517" s="64" t="s">
        <v>229</v>
      </c>
      <c r="X517" s="64" t="s">
        <v>165</v>
      </c>
      <c r="Y517" s="64">
        <v>20</v>
      </c>
      <c r="Z517" s="64" t="s">
        <v>238</v>
      </c>
      <c r="AA517" s="64" t="s">
        <v>782</v>
      </c>
      <c r="AB517" s="64" t="s">
        <v>782</v>
      </c>
      <c r="AC517" s="64" t="s">
        <v>258</v>
      </c>
      <c r="AD517" s="64" t="s">
        <v>224</v>
      </c>
      <c r="AE517" s="64" t="s">
        <v>258</v>
      </c>
      <c r="AF517" s="64" t="s">
        <v>706</v>
      </c>
      <c r="AG517" s="64">
        <v>99</v>
      </c>
      <c r="AH517" s="1">
        <v>87</v>
      </c>
      <c r="AI517" s="1">
        <v>88</v>
      </c>
      <c r="AJ517" s="1">
        <v>2</v>
      </c>
      <c r="AK517" s="1">
        <v>4</v>
      </c>
      <c r="AL517" s="1">
        <v>3</v>
      </c>
      <c r="AM517" s="64" t="s">
        <v>570</v>
      </c>
    </row>
    <row r="518" spans="1:39" s="68" customFormat="1">
      <c r="A518" s="64">
        <v>2.5</v>
      </c>
      <c r="B518" s="64" t="s">
        <v>168</v>
      </c>
      <c r="C518" s="64" t="s">
        <v>366</v>
      </c>
      <c r="D518" s="64" t="s">
        <v>236</v>
      </c>
      <c r="E518" s="64" t="s">
        <v>161</v>
      </c>
      <c r="F518" s="64">
        <v>12</v>
      </c>
      <c r="G518" s="64" t="s">
        <v>165</v>
      </c>
      <c r="H518" s="64" t="s">
        <v>161</v>
      </c>
      <c r="I518" s="1">
        <v>2</v>
      </c>
      <c r="J518" s="1">
        <v>46</v>
      </c>
      <c r="K518" s="64" t="s">
        <v>833</v>
      </c>
      <c r="Q518" s="64" t="s">
        <v>705</v>
      </c>
      <c r="R518" s="64" t="s">
        <v>236</v>
      </c>
      <c r="S518" s="64" t="s">
        <v>277</v>
      </c>
      <c r="T518" s="64" t="s">
        <v>278</v>
      </c>
      <c r="U518" s="64" t="s">
        <v>926</v>
      </c>
      <c r="V518" s="64" t="s">
        <v>279</v>
      </c>
      <c r="W518" s="64" t="s">
        <v>229</v>
      </c>
      <c r="X518" s="64" t="s">
        <v>306</v>
      </c>
      <c r="Y518" s="64">
        <v>20</v>
      </c>
      <c r="Z518" s="64" t="s">
        <v>238</v>
      </c>
      <c r="AA518" s="64" t="s">
        <v>927</v>
      </c>
      <c r="AB518" s="64" t="s">
        <v>927</v>
      </c>
      <c r="AC518" s="64" t="s">
        <v>283</v>
      </c>
      <c r="AD518" s="64" t="s">
        <v>166</v>
      </c>
      <c r="AE518" s="64" t="s">
        <v>283</v>
      </c>
      <c r="AF518" s="64" t="s">
        <v>538</v>
      </c>
      <c r="AG518" s="64">
        <v>118</v>
      </c>
      <c r="AH518" s="1">
        <v>109</v>
      </c>
      <c r="AI518" s="1">
        <v>110</v>
      </c>
      <c r="AJ518" s="1">
        <v>2</v>
      </c>
      <c r="AK518" s="1">
        <v>4</v>
      </c>
      <c r="AL518" s="1">
        <v>3</v>
      </c>
      <c r="AM518" s="64" t="s">
        <v>928</v>
      </c>
    </row>
    <row r="519" spans="1:39" s="68" customFormat="1">
      <c r="A519" s="64">
        <v>2.5</v>
      </c>
      <c r="B519" s="64" t="s">
        <v>171</v>
      </c>
      <c r="C519" s="64" t="s">
        <v>377</v>
      </c>
      <c r="D519" s="64" t="s">
        <v>162</v>
      </c>
      <c r="E519" s="64" t="s">
        <v>161</v>
      </c>
      <c r="F519" s="64">
        <v>12</v>
      </c>
      <c r="G519" s="64" t="s">
        <v>165</v>
      </c>
      <c r="H519" s="64" t="s">
        <v>253</v>
      </c>
      <c r="I519" s="1">
        <v>2</v>
      </c>
      <c r="J519" s="1">
        <v>56</v>
      </c>
      <c r="K519" s="64" t="s">
        <v>834</v>
      </c>
      <c r="Q519" s="64" t="s">
        <v>705</v>
      </c>
      <c r="R519" s="64" t="s">
        <v>227</v>
      </c>
      <c r="S519" s="64" t="s">
        <v>285</v>
      </c>
      <c r="T519" s="64" t="s">
        <v>286</v>
      </c>
      <c r="U519" s="64" t="s">
        <v>929</v>
      </c>
      <c r="V519" s="64" t="s">
        <v>297</v>
      </c>
      <c r="W519" s="64" t="s">
        <v>229</v>
      </c>
      <c r="X519" s="64" t="s">
        <v>306</v>
      </c>
      <c r="Y519" s="64">
        <v>20</v>
      </c>
      <c r="Z519" s="64" t="s">
        <v>275</v>
      </c>
      <c r="AA519" s="64" t="s">
        <v>930</v>
      </c>
      <c r="AB519" s="64" t="s">
        <v>930</v>
      </c>
      <c r="AC519" s="64" t="s">
        <v>283</v>
      </c>
      <c r="AD519" s="64" t="s">
        <v>166</v>
      </c>
      <c r="AE519" s="64" t="s">
        <v>283</v>
      </c>
      <c r="AF519" s="64" t="s">
        <v>594</v>
      </c>
      <c r="AG519" s="64">
        <v>132</v>
      </c>
      <c r="AH519" s="1">
        <v>120</v>
      </c>
      <c r="AI519" s="1">
        <v>121</v>
      </c>
      <c r="AJ519" s="1">
        <v>2</v>
      </c>
      <c r="AK519" s="1">
        <v>4</v>
      </c>
      <c r="AL519" s="1">
        <v>3</v>
      </c>
      <c r="AM519" s="64" t="s">
        <v>931</v>
      </c>
    </row>
    <row r="520" spans="1:39" s="68" customFormat="1">
      <c r="A520" s="64">
        <v>2.5</v>
      </c>
      <c r="B520" s="64" t="s">
        <v>169</v>
      </c>
      <c r="C520" s="64" t="s">
        <v>387</v>
      </c>
      <c r="D520" s="64" t="s">
        <v>388</v>
      </c>
      <c r="E520" s="64" t="s">
        <v>161</v>
      </c>
      <c r="F520" s="64">
        <v>12</v>
      </c>
      <c r="G520" s="64" t="s">
        <v>165</v>
      </c>
      <c r="H520" s="64" t="s">
        <v>253</v>
      </c>
      <c r="I520" s="1">
        <v>2</v>
      </c>
      <c r="J520" s="1">
        <v>65</v>
      </c>
      <c r="K520" s="64" t="s">
        <v>835</v>
      </c>
      <c r="Q520" s="64" t="s">
        <v>705</v>
      </c>
      <c r="R520" s="64" t="s">
        <v>245</v>
      </c>
      <c r="S520" s="64" t="s">
        <v>294</v>
      </c>
      <c r="T520" s="64" t="s">
        <v>295</v>
      </c>
      <c r="U520" s="64" t="s">
        <v>329</v>
      </c>
      <c r="V520" s="64" t="s">
        <v>305</v>
      </c>
      <c r="W520" s="64" t="s">
        <v>238</v>
      </c>
      <c r="X520" s="64" t="s">
        <v>306</v>
      </c>
      <c r="Y520" s="64">
        <v>24</v>
      </c>
      <c r="Z520" s="64" t="s">
        <v>232</v>
      </c>
      <c r="AA520" s="64" t="s">
        <v>932</v>
      </c>
      <c r="AB520" s="64" t="s">
        <v>932</v>
      </c>
      <c r="AC520" s="64" t="s">
        <v>614</v>
      </c>
      <c r="AD520" s="64" t="s">
        <v>166</v>
      </c>
      <c r="AE520" s="64" t="s">
        <v>283</v>
      </c>
      <c r="AF520" s="64" t="s">
        <v>281</v>
      </c>
      <c r="AG520" s="64">
        <v>156</v>
      </c>
      <c r="AH520" s="1">
        <v>149</v>
      </c>
      <c r="AI520" s="1">
        <v>150</v>
      </c>
      <c r="AJ520" s="1">
        <v>2</v>
      </c>
      <c r="AK520" s="1">
        <v>4.5</v>
      </c>
      <c r="AL520" s="1">
        <v>3.5</v>
      </c>
      <c r="AM520" s="64" t="s">
        <v>933</v>
      </c>
    </row>
    <row r="521" spans="1:39" s="68" customFormat="1">
      <c r="A521" s="64">
        <v>2.5</v>
      </c>
      <c r="B521" s="64" t="s">
        <v>244</v>
      </c>
      <c r="C521" s="64" t="s">
        <v>270</v>
      </c>
      <c r="D521" s="64" t="s">
        <v>245</v>
      </c>
      <c r="E521" s="64" t="s">
        <v>167</v>
      </c>
      <c r="F521" s="64">
        <v>16</v>
      </c>
      <c r="G521" s="64" t="s">
        <v>165</v>
      </c>
      <c r="H521" s="64" t="s">
        <v>167</v>
      </c>
      <c r="I521" s="1">
        <v>2</v>
      </c>
      <c r="J521" s="1">
        <v>76</v>
      </c>
      <c r="K521" s="64" t="s">
        <v>836</v>
      </c>
      <c r="Q521" s="64" t="s">
        <v>705</v>
      </c>
      <c r="R521" s="64" t="s">
        <v>301</v>
      </c>
      <c r="S521" s="64" t="s">
        <v>302</v>
      </c>
      <c r="T521" s="64" t="s">
        <v>303</v>
      </c>
      <c r="U521" s="64" t="s">
        <v>336</v>
      </c>
      <c r="V521" s="64" t="s">
        <v>304</v>
      </c>
      <c r="W521" s="64" t="s">
        <v>232</v>
      </c>
      <c r="X521" s="64" t="s">
        <v>306</v>
      </c>
      <c r="Y521" s="64">
        <v>24</v>
      </c>
      <c r="Z521" s="64" t="s">
        <v>292</v>
      </c>
      <c r="AA521" s="64" t="s">
        <v>458</v>
      </c>
      <c r="AB521" s="64" t="s">
        <v>458</v>
      </c>
      <c r="AC521" s="64" t="s">
        <v>934</v>
      </c>
      <c r="AD521" s="64" t="s">
        <v>166</v>
      </c>
      <c r="AE521" s="64" t="s">
        <v>283</v>
      </c>
      <c r="AF521" s="64" t="s">
        <v>854</v>
      </c>
      <c r="AG521" s="64">
        <v>184</v>
      </c>
      <c r="AH521" s="1">
        <v>175</v>
      </c>
      <c r="AI521" s="1">
        <v>176</v>
      </c>
      <c r="AJ521" s="1">
        <v>2</v>
      </c>
      <c r="AK521" s="1">
        <v>4.5</v>
      </c>
      <c r="AL521" s="1">
        <v>3.5</v>
      </c>
      <c r="AM521" s="64" t="s">
        <v>583</v>
      </c>
    </row>
    <row r="522" spans="1:39" s="68" customFormat="1">
      <c r="A522" s="64">
        <v>2.5</v>
      </c>
      <c r="B522" s="64" t="s">
        <v>240</v>
      </c>
      <c r="C522" s="64" t="s">
        <v>288</v>
      </c>
      <c r="D522" s="64" t="s">
        <v>271</v>
      </c>
      <c r="E522" s="64" t="s">
        <v>167</v>
      </c>
      <c r="F522" s="64">
        <v>16</v>
      </c>
      <c r="G522" s="64" t="s">
        <v>165</v>
      </c>
      <c r="H522" s="64" t="s">
        <v>167</v>
      </c>
      <c r="I522" s="1">
        <v>2</v>
      </c>
      <c r="J522" s="1">
        <v>84</v>
      </c>
      <c r="K522" s="64" t="s">
        <v>837</v>
      </c>
      <c r="Q522" s="64" t="s">
        <v>705</v>
      </c>
      <c r="R522" s="64" t="s">
        <v>288</v>
      </c>
      <c r="S522" s="64" t="s">
        <v>312</v>
      </c>
      <c r="T522" s="64" t="s">
        <v>313</v>
      </c>
      <c r="U522" s="64" t="s">
        <v>935</v>
      </c>
      <c r="V522" s="64" t="s">
        <v>324</v>
      </c>
      <c r="W522" s="64" t="s">
        <v>247</v>
      </c>
      <c r="X522" s="64" t="s">
        <v>306</v>
      </c>
      <c r="Y522" s="64">
        <v>30</v>
      </c>
      <c r="Z522" s="64" t="s">
        <v>395</v>
      </c>
      <c r="AA522" s="64" t="s">
        <v>936</v>
      </c>
      <c r="AB522" s="64" t="s">
        <v>936</v>
      </c>
      <c r="AC522" s="64" t="s">
        <v>937</v>
      </c>
      <c r="AD522" s="64" t="s">
        <v>166</v>
      </c>
      <c r="AE522" s="64" t="s">
        <v>306</v>
      </c>
      <c r="AF522" s="64" t="s">
        <v>366</v>
      </c>
      <c r="AG522" s="64">
        <v>211</v>
      </c>
      <c r="AH522" s="1">
        <v>203</v>
      </c>
      <c r="AI522" s="1">
        <v>204</v>
      </c>
      <c r="AJ522" s="1">
        <v>2</v>
      </c>
      <c r="AK522" s="1">
        <v>4.5</v>
      </c>
      <c r="AL522" s="1">
        <v>3.5</v>
      </c>
      <c r="AM522" s="64" t="s">
        <v>938</v>
      </c>
    </row>
    <row r="523" spans="1:39" s="68" customFormat="1">
      <c r="A523" s="64">
        <v>2.5</v>
      </c>
      <c r="B523" s="64" t="s">
        <v>163</v>
      </c>
      <c r="C523" s="64" t="s">
        <v>416</v>
      </c>
      <c r="D523" s="64" t="s">
        <v>301</v>
      </c>
      <c r="E523" s="64" t="s">
        <v>167</v>
      </c>
      <c r="F523" s="64">
        <v>16</v>
      </c>
      <c r="G523" s="64" t="s">
        <v>165</v>
      </c>
      <c r="H523" s="64" t="s">
        <v>171</v>
      </c>
      <c r="I523" s="1">
        <v>2</v>
      </c>
      <c r="J523" s="1">
        <v>99</v>
      </c>
      <c r="K523" s="64" t="s">
        <v>691</v>
      </c>
      <c r="Q523" s="64" t="s">
        <v>705</v>
      </c>
      <c r="R523" s="64" t="s">
        <v>305</v>
      </c>
      <c r="S523" s="64" t="s">
        <v>321</v>
      </c>
      <c r="T523" s="64" t="s">
        <v>322</v>
      </c>
      <c r="U523" s="64" t="s">
        <v>939</v>
      </c>
      <c r="V523" s="64" t="s">
        <v>935</v>
      </c>
      <c r="W523" s="64" t="s">
        <v>395</v>
      </c>
      <c r="X523" s="64" t="s">
        <v>166</v>
      </c>
      <c r="Y523" s="64">
        <v>33</v>
      </c>
      <c r="Z523" s="64" t="s">
        <v>433</v>
      </c>
      <c r="AA523" s="64" t="s">
        <v>582</v>
      </c>
      <c r="AB523" s="64" t="s">
        <v>582</v>
      </c>
      <c r="AC523" s="64" t="s">
        <v>940</v>
      </c>
      <c r="AD523" s="64" t="s">
        <v>253</v>
      </c>
      <c r="AE523" s="64" t="s">
        <v>306</v>
      </c>
      <c r="AF523" s="64" t="s">
        <v>271</v>
      </c>
      <c r="AG523" s="64">
        <v>284</v>
      </c>
      <c r="AH523" s="1">
        <v>259</v>
      </c>
      <c r="AI523" s="1">
        <v>260</v>
      </c>
      <c r="AJ523" s="1">
        <v>2</v>
      </c>
      <c r="AK523" s="1">
        <v>4.5</v>
      </c>
      <c r="AL523" s="1">
        <v>3.5</v>
      </c>
      <c r="AM523" s="64" t="s">
        <v>367</v>
      </c>
    </row>
    <row r="524" spans="1:39" s="68" customFormat="1">
      <c r="A524" s="64">
        <v>2.5</v>
      </c>
      <c r="B524" s="64" t="s">
        <v>236</v>
      </c>
      <c r="C524" s="64" t="s">
        <v>319</v>
      </c>
      <c r="D524" s="64" t="s">
        <v>426</v>
      </c>
      <c r="E524" s="64" t="s">
        <v>167</v>
      </c>
      <c r="F524" s="64">
        <v>16</v>
      </c>
      <c r="G524" s="64" t="s">
        <v>306</v>
      </c>
      <c r="H524" s="64" t="s">
        <v>229</v>
      </c>
      <c r="I524" s="1">
        <v>2</v>
      </c>
      <c r="J524" s="1">
        <v>118</v>
      </c>
      <c r="K524" s="64" t="s">
        <v>941</v>
      </c>
      <c r="Q524" s="64" t="s">
        <v>705</v>
      </c>
      <c r="R524" s="64" t="s">
        <v>329</v>
      </c>
      <c r="S524" s="64" t="s">
        <v>330</v>
      </c>
      <c r="T524" s="64" t="s">
        <v>330</v>
      </c>
      <c r="U524" s="64" t="s">
        <v>530</v>
      </c>
      <c r="V524" s="64" t="s">
        <v>358</v>
      </c>
      <c r="W524" s="64" t="s">
        <v>395</v>
      </c>
      <c r="X524" s="64" t="s">
        <v>166</v>
      </c>
      <c r="Y524" s="64">
        <v>33</v>
      </c>
      <c r="Z524" s="64" t="s">
        <v>264</v>
      </c>
      <c r="AA524" s="64" t="s">
        <v>942</v>
      </c>
      <c r="AB524" s="64" t="s">
        <v>942</v>
      </c>
      <c r="AC524" s="64" t="s">
        <v>703</v>
      </c>
      <c r="AD524" s="64" t="s">
        <v>167</v>
      </c>
      <c r="AE524" s="64" t="s">
        <v>224</v>
      </c>
      <c r="AF524" s="64" t="s">
        <v>301</v>
      </c>
      <c r="AG524" s="64">
        <v>345</v>
      </c>
      <c r="AH524" s="1">
        <v>312</v>
      </c>
      <c r="AI524" s="1">
        <v>313</v>
      </c>
      <c r="AJ524" s="1">
        <v>2</v>
      </c>
      <c r="AK524" s="1">
        <v>4.5</v>
      </c>
      <c r="AL524" s="1">
        <v>3.5</v>
      </c>
      <c r="AM524" s="64" t="s">
        <v>943</v>
      </c>
    </row>
    <row r="525" spans="1:39" s="68" customFormat="1">
      <c r="A525" s="64">
        <v>2.5</v>
      </c>
      <c r="B525" s="64" t="s">
        <v>227</v>
      </c>
      <c r="C525" s="64" t="s">
        <v>305</v>
      </c>
      <c r="D525" s="64" t="s">
        <v>279</v>
      </c>
      <c r="E525" s="64" t="s">
        <v>167</v>
      </c>
      <c r="F525" s="64">
        <v>16</v>
      </c>
      <c r="G525" s="64" t="s">
        <v>306</v>
      </c>
      <c r="H525" s="64" t="s">
        <v>241</v>
      </c>
      <c r="I525" s="1">
        <v>2</v>
      </c>
      <c r="J525" s="1">
        <v>132</v>
      </c>
      <c r="K525" s="64" t="s">
        <v>944</v>
      </c>
      <c r="Q525" s="64" t="s">
        <v>705</v>
      </c>
      <c r="R525" s="64" t="s">
        <v>338</v>
      </c>
      <c r="S525" s="64" t="s">
        <v>339</v>
      </c>
      <c r="T525" s="64" t="s">
        <v>340</v>
      </c>
      <c r="U525" s="64" t="s">
        <v>381</v>
      </c>
      <c r="V525" s="64" t="s">
        <v>497</v>
      </c>
      <c r="W525" s="64" t="s">
        <v>395</v>
      </c>
      <c r="X525" s="64" t="s">
        <v>253</v>
      </c>
      <c r="Y525" s="64">
        <v>33</v>
      </c>
      <c r="Z525" s="64" t="s">
        <v>389</v>
      </c>
      <c r="AA525" s="64" t="s">
        <v>945</v>
      </c>
      <c r="AB525" s="64" t="s">
        <v>945</v>
      </c>
      <c r="AC525" s="64" t="s">
        <v>946</v>
      </c>
      <c r="AD525" s="64" t="s">
        <v>167</v>
      </c>
      <c r="AE525" s="64" t="s">
        <v>224</v>
      </c>
      <c r="AF525" s="64" t="s">
        <v>270</v>
      </c>
      <c r="AG525" s="64">
        <v>409</v>
      </c>
      <c r="AH525" s="1">
        <v>363</v>
      </c>
      <c r="AI525" s="1">
        <v>364</v>
      </c>
      <c r="AJ525" s="1">
        <v>2</v>
      </c>
      <c r="AK525" s="1">
        <v>4.5</v>
      </c>
      <c r="AL525" s="1">
        <v>3.5</v>
      </c>
      <c r="AM525" s="64" t="s">
        <v>947</v>
      </c>
    </row>
    <row r="526" spans="1:39" s="68" customFormat="1">
      <c r="A526" s="64">
        <v>2.5</v>
      </c>
      <c r="B526" s="64" t="s">
        <v>245</v>
      </c>
      <c r="C526" s="64" t="s">
        <v>572</v>
      </c>
      <c r="D526" s="64" t="s">
        <v>287</v>
      </c>
      <c r="E526" s="64" t="s">
        <v>229</v>
      </c>
      <c r="F526" s="64">
        <v>20</v>
      </c>
      <c r="G526" s="64" t="s">
        <v>306</v>
      </c>
      <c r="H526" s="64" t="s">
        <v>241</v>
      </c>
      <c r="I526" s="1">
        <v>2</v>
      </c>
      <c r="J526" s="1">
        <v>156</v>
      </c>
      <c r="K526" s="64" t="s">
        <v>948</v>
      </c>
      <c r="Q526" s="64" t="s">
        <v>705</v>
      </c>
      <c r="R526" s="64" t="s">
        <v>348</v>
      </c>
      <c r="S526" s="64" t="s">
        <v>349</v>
      </c>
      <c r="T526" s="64" t="s">
        <v>350</v>
      </c>
      <c r="U526" s="64" t="s">
        <v>383</v>
      </c>
      <c r="V526" s="64" t="s">
        <v>507</v>
      </c>
      <c r="W526" s="64" t="s">
        <v>255</v>
      </c>
      <c r="X526" s="64" t="s">
        <v>253</v>
      </c>
      <c r="Y526" s="64">
        <v>36</v>
      </c>
      <c r="Z526" s="64" t="s">
        <v>29</v>
      </c>
      <c r="AA526" s="64" t="s">
        <v>859</v>
      </c>
      <c r="AB526" s="64" t="s">
        <v>949</v>
      </c>
      <c r="AC526" s="64" t="s">
        <v>824</v>
      </c>
      <c r="AD526" s="64" t="s">
        <v>171</v>
      </c>
      <c r="AE526" s="64" t="s">
        <v>224</v>
      </c>
      <c r="AF526" s="64" t="s">
        <v>288</v>
      </c>
      <c r="AG526" s="64">
        <v>465</v>
      </c>
      <c r="AH526" s="1">
        <v>421</v>
      </c>
      <c r="AI526" s="1">
        <v>422</v>
      </c>
      <c r="AJ526" s="1">
        <v>2</v>
      </c>
      <c r="AK526" s="1">
        <v>5</v>
      </c>
      <c r="AL526" s="1">
        <v>4</v>
      </c>
      <c r="AM526" s="64" t="s">
        <v>950</v>
      </c>
    </row>
    <row r="527" spans="1:39" s="68" customFormat="1">
      <c r="A527" s="64">
        <v>2.5</v>
      </c>
      <c r="B527" s="64" t="s">
        <v>301</v>
      </c>
      <c r="C527" s="64" t="s">
        <v>575</v>
      </c>
      <c r="D527" s="64" t="s">
        <v>446</v>
      </c>
      <c r="E527" s="64" t="s">
        <v>238</v>
      </c>
      <c r="F527" s="64">
        <v>24</v>
      </c>
      <c r="G527" s="64" t="s">
        <v>306</v>
      </c>
      <c r="H527" s="64" t="s">
        <v>238</v>
      </c>
      <c r="I527" s="1">
        <v>2</v>
      </c>
      <c r="J527" s="1">
        <v>184</v>
      </c>
      <c r="K527" s="64" t="s">
        <v>658</v>
      </c>
      <c r="Q527" s="64" t="s">
        <v>705</v>
      </c>
      <c r="R527" s="64" t="s">
        <v>358</v>
      </c>
      <c r="S527" s="64" t="s">
        <v>359</v>
      </c>
      <c r="T527" s="64" t="s">
        <v>360</v>
      </c>
      <c r="U527" s="64" t="s">
        <v>510</v>
      </c>
      <c r="V527" s="64" t="s">
        <v>537</v>
      </c>
      <c r="W527" s="64" t="s">
        <v>433</v>
      </c>
      <c r="X527" s="64" t="s">
        <v>253</v>
      </c>
      <c r="Y527" s="64">
        <v>39</v>
      </c>
      <c r="Z527" s="64" t="s">
        <v>257</v>
      </c>
      <c r="AA527" s="64" t="s">
        <v>503</v>
      </c>
      <c r="AB527" s="64" t="s">
        <v>362</v>
      </c>
      <c r="AC527" s="64" t="s">
        <v>171</v>
      </c>
      <c r="AD527" s="64" t="s">
        <v>171</v>
      </c>
      <c r="AE527" s="64" t="s">
        <v>224</v>
      </c>
      <c r="AF527" s="64" t="s">
        <v>279</v>
      </c>
      <c r="AG527" s="64">
        <v>535</v>
      </c>
      <c r="AH527" s="1">
        <v>273</v>
      </c>
      <c r="AI527" s="1">
        <v>474</v>
      </c>
      <c r="AJ527" s="1">
        <v>2</v>
      </c>
      <c r="AK527" s="1">
        <v>5</v>
      </c>
      <c r="AL527" s="1">
        <v>4</v>
      </c>
      <c r="AM527" s="64" t="s">
        <v>951</v>
      </c>
    </row>
    <row r="528" spans="1:39" s="68" customFormat="1">
      <c r="A528" s="64">
        <v>2.5</v>
      </c>
      <c r="B528" s="64" t="s">
        <v>288</v>
      </c>
      <c r="C528" s="64" t="s">
        <v>338</v>
      </c>
      <c r="D528" s="64" t="s">
        <v>329</v>
      </c>
      <c r="E528" s="64" t="s">
        <v>238</v>
      </c>
      <c r="F528" s="64">
        <v>24</v>
      </c>
      <c r="G528" s="64" t="s">
        <v>306</v>
      </c>
      <c r="H528" s="64" t="s">
        <v>275</v>
      </c>
      <c r="I528" s="1">
        <v>2</v>
      </c>
      <c r="J528" s="1">
        <v>211</v>
      </c>
      <c r="K528" s="64" t="s">
        <v>598</v>
      </c>
      <c r="Q528" s="64" t="s">
        <v>952</v>
      </c>
      <c r="R528" s="64" t="s">
        <v>224</v>
      </c>
      <c r="S528" s="64" t="s">
        <v>160</v>
      </c>
      <c r="T528" s="64" t="s">
        <v>161</v>
      </c>
      <c r="U528" s="64" t="s">
        <v>245</v>
      </c>
      <c r="V528" s="64" t="s">
        <v>266</v>
      </c>
      <c r="W528" s="64" t="s">
        <v>161</v>
      </c>
      <c r="X528" s="64" t="s">
        <v>165</v>
      </c>
      <c r="Y528" s="64">
        <v>12</v>
      </c>
      <c r="Z528" s="64" t="s">
        <v>171</v>
      </c>
      <c r="AA528" s="64" t="s">
        <v>244</v>
      </c>
      <c r="AB528" s="64" t="s">
        <v>244</v>
      </c>
      <c r="AC528" s="64" t="s">
        <v>170</v>
      </c>
      <c r="AD528" s="64" t="s">
        <v>283</v>
      </c>
      <c r="AE528" s="64" t="s">
        <v>170</v>
      </c>
      <c r="AF528" s="64" t="s">
        <v>261</v>
      </c>
      <c r="AG528" s="64">
        <v>41</v>
      </c>
      <c r="AH528" s="1">
        <v>34</v>
      </c>
      <c r="AI528" s="1">
        <v>35</v>
      </c>
      <c r="AJ528" s="1">
        <v>2</v>
      </c>
      <c r="AK528" s="1">
        <v>4</v>
      </c>
      <c r="AL528" s="1">
        <v>3</v>
      </c>
      <c r="AM528" s="64" t="s">
        <v>917</v>
      </c>
    </row>
    <row r="529" spans="1:39" s="68" customFormat="1">
      <c r="A529" s="64">
        <v>2.5</v>
      </c>
      <c r="B529" s="64" t="s">
        <v>305</v>
      </c>
      <c r="C529" s="64" t="s">
        <v>580</v>
      </c>
      <c r="D529" s="64" t="s">
        <v>581</v>
      </c>
      <c r="E529" s="64" t="s">
        <v>238</v>
      </c>
      <c r="F529" s="64">
        <v>24</v>
      </c>
      <c r="G529" s="64" t="s">
        <v>166</v>
      </c>
      <c r="H529" s="64" t="s">
        <v>232</v>
      </c>
      <c r="I529" s="1">
        <v>2</v>
      </c>
      <c r="J529" s="1">
        <v>266</v>
      </c>
      <c r="K529" s="64" t="s">
        <v>953</v>
      </c>
      <c r="Q529" s="64" t="s">
        <v>952</v>
      </c>
      <c r="R529" s="64" t="s">
        <v>168</v>
      </c>
      <c r="S529" s="64" t="s">
        <v>226</v>
      </c>
      <c r="T529" s="64" t="s">
        <v>167</v>
      </c>
      <c r="U529" s="64" t="s">
        <v>377</v>
      </c>
      <c r="V529" s="64" t="s">
        <v>162</v>
      </c>
      <c r="W529" s="64" t="s">
        <v>161</v>
      </c>
      <c r="X529" s="64" t="s">
        <v>165</v>
      </c>
      <c r="Y529" s="64">
        <v>12</v>
      </c>
      <c r="Z529" s="64" t="s">
        <v>171</v>
      </c>
      <c r="AA529" s="64" t="s">
        <v>292</v>
      </c>
      <c r="AB529" s="64" t="s">
        <v>292</v>
      </c>
      <c r="AC529" s="64" t="s">
        <v>691</v>
      </c>
      <c r="AD529" s="64" t="s">
        <v>283</v>
      </c>
      <c r="AE529" s="64" t="s">
        <v>170</v>
      </c>
      <c r="AF529" s="64" t="s">
        <v>261</v>
      </c>
      <c r="AG529" s="64">
        <v>16</v>
      </c>
      <c r="AH529" s="1">
        <v>39</v>
      </c>
      <c r="AI529" s="1">
        <v>40</v>
      </c>
      <c r="AJ529" s="1">
        <v>2</v>
      </c>
      <c r="AK529" s="1">
        <v>4</v>
      </c>
      <c r="AL529" s="1">
        <v>3</v>
      </c>
      <c r="AM529" s="64" t="s">
        <v>919</v>
      </c>
    </row>
    <row r="530" spans="1:39" s="68" customFormat="1">
      <c r="A530" s="64">
        <v>2.5</v>
      </c>
      <c r="B530" s="64" t="s">
        <v>329</v>
      </c>
      <c r="C530" s="64" t="s">
        <v>585</v>
      </c>
      <c r="D530" s="64" t="s">
        <v>586</v>
      </c>
      <c r="E530" s="64" t="s">
        <v>232</v>
      </c>
      <c r="F530" s="64">
        <v>27</v>
      </c>
      <c r="G530" s="64" t="s">
        <v>166</v>
      </c>
      <c r="H530" s="64" t="s">
        <v>244</v>
      </c>
      <c r="I530" s="1">
        <v>2</v>
      </c>
      <c r="J530" s="1">
        <v>330</v>
      </c>
      <c r="K530" s="64" t="s">
        <v>954</v>
      </c>
      <c r="Q530" s="64" t="s">
        <v>952</v>
      </c>
      <c r="R530" s="64" t="s">
        <v>171</v>
      </c>
      <c r="S530" s="64" t="s">
        <v>234</v>
      </c>
      <c r="T530" s="64" t="s">
        <v>169</v>
      </c>
      <c r="U530" s="64" t="s">
        <v>262</v>
      </c>
      <c r="V530" s="64" t="s">
        <v>235</v>
      </c>
      <c r="W530" s="64" t="s">
        <v>167</v>
      </c>
      <c r="X530" s="64" t="s">
        <v>165</v>
      </c>
      <c r="Y530" s="64">
        <v>16</v>
      </c>
      <c r="Z530" s="64" t="s">
        <v>171</v>
      </c>
      <c r="AA530" s="64" t="s">
        <v>433</v>
      </c>
      <c r="AB530" s="64" t="s">
        <v>433</v>
      </c>
      <c r="AC530" s="64" t="s">
        <v>694</v>
      </c>
      <c r="AD530" s="64" t="s">
        <v>283</v>
      </c>
      <c r="AE530" s="64" t="s">
        <v>165</v>
      </c>
      <c r="AF530" s="64" t="s">
        <v>389</v>
      </c>
      <c r="AG530" s="64">
        <v>56</v>
      </c>
      <c r="AH530" s="1">
        <v>50</v>
      </c>
      <c r="AI530" s="1">
        <v>51</v>
      </c>
      <c r="AJ530" s="1">
        <v>2</v>
      </c>
      <c r="AK530" s="1">
        <v>4</v>
      </c>
      <c r="AL530" s="1">
        <v>3</v>
      </c>
      <c r="AM530" s="64" t="s">
        <v>674</v>
      </c>
    </row>
    <row r="531" spans="1:39" s="68" customFormat="1">
      <c r="A531" s="64">
        <v>2.5</v>
      </c>
      <c r="B531" s="64" t="s">
        <v>338</v>
      </c>
      <c r="C531" s="64" t="s">
        <v>375</v>
      </c>
      <c r="D531" s="64" t="s">
        <v>364</v>
      </c>
      <c r="E531" s="64" t="s">
        <v>232</v>
      </c>
      <c r="F531" s="64">
        <v>27</v>
      </c>
      <c r="G531" s="64" t="s">
        <v>253</v>
      </c>
      <c r="H531" s="64" t="s">
        <v>292</v>
      </c>
      <c r="I531" s="1">
        <v>2</v>
      </c>
      <c r="J531" s="1">
        <v>389</v>
      </c>
      <c r="K531" s="64" t="s">
        <v>955</v>
      </c>
      <c r="Q531" s="64" t="s">
        <v>952</v>
      </c>
      <c r="R531" s="64" t="s">
        <v>169</v>
      </c>
      <c r="S531" s="64" t="s">
        <v>243</v>
      </c>
      <c r="T531" s="64" t="s">
        <v>244</v>
      </c>
      <c r="U531" s="64" t="s">
        <v>270</v>
      </c>
      <c r="V531" s="64" t="s">
        <v>245</v>
      </c>
      <c r="W531" s="64" t="s">
        <v>167</v>
      </c>
      <c r="X531" s="64" t="s">
        <v>165</v>
      </c>
      <c r="Y531" s="64">
        <v>16</v>
      </c>
      <c r="Z531" s="64" t="s">
        <v>241</v>
      </c>
      <c r="AA531" s="64" t="s">
        <v>389</v>
      </c>
      <c r="AB531" s="64" t="s">
        <v>389</v>
      </c>
      <c r="AC531" s="64" t="s">
        <v>694</v>
      </c>
      <c r="AD531" s="64" t="s">
        <v>306</v>
      </c>
      <c r="AE531" s="64" t="s">
        <v>165</v>
      </c>
      <c r="AF531" s="64" t="s">
        <v>489</v>
      </c>
      <c r="AG531" s="64">
        <v>65</v>
      </c>
      <c r="AH531" s="1">
        <v>57</v>
      </c>
      <c r="AI531" s="1">
        <v>58</v>
      </c>
      <c r="AJ531" s="1">
        <v>2</v>
      </c>
      <c r="AK531" s="1">
        <v>4</v>
      </c>
      <c r="AL531" s="1">
        <v>3</v>
      </c>
      <c r="AM531" s="64" t="s">
        <v>921</v>
      </c>
    </row>
    <row r="532" spans="1:39" s="68" customFormat="1">
      <c r="A532" s="64">
        <v>2.5</v>
      </c>
      <c r="B532" s="64" t="s">
        <v>348</v>
      </c>
      <c r="C532" s="64" t="s">
        <v>592</v>
      </c>
      <c r="D532" s="64" t="s">
        <v>351</v>
      </c>
      <c r="E532" s="64" t="s">
        <v>247</v>
      </c>
      <c r="F532" s="64">
        <v>30</v>
      </c>
      <c r="G532" s="64" t="s">
        <v>253</v>
      </c>
      <c r="H532" s="64" t="s">
        <v>251</v>
      </c>
      <c r="I532" s="1">
        <v>2</v>
      </c>
      <c r="J532" s="1">
        <v>448</v>
      </c>
      <c r="K532" s="64" t="s">
        <v>538</v>
      </c>
      <c r="Q532" s="64" t="s">
        <v>952</v>
      </c>
      <c r="R532" s="64" t="s">
        <v>244</v>
      </c>
      <c r="S532" s="64" t="s">
        <v>250</v>
      </c>
      <c r="T532" s="64" t="s">
        <v>251</v>
      </c>
      <c r="U532" s="64" t="s">
        <v>894</v>
      </c>
      <c r="V532" s="64" t="s">
        <v>271</v>
      </c>
      <c r="W532" s="64" t="s">
        <v>229</v>
      </c>
      <c r="X532" s="64" t="s">
        <v>165</v>
      </c>
      <c r="Y532" s="64">
        <v>20</v>
      </c>
      <c r="Z532" s="64" t="s">
        <v>241</v>
      </c>
      <c r="AA532" s="64" t="s">
        <v>257</v>
      </c>
      <c r="AB532" s="64" t="s">
        <v>257</v>
      </c>
      <c r="AC532" s="64" t="s">
        <v>694</v>
      </c>
      <c r="AD532" s="64" t="s">
        <v>306</v>
      </c>
      <c r="AE532" s="64" t="s">
        <v>258</v>
      </c>
      <c r="AF532" s="64" t="s">
        <v>257</v>
      </c>
      <c r="AG532" s="64">
        <v>76</v>
      </c>
      <c r="AH532" s="1">
        <v>65</v>
      </c>
      <c r="AI532" s="1">
        <v>66</v>
      </c>
      <c r="AJ532" s="1">
        <v>2</v>
      </c>
      <c r="AK532" s="1">
        <v>4</v>
      </c>
      <c r="AL532" s="1">
        <v>3</v>
      </c>
      <c r="AM532" s="64" t="s">
        <v>923</v>
      </c>
    </row>
    <row r="533" spans="1:39" s="68" customFormat="1">
      <c r="A533" s="64">
        <v>2.5</v>
      </c>
      <c r="B533" s="64" t="s">
        <v>358</v>
      </c>
      <c r="C533" s="64" t="s">
        <v>511</v>
      </c>
      <c r="D533" s="64" t="s">
        <v>373</v>
      </c>
      <c r="E533" s="64" t="s">
        <v>395</v>
      </c>
      <c r="F533" s="64">
        <v>33</v>
      </c>
      <c r="G533" s="64" t="s">
        <v>253</v>
      </c>
      <c r="H533" s="64" t="s">
        <v>240</v>
      </c>
      <c r="I533" s="1">
        <v>2</v>
      </c>
      <c r="J533" s="1">
        <v>503</v>
      </c>
      <c r="K533" s="64" t="s">
        <v>956</v>
      </c>
      <c r="Q533" s="64" t="s">
        <v>952</v>
      </c>
      <c r="R533" s="64" t="s">
        <v>240</v>
      </c>
      <c r="S533" s="64" t="s">
        <v>260</v>
      </c>
      <c r="T533" s="64" t="s">
        <v>261</v>
      </c>
      <c r="U533" s="64" t="s">
        <v>297</v>
      </c>
      <c r="V533" s="64" t="s">
        <v>301</v>
      </c>
      <c r="W533" s="64" t="s">
        <v>229</v>
      </c>
      <c r="X533" s="64" t="s">
        <v>165</v>
      </c>
      <c r="Y533" s="64">
        <v>20</v>
      </c>
      <c r="Z533" s="64" t="s">
        <v>238</v>
      </c>
      <c r="AA533" s="64" t="s">
        <v>266</v>
      </c>
      <c r="AB533" s="64" t="s">
        <v>266</v>
      </c>
      <c r="AC533" s="64" t="s">
        <v>165</v>
      </c>
      <c r="AD533" s="64" t="s">
        <v>224</v>
      </c>
      <c r="AE533" s="64" t="s">
        <v>258</v>
      </c>
      <c r="AF533" s="64" t="s">
        <v>706</v>
      </c>
      <c r="AG533" s="64">
        <v>84</v>
      </c>
      <c r="AH533" s="1">
        <v>75</v>
      </c>
      <c r="AI533" s="1">
        <v>76</v>
      </c>
      <c r="AJ533" s="1">
        <v>2</v>
      </c>
      <c r="AK533" s="1">
        <v>4</v>
      </c>
      <c r="AL533" s="1">
        <v>3</v>
      </c>
      <c r="AM533" s="64" t="s">
        <v>925</v>
      </c>
    </row>
    <row r="534" spans="1:39" s="68" customFormat="1">
      <c r="A534" s="64">
        <v>2.5</v>
      </c>
      <c r="B534" s="64" t="s">
        <v>369</v>
      </c>
      <c r="C534" s="64" t="s">
        <v>510</v>
      </c>
      <c r="D534" s="64" t="s">
        <v>383</v>
      </c>
      <c r="E534" s="64" t="s">
        <v>395</v>
      </c>
      <c r="F534" s="64">
        <v>33</v>
      </c>
      <c r="G534" s="64" t="s">
        <v>171</v>
      </c>
      <c r="H534" s="64" t="s">
        <v>264</v>
      </c>
      <c r="I534" s="1">
        <v>2</v>
      </c>
      <c r="J534" s="1">
        <v>548</v>
      </c>
      <c r="K534" s="64" t="s">
        <v>957</v>
      </c>
      <c r="Q534" s="64" t="s">
        <v>952</v>
      </c>
      <c r="R534" s="64" t="s">
        <v>163</v>
      </c>
      <c r="S534" s="64" t="s">
        <v>268</v>
      </c>
      <c r="T534" s="64" t="s">
        <v>269</v>
      </c>
      <c r="U534" s="64" t="s">
        <v>470</v>
      </c>
      <c r="V534" s="64" t="s">
        <v>426</v>
      </c>
      <c r="W534" s="64" t="s">
        <v>238</v>
      </c>
      <c r="X534" s="64" t="s">
        <v>165</v>
      </c>
      <c r="Y534" s="64">
        <v>24</v>
      </c>
      <c r="Z534" s="64" t="s">
        <v>275</v>
      </c>
      <c r="AA534" s="64" t="s">
        <v>235</v>
      </c>
      <c r="AB534" s="64" t="s">
        <v>235</v>
      </c>
      <c r="AC534" s="64" t="s">
        <v>283</v>
      </c>
      <c r="AD534" s="64" t="s">
        <v>224</v>
      </c>
      <c r="AE534" s="64" t="s">
        <v>258</v>
      </c>
      <c r="AF534" s="64" t="s">
        <v>538</v>
      </c>
      <c r="AG534" s="64">
        <v>99</v>
      </c>
      <c r="AH534" s="1">
        <v>87</v>
      </c>
      <c r="AI534" s="1">
        <v>88</v>
      </c>
      <c r="AJ534" s="1">
        <v>2</v>
      </c>
      <c r="AK534" s="1">
        <v>4</v>
      </c>
      <c r="AL534" s="1">
        <v>3</v>
      </c>
      <c r="AM534" s="64" t="s">
        <v>958</v>
      </c>
    </row>
    <row r="535" spans="1:39" s="68" customFormat="1">
      <c r="A535" s="64">
        <v>2.5</v>
      </c>
      <c r="B535" s="64" t="s">
        <v>379</v>
      </c>
      <c r="C535" s="64" t="s">
        <v>602</v>
      </c>
      <c r="D535" s="64" t="s">
        <v>603</v>
      </c>
      <c r="E535" s="64" t="s">
        <v>395</v>
      </c>
      <c r="F535" s="64">
        <v>33</v>
      </c>
      <c r="G535" s="64" t="s">
        <v>171</v>
      </c>
      <c r="H535" s="64" t="s">
        <v>454</v>
      </c>
      <c r="I535" s="1">
        <v>2</v>
      </c>
      <c r="J535" s="1">
        <v>609</v>
      </c>
      <c r="K535" s="64" t="s">
        <v>288</v>
      </c>
      <c r="Q535" s="64" t="s">
        <v>952</v>
      </c>
      <c r="R535" s="64" t="s">
        <v>236</v>
      </c>
      <c r="S535" s="64" t="s">
        <v>277</v>
      </c>
      <c r="T535" s="64" t="s">
        <v>278</v>
      </c>
      <c r="U535" s="64" t="s">
        <v>446</v>
      </c>
      <c r="V535" s="64" t="s">
        <v>297</v>
      </c>
      <c r="W535" s="64" t="s">
        <v>238</v>
      </c>
      <c r="X535" s="64" t="s">
        <v>306</v>
      </c>
      <c r="Y535" s="64">
        <v>24</v>
      </c>
      <c r="Z535" s="64" t="s">
        <v>232</v>
      </c>
      <c r="AA535" s="64" t="s">
        <v>295</v>
      </c>
      <c r="AB535" s="64" t="s">
        <v>295</v>
      </c>
      <c r="AC535" s="64" t="s">
        <v>614</v>
      </c>
      <c r="AD535" s="64" t="s">
        <v>166</v>
      </c>
      <c r="AE535" s="64" t="s">
        <v>283</v>
      </c>
      <c r="AF535" s="64" t="s">
        <v>278</v>
      </c>
      <c r="AG535" s="64">
        <v>118</v>
      </c>
      <c r="AH535" s="1">
        <v>109</v>
      </c>
      <c r="AI535" s="1">
        <v>110</v>
      </c>
      <c r="AJ535" s="1">
        <v>2</v>
      </c>
      <c r="AK535" s="1">
        <v>4</v>
      </c>
      <c r="AL535" s="1">
        <v>3</v>
      </c>
      <c r="AM535" s="64" t="s">
        <v>959</v>
      </c>
    </row>
    <row r="536" spans="1:39" s="68" customFormat="1">
      <c r="A536" s="64">
        <v>2.5</v>
      </c>
      <c r="B536" s="64" t="s">
        <v>383</v>
      </c>
      <c r="C536" s="64" t="s">
        <v>607</v>
      </c>
      <c r="D536" s="64" t="s">
        <v>549</v>
      </c>
      <c r="E536" s="64" t="s">
        <v>255</v>
      </c>
      <c r="F536" s="64">
        <v>36</v>
      </c>
      <c r="G536" s="64" t="s">
        <v>171</v>
      </c>
      <c r="H536" s="64" t="s">
        <v>489</v>
      </c>
      <c r="I536" s="1">
        <v>2</v>
      </c>
      <c r="J536" s="1">
        <v>720</v>
      </c>
      <c r="K536" s="64" t="s">
        <v>960</v>
      </c>
      <c r="Q536" s="64" t="s">
        <v>952</v>
      </c>
      <c r="R536" s="64" t="s">
        <v>227</v>
      </c>
      <c r="S536" s="64" t="s">
        <v>285</v>
      </c>
      <c r="T536" s="64" t="s">
        <v>286</v>
      </c>
      <c r="U536" s="64" t="s">
        <v>961</v>
      </c>
      <c r="V536" s="64" t="s">
        <v>447</v>
      </c>
      <c r="W536" s="64" t="s">
        <v>238</v>
      </c>
      <c r="X536" s="64" t="s">
        <v>306</v>
      </c>
      <c r="Y536" s="64">
        <v>24</v>
      </c>
      <c r="Z536" s="64" t="s">
        <v>244</v>
      </c>
      <c r="AA536" s="64" t="s">
        <v>252</v>
      </c>
      <c r="AB536" s="64" t="s">
        <v>252</v>
      </c>
      <c r="AC536" s="64" t="s">
        <v>614</v>
      </c>
      <c r="AD536" s="64" t="s">
        <v>166</v>
      </c>
      <c r="AE536" s="64" t="s">
        <v>283</v>
      </c>
      <c r="AF536" s="64" t="s">
        <v>281</v>
      </c>
      <c r="AG536" s="64">
        <v>132</v>
      </c>
      <c r="AH536" s="1">
        <v>120</v>
      </c>
      <c r="AI536" s="1">
        <v>121</v>
      </c>
      <c r="AJ536" s="1">
        <v>2</v>
      </c>
      <c r="AK536" s="1">
        <v>4</v>
      </c>
      <c r="AL536" s="1">
        <v>3</v>
      </c>
      <c r="AM536" s="64" t="s">
        <v>471</v>
      </c>
    </row>
    <row r="537" spans="1:39" s="68" customFormat="1">
      <c r="A537" s="65">
        <v>4</v>
      </c>
      <c r="B537" s="64" t="s">
        <v>224</v>
      </c>
      <c r="C537" s="64" t="s">
        <v>235</v>
      </c>
      <c r="D537" s="64" t="s">
        <v>257</v>
      </c>
      <c r="E537" s="64" t="s">
        <v>161</v>
      </c>
      <c r="F537" s="64">
        <v>12</v>
      </c>
      <c r="G537" s="64" t="s">
        <v>165</v>
      </c>
      <c r="H537" s="64" t="s">
        <v>161</v>
      </c>
      <c r="I537" s="1">
        <v>2</v>
      </c>
      <c r="J537" s="64">
        <v>41</v>
      </c>
      <c r="K537" s="64" t="s">
        <v>832</v>
      </c>
      <c r="Q537" s="64" t="s">
        <v>952</v>
      </c>
      <c r="R537" s="64" t="s">
        <v>245</v>
      </c>
      <c r="S537" s="64" t="s">
        <v>294</v>
      </c>
      <c r="T537" s="64" t="s">
        <v>295</v>
      </c>
      <c r="U537" s="64" t="s">
        <v>314</v>
      </c>
      <c r="V537" s="64" t="s">
        <v>296</v>
      </c>
      <c r="W537" s="64" t="s">
        <v>232</v>
      </c>
      <c r="X537" s="64" t="s">
        <v>306</v>
      </c>
      <c r="Y537" s="64">
        <v>27</v>
      </c>
      <c r="Z537" s="64" t="s">
        <v>395</v>
      </c>
      <c r="AA537" s="64" t="s">
        <v>288</v>
      </c>
      <c r="AB537" s="64" t="s">
        <v>288</v>
      </c>
      <c r="AC537" s="64" t="s">
        <v>306</v>
      </c>
      <c r="AD537" s="64" t="s">
        <v>166</v>
      </c>
      <c r="AE537" s="64" t="s">
        <v>283</v>
      </c>
      <c r="AF537" s="64" t="s">
        <v>235</v>
      </c>
      <c r="AG537" s="64">
        <v>156</v>
      </c>
      <c r="AH537" s="1">
        <v>149</v>
      </c>
      <c r="AI537" s="1">
        <v>150</v>
      </c>
      <c r="AJ537" s="1">
        <v>2</v>
      </c>
      <c r="AK537" s="1">
        <v>4.5</v>
      </c>
      <c r="AL537" s="1">
        <v>3.5</v>
      </c>
      <c r="AM537" s="64" t="s">
        <v>962</v>
      </c>
    </row>
    <row r="538" spans="1:39" s="68" customFormat="1">
      <c r="A538" s="65">
        <v>4</v>
      </c>
      <c r="B538" s="64" t="s">
        <v>168</v>
      </c>
      <c r="C538" s="64" t="s">
        <v>366</v>
      </c>
      <c r="D538" s="64" t="s">
        <v>236</v>
      </c>
      <c r="E538" s="64" t="s">
        <v>161</v>
      </c>
      <c r="F538" s="64">
        <v>12</v>
      </c>
      <c r="G538" s="64" t="s">
        <v>165</v>
      </c>
      <c r="H538" s="64" t="s">
        <v>161</v>
      </c>
      <c r="I538" s="1">
        <v>2</v>
      </c>
      <c r="J538" s="64">
        <v>16</v>
      </c>
      <c r="K538" s="64" t="s">
        <v>833</v>
      </c>
      <c r="Q538" s="64" t="s">
        <v>952</v>
      </c>
      <c r="R538" s="64" t="s">
        <v>301</v>
      </c>
      <c r="S538" s="64" t="s">
        <v>302</v>
      </c>
      <c r="T538" s="64" t="s">
        <v>303</v>
      </c>
      <c r="U538" s="64" t="s">
        <v>963</v>
      </c>
      <c r="V538" s="64" t="s">
        <v>329</v>
      </c>
      <c r="W538" s="64" t="s">
        <v>247</v>
      </c>
      <c r="X538" s="64" t="s">
        <v>306</v>
      </c>
      <c r="Y538" s="64">
        <v>30</v>
      </c>
      <c r="Z538" s="64" t="s">
        <v>240</v>
      </c>
      <c r="AA538" s="64" t="s">
        <v>447</v>
      </c>
      <c r="AB538" s="64" t="s">
        <v>447</v>
      </c>
      <c r="AC538" s="64" t="s">
        <v>940</v>
      </c>
      <c r="AD538" s="64" t="s">
        <v>161</v>
      </c>
      <c r="AE538" s="64" t="s">
        <v>283</v>
      </c>
      <c r="AF538" s="64" t="s">
        <v>377</v>
      </c>
      <c r="AG538" s="64">
        <v>184</v>
      </c>
      <c r="AH538" s="1">
        <v>175</v>
      </c>
      <c r="AI538" s="1">
        <v>176</v>
      </c>
      <c r="AJ538" s="1">
        <v>2</v>
      </c>
      <c r="AK538" s="1">
        <v>4.5</v>
      </c>
      <c r="AL538" s="1">
        <v>3.5</v>
      </c>
      <c r="AM538" s="64" t="s">
        <v>964</v>
      </c>
    </row>
    <row r="539" spans="1:39" s="68" customFormat="1">
      <c r="A539" s="65">
        <v>4</v>
      </c>
      <c r="B539" s="64" t="s">
        <v>171</v>
      </c>
      <c r="C539" s="64" t="s">
        <v>377</v>
      </c>
      <c r="D539" s="64" t="s">
        <v>162</v>
      </c>
      <c r="E539" s="64" t="s">
        <v>161</v>
      </c>
      <c r="F539" s="64">
        <v>12</v>
      </c>
      <c r="G539" s="64" t="s">
        <v>165</v>
      </c>
      <c r="H539" s="64" t="s">
        <v>253</v>
      </c>
      <c r="I539" s="1">
        <v>2</v>
      </c>
      <c r="J539" s="64">
        <v>56</v>
      </c>
      <c r="K539" s="64" t="s">
        <v>834</v>
      </c>
      <c r="Q539" s="64" t="s">
        <v>952</v>
      </c>
      <c r="R539" s="64" t="s">
        <v>288</v>
      </c>
      <c r="S539" s="64" t="s">
        <v>312</v>
      </c>
      <c r="T539" s="64" t="s">
        <v>313</v>
      </c>
      <c r="U539" s="64" t="s">
        <v>346</v>
      </c>
      <c r="V539" s="64" t="s">
        <v>965</v>
      </c>
      <c r="W539" s="64" t="s">
        <v>247</v>
      </c>
      <c r="X539" s="64" t="s">
        <v>166</v>
      </c>
      <c r="Y539" s="64">
        <v>30</v>
      </c>
      <c r="Z539" s="64" t="s">
        <v>310</v>
      </c>
      <c r="AA539" s="64" t="s">
        <v>296</v>
      </c>
      <c r="AB539" s="64" t="s">
        <v>296</v>
      </c>
      <c r="AC539" s="64" t="s">
        <v>779</v>
      </c>
      <c r="AD539" s="64" t="s">
        <v>161</v>
      </c>
      <c r="AE539" s="64" t="s">
        <v>306</v>
      </c>
      <c r="AF539" s="64" t="s">
        <v>387</v>
      </c>
      <c r="AG539" s="64">
        <v>211</v>
      </c>
      <c r="AH539" s="1">
        <v>203</v>
      </c>
      <c r="AI539" s="1">
        <v>204</v>
      </c>
      <c r="AJ539" s="1">
        <v>2</v>
      </c>
      <c r="AK539" s="1">
        <v>4.5</v>
      </c>
      <c r="AL539" s="1">
        <v>3.5</v>
      </c>
      <c r="AM539" s="64" t="s">
        <v>966</v>
      </c>
    </row>
    <row r="540" spans="1:39" s="68" customFormat="1">
      <c r="A540" s="65">
        <v>4</v>
      </c>
      <c r="B540" s="64" t="s">
        <v>169</v>
      </c>
      <c r="C540" s="64" t="s">
        <v>387</v>
      </c>
      <c r="D540" s="64" t="s">
        <v>388</v>
      </c>
      <c r="E540" s="64" t="s">
        <v>161</v>
      </c>
      <c r="F540" s="64">
        <v>12</v>
      </c>
      <c r="G540" s="64" t="s">
        <v>165</v>
      </c>
      <c r="H540" s="64" t="s">
        <v>253</v>
      </c>
      <c r="I540" s="1">
        <v>2</v>
      </c>
      <c r="J540" s="64">
        <v>65</v>
      </c>
      <c r="K540" s="64" t="s">
        <v>835</v>
      </c>
      <c r="Q540" s="64" t="s">
        <v>952</v>
      </c>
      <c r="R540" s="64" t="s">
        <v>305</v>
      </c>
      <c r="S540" s="64" t="s">
        <v>321</v>
      </c>
      <c r="T540" s="64" t="s">
        <v>322</v>
      </c>
      <c r="U540" s="64" t="s">
        <v>364</v>
      </c>
      <c r="V540" s="64" t="s">
        <v>580</v>
      </c>
      <c r="W540" s="64" t="s">
        <v>395</v>
      </c>
      <c r="X540" s="64" t="s">
        <v>166</v>
      </c>
      <c r="Y540" s="64">
        <v>33</v>
      </c>
      <c r="Z540" s="64" t="s">
        <v>389</v>
      </c>
      <c r="AA540" s="64" t="s">
        <v>967</v>
      </c>
      <c r="AB540" s="64" t="s">
        <v>967</v>
      </c>
      <c r="AC540" s="64" t="s">
        <v>968</v>
      </c>
      <c r="AD540" s="64" t="s">
        <v>253</v>
      </c>
      <c r="AE540" s="64" t="s">
        <v>306</v>
      </c>
      <c r="AF540" s="64" t="s">
        <v>262</v>
      </c>
      <c r="AG540" s="64">
        <v>284</v>
      </c>
      <c r="AH540" s="1">
        <v>259</v>
      </c>
      <c r="AI540" s="1">
        <v>260</v>
      </c>
      <c r="AJ540" s="1">
        <v>2</v>
      </c>
      <c r="AK540" s="1">
        <v>4.5</v>
      </c>
      <c r="AL540" s="1">
        <v>3.5</v>
      </c>
      <c r="AM540" s="64" t="s">
        <v>465</v>
      </c>
    </row>
    <row r="541" spans="1:39" s="68" customFormat="1">
      <c r="A541" s="65">
        <v>4</v>
      </c>
      <c r="B541" s="64" t="s">
        <v>244</v>
      </c>
      <c r="C541" s="64" t="s">
        <v>270</v>
      </c>
      <c r="D541" s="64" t="s">
        <v>245</v>
      </c>
      <c r="E541" s="64" t="s">
        <v>167</v>
      </c>
      <c r="F541" s="64">
        <v>16</v>
      </c>
      <c r="G541" s="64" t="s">
        <v>165</v>
      </c>
      <c r="H541" s="64" t="s">
        <v>167</v>
      </c>
      <c r="I541" s="1">
        <v>2</v>
      </c>
      <c r="J541" s="64">
        <v>76</v>
      </c>
      <c r="K541" s="64" t="s">
        <v>836</v>
      </c>
      <c r="Q541" s="64" t="s">
        <v>952</v>
      </c>
      <c r="R541" s="64" t="s">
        <v>329</v>
      </c>
      <c r="S541" s="64" t="s">
        <v>330</v>
      </c>
      <c r="T541" s="64" t="s">
        <v>330</v>
      </c>
      <c r="U541" s="64" t="s">
        <v>496</v>
      </c>
      <c r="V541" s="64" t="s">
        <v>364</v>
      </c>
      <c r="W541" s="64" t="s">
        <v>255</v>
      </c>
      <c r="X541" s="64" t="s">
        <v>166</v>
      </c>
      <c r="Y541" s="64">
        <v>36</v>
      </c>
      <c r="Z541" s="64" t="s">
        <v>257</v>
      </c>
      <c r="AA541" s="64" t="s">
        <v>481</v>
      </c>
      <c r="AB541" s="64" t="s">
        <v>481</v>
      </c>
      <c r="AC541" s="64" t="s">
        <v>969</v>
      </c>
      <c r="AD541" s="64" t="s">
        <v>167</v>
      </c>
      <c r="AE541" s="64" t="s">
        <v>224</v>
      </c>
      <c r="AF541" s="64" t="s">
        <v>970</v>
      </c>
      <c r="AG541" s="64">
        <v>345</v>
      </c>
      <c r="AH541" s="1">
        <v>312</v>
      </c>
      <c r="AI541" s="1">
        <v>313</v>
      </c>
      <c r="AJ541" s="1">
        <v>2</v>
      </c>
      <c r="AK541" s="1">
        <v>4.5</v>
      </c>
      <c r="AL541" s="1">
        <v>3.5</v>
      </c>
      <c r="AM541" s="64" t="s">
        <v>971</v>
      </c>
    </row>
    <row r="542" spans="1:39" s="68" customFormat="1">
      <c r="A542" s="65">
        <v>4</v>
      </c>
      <c r="B542" s="64" t="s">
        <v>240</v>
      </c>
      <c r="C542" s="64" t="s">
        <v>288</v>
      </c>
      <c r="D542" s="64" t="s">
        <v>271</v>
      </c>
      <c r="E542" s="64" t="s">
        <v>167</v>
      </c>
      <c r="F542" s="64">
        <v>16</v>
      </c>
      <c r="G542" s="64" t="s">
        <v>165</v>
      </c>
      <c r="H542" s="64" t="s">
        <v>167</v>
      </c>
      <c r="I542" s="1">
        <v>2</v>
      </c>
      <c r="J542" s="64">
        <v>84</v>
      </c>
      <c r="K542" s="64" t="s">
        <v>837</v>
      </c>
      <c r="Q542" s="64" t="s">
        <v>952</v>
      </c>
      <c r="R542" s="64" t="s">
        <v>338</v>
      </c>
      <c r="S542" s="64" t="s">
        <v>339</v>
      </c>
      <c r="T542" s="64" t="s">
        <v>340</v>
      </c>
      <c r="U542" s="64" t="s">
        <v>537</v>
      </c>
      <c r="V542" s="64" t="s">
        <v>379</v>
      </c>
      <c r="W542" s="64" t="s">
        <v>433</v>
      </c>
      <c r="X542" s="64" t="s">
        <v>253</v>
      </c>
      <c r="Y542" s="64">
        <v>39</v>
      </c>
      <c r="Z542" s="64" t="s">
        <v>538</v>
      </c>
      <c r="AA542" s="64" t="s">
        <v>358</v>
      </c>
      <c r="AB542" s="64" t="s">
        <v>358</v>
      </c>
      <c r="AC542" s="64" t="s">
        <v>376</v>
      </c>
      <c r="AD542" s="64" t="s">
        <v>167</v>
      </c>
      <c r="AE542" s="64" t="s">
        <v>224</v>
      </c>
      <c r="AF542" s="64" t="s">
        <v>297</v>
      </c>
      <c r="AG542" s="64">
        <v>409</v>
      </c>
      <c r="AH542" s="1">
        <v>363</v>
      </c>
      <c r="AI542" s="1">
        <v>364</v>
      </c>
      <c r="AJ542" s="1">
        <v>2</v>
      </c>
      <c r="AK542" s="1">
        <v>4.5</v>
      </c>
      <c r="AL542" s="1">
        <v>3.5</v>
      </c>
      <c r="AM542" s="64" t="s">
        <v>972</v>
      </c>
    </row>
    <row r="543" spans="1:39" s="68" customFormat="1">
      <c r="A543" s="65">
        <v>4</v>
      </c>
      <c r="B543" s="64" t="s">
        <v>163</v>
      </c>
      <c r="C543" s="64" t="s">
        <v>416</v>
      </c>
      <c r="D543" s="64" t="s">
        <v>301</v>
      </c>
      <c r="E543" s="64" t="s">
        <v>167</v>
      </c>
      <c r="F543" s="64">
        <v>16</v>
      </c>
      <c r="G543" s="64" t="s">
        <v>165</v>
      </c>
      <c r="H543" s="64" t="s">
        <v>171</v>
      </c>
      <c r="I543" s="1">
        <v>2</v>
      </c>
      <c r="J543" s="64">
        <v>99</v>
      </c>
      <c r="K543" s="64" t="s">
        <v>691</v>
      </c>
      <c r="Q543" s="64" t="s">
        <v>952</v>
      </c>
      <c r="R543" s="64" t="s">
        <v>348</v>
      </c>
      <c r="S543" s="64" t="s">
        <v>349</v>
      </c>
      <c r="T543" s="64" t="s">
        <v>350</v>
      </c>
      <c r="U543" s="64" t="s">
        <v>973</v>
      </c>
      <c r="V543" s="64" t="s">
        <v>974</v>
      </c>
      <c r="W543" s="64" t="s">
        <v>454</v>
      </c>
      <c r="X543" s="64" t="s">
        <v>253</v>
      </c>
      <c r="Y543" s="64">
        <v>45</v>
      </c>
      <c r="Z543" s="64" t="s">
        <v>685</v>
      </c>
      <c r="AA543" s="64" t="s">
        <v>497</v>
      </c>
      <c r="AB543" s="64" t="s">
        <v>906</v>
      </c>
      <c r="AC543" s="64" t="s">
        <v>953</v>
      </c>
      <c r="AD543" s="64" t="s">
        <v>171</v>
      </c>
      <c r="AE543" s="64" t="s">
        <v>224</v>
      </c>
      <c r="AF543" s="64" t="s">
        <v>975</v>
      </c>
      <c r="AG543" s="64">
        <v>465</v>
      </c>
      <c r="AH543" s="1">
        <v>421</v>
      </c>
      <c r="AI543" s="1">
        <v>422</v>
      </c>
      <c r="AJ543" s="1">
        <v>2</v>
      </c>
      <c r="AK543" s="1">
        <v>5</v>
      </c>
      <c r="AL543" s="1">
        <v>4</v>
      </c>
      <c r="AM543" s="64" t="s">
        <v>976</v>
      </c>
    </row>
    <row r="544" spans="1:39" s="68" customFormat="1">
      <c r="A544" s="65">
        <v>4</v>
      </c>
      <c r="B544" s="64" t="s">
        <v>236</v>
      </c>
      <c r="C544" s="64" t="s">
        <v>319</v>
      </c>
      <c r="D544" s="64" t="s">
        <v>426</v>
      </c>
      <c r="E544" s="64" t="s">
        <v>167</v>
      </c>
      <c r="F544" s="64">
        <v>16</v>
      </c>
      <c r="G544" s="64" t="s">
        <v>306</v>
      </c>
      <c r="H544" s="64" t="s">
        <v>229</v>
      </c>
      <c r="I544" s="1">
        <v>2</v>
      </c>
      <c r="J544" s="64">
        <v>118</v>
      </c>
      <c r="K544" s="64" t="s">
        <v>941</v>
      </c>
      <c r="Q544" s="64" t="s">
        <v>952</v>
      </c>
      <c r="R544" s="64" t="s">
        <v>358</v>
      </c>
      <c r="S544" s="64" t="s">
        <v>359</v>
      </c>
      <c r="T544" s="64" t="s">
        <v>360</v>
      </c>
      <c r="U544" s="64" t="s">
        <v>404</v>
      </c>
      <c r="V544" s="64" t="s">
        <v>511</v>
      </c>
      <c r="W544" s="64" t="s">
        <v>454</v>
      </c>
      <c r="X544" s="64" t="s">
        <v>253</v>
      </c>
      <c r="Y544" s="64">
        <v>45</v>
      </c>
      <c r="Z544" s="64" t="s">
        <v>782</v>
      </c>
      <c r="AA544" s="64" t="s">
        <v>625</v>
      </c>
      <c r="AB544" s="64" t="s">
        <v>381</v>
      </c>
      <c r="AC544" s="64" t="s">
        <v>169</v>
      </c>
      <c r="AD544" s="64" t="s">
        <v>171</v>
      </c>
      <c r="AE544" s="64" t="s">
        <v>224</v>
      </c>
      <c r="AF544" s="64" t="s">
        <v>926</v>
      </c>
      <c r="AG544" s="64">
        <v>535</v>
      </c>
      <c r="AH544" s="1">
        <v>273</v>
      </c>
      <c r="AI544" s="1">
        <v>474</v>
      </c>
      <c r="AJ544" s="1">
        <v>2</v>
      </c>
      <c r="AK544" s="1">
        <v>5</v>
      </c>
      <c r="AL544" s="1">
        <v>4</v>
      </c>
      <c r="AM544" s="64" t="s">
        <v>977</v>
      </c>
    </row>
    <row r="545" spans="1:39" s="68" customFormat="1">
      <c r="A545" s="65">
        <v>4</v>
      </c>
      <c r="B545" s="64" t="s">
        <v>227</v>
      </c>
      <c r="C545" s="64" t="s">
        <v>305</v>
      </c>
      <c r="D545" s="64" t="s">
        <v>279</v>
      </c>
      <c r="E545" s="64" t="s">
        <v>167</v>
      </c>
      <c r="F545" s="64">
        <v>16</v>
      </c>
      <c r="G545" s="64" t="s">
        <v>306</v>
      </c>
      <c r="H545" s="64" t="s">
        <v>241</v>
      </c>
      <c r="I545" s="1">
        <v>2</v>
      </c>
      <c r="J545" s="64">
        <v>132</v>
      </c>
      <c r="K545" s="64" t="s">
        <v>944</v>
      </c>
      <c r="Q545" s="64" t="s">
        <v>978</v>
      </c>
      <c r="R545" s="64" t="s">
        <v>224</v>
      </c>
      <c r="S545" s="64" t="s">
        <v>160</v>
      </c>
      <c r="T545" s="64" t="s">
        <v>161</v>
      </c>
      <c r="U545" s="64" t="s">
        <v>245</v>
      </c>
      <c r="V545" s="64" t="s">
        <v>266</v>
      </c>
      <c r="W545" s="64" t="s">
        <v>161</v>
      </c>
      <c r="X545" s="64" t="s">
        <v>165</v>
      </c>
      <c r="Y545" s="64">
        <v>12</v>
      </c>
      <c r="Z545" s="64" t="s">
        <v>241</v>
      </c>
      <c r="AA545" s="64" t="s">
        <v>244</v>
      </c>
      <c r="AB545" s="64" t="s">
        <v>244</v>
      </c>
      <c r="AC545" s="64" t="s">
        <v>170</v>
      </c>
      <c r="AD545" s="64" t="s">
        <v>283</v>
      </c>
      <c r="AE545" s="64" t="s">
        <v>170</v>
      </c>
      <c r="AF545" s="64" t="s">
        <v>261</v>
      </c>
      <c r="AG545" s="64">
        <v>41</v>
      </c>
      <c r="AH545" s="1">
        <v>34</v>
      </c>
      <c r="AI545" s="1">
        <v>35</v>
      </c>
      <c r="AJ545" s="1">
        <v>2</v>
      </c>
      <c r="AK545" s="1">
        <v>4</v>
      </c>
      <c r="AL545" s="1">
        <v>3</v>
      </c>
      <c r="AM545" s="64" t="s">
        <v>979</v>
      </c>
    </row>
    <row r="546" spans="1:39" s="68" customFormat="1">
      <c r="A546" s="65">
        <v>4</v>
      </c>
      <c r="B546" s="64" t="s">
        <v>245</v>
      </c>
      <c r="C546" s="64" t="s">
        <v>572</v>
      </c>
      <c r="D546" s="64" t="s">
        <v>287</v>
      </c>
      <c r="E546" s="64" t="s">
        <v>229</v>
      </c>
      <c r="F546" s="64">
        <v>20</v>
      </c>
      <c r="G546" s="64" t="s">
        <v>306</v>
      </c>
      <c r="H546" s="64" t="s">
        <v>241</v>
      </c>
      <c r="I546" s="1">
        <v>2</v>
      </c>
      <c r="J546" s="64">
        <v>156</v>
      </c>
      <c r="K546" s="64" t="s">
        <v>948</v>
      </c>
      <c r="Q546" s="64" t="s">
        <v>978</v>
      </c>
      <c r="R546" s="64" t="s">
        <v>168</v>
      </c>
      <c r="S546" s="64" t="s">
        <v>226</v>
      </c>
      <c r="T546" s="64" t="s">
        <v>167</v>
      </c>
      <c r="U546" s="64" t="s">
        <v>377</v>
      </c>
      <c r="V546" s="64" t="s">
        <v>162</v>
      </c>
      <c r="W546" s="64" t="s">
        <v>161</v>
      </c>
      <c r="X546" s="64" t="s">
        <v>165</v>
      </c>
      <c r="Y546" s="64">
        <v>12</v>
      </c>
      <c r="Z546" s="64" t="s">
        <v>238</v>
      </c>
      <c r="AA546" s="64" t="s">
        <v>292</v>
      </c>
      <c r="AB546" s="64" t="s">
        <v>292</v>
      </c>
      <c r="AC546" s="64" t="s">
        <v>691</v>
      </c>
      <c r="AD546" s="64" t="s">
        <v>283</v>
      </c>
      <c r="AE546" s="64" t="s">
        <v>170</v>
      </c>
      <c r="AF546" s="64" t="s">
        <v>261</v>
      </c>
      <c r="AG546" s="64">
        <v>16</v>
      </c>
      <c r="AH546" s="1">
        <v>39</v>
      </c>
      <c r="AI546" s="1">
        <v>40</v>
      </c>
      <c r="AJ546" s="1">
        <v>2</v>
      </c>
      <c r="AK546" s="1">
        <v>4</v>
      </c>
      <c r="AL546" s="1">
        <v>3</v>
      </c>
      <c r="AM546" s="64" t="s">
        <v>980</v>
      </c>
    </row>
    <row r="547" spans="1:39" s="68" customFormat="1">
      <c r="A547" s="65">
        <v>4</v>
      </c>
      <c r="B547" s="64" t="s">
        <v>301</v>
      </c>
      <c r="C547" s="64" t="s">
        <v>575</v>
      </c>
      <c r="D547" s="64" t="s">
        <v>446</v>
      </c>
      <c r="E547" s="64" t="s">
        <v>238</v>
      </c>
      <c r="F547" s="64">
        <v>24</v>
      </c>
      <c r="G547" s="64" t="s">
        <v>306</v>
      </c>
      <c r="H547" s="64" t="s">
        <v>238</v>
      </c>
      <c r="I547" s="1">
        <v>2</v>
      </c>
      <c r="J547" s="64">
        <v>184</v>
      </c>
      <c r="K547" s="64" t="s">
        <v>658</v>
      </c>
      <c r="Q547" s="64" t="s">
        <v>978</v>
      </c>
      <c r="R547" s="64" t="s">
        <v>171</v>
      </c>
      <c r="S547" s="64" t="s">
        <v>234</v>
      </c>
      <c r="T547" s="64" t="s">
        <v>169</v>
      </c>
      <c r="U547" s="64" t="s">
        <v>262</v>
      </c>
      <c r="V547" s="64" t="s">
        <v>235</v>
      </c>
      <c r="W547" s="64" t="s">
        <v>167</v>
      </c>
      <c r="X547" s="64" t="s">
        <v>165</v>
      </c>
      <c r="Y547" s="64">
        <v>16</v>
      </c>
      <c r="Z547" s="64" t="s">
        <v>232</v>
      </c>
      <c r="AA547" s="64" t="s">
        <v>433</v>
      </c>
      <c r="AB547" s="64" t="s">
        <v>433</v>
      </c>
      <c r="AC547" s="64" t="s">
        <v>694</v>
      </c>
      <c r="AD547" s="64" t="s">
        <v>283</v>
      </c>
      <c r="AE547" s="64" t="s">
        <v>165</v>
      </c>
      <c r="AF547" s="64" t="s">
        <v>389</v>
      </c>
      <c r="AG547" s="64">
        <v>56</v>
      </c>
      <c r="AH547" s="1">
        <v>50</v>
      </c>
      <c r="AI547" s="1">
        <v>51</v>
      </c>
      <c r="AJ547" s="1">
        <v>2</v>
      </c>
      <c r="AK547" s="1">
        <v>4</v>
      </c>
      <c r="AL547" s="1">
        <v>3</v>
      </c>
      <c r="AM547" s="64" t="s">
        <v>686</v>
      </c>
    </row>
    <row r="548" spans="1:39" s="68" customFormat="1">
      <c r="A548" s="65">
        <v>4</v>
      </c>
      <c r="B548" s="64" t="s">
        <v>288</v>
      </c>
      <c r="C548" s="64" t="s">
        <v>338</v>
      </c>
      <c r="D548" s="64" t="s">
        <v>329</v>
      </c>
      <c r="E548" s="64" t="s">
        <v>238</v>
      </c>
      <c r="F548" s="64">
        <v>24</v>
      </c>
      <c r="G548" s="64" t="s">
        <v>306</v>
      </c>
      <c r="H548" s="64" t="s">
        <v>275</v>
      </c>
      <c r="I548" s="1">
        <v>2</v>
      </c>
      <c r="J548" s="64">
        <v>211</v>
      </c>
      <c r="K548" s="64" t="s">
        <v>598</v>
      </c>
      <c r="Q548" s="64" t="s">
        <v>978</v>
      </c>
      <c r="R548" s="64" t="s">
        <v>169</v>
      </c>
      <c r="S548" s="64" t="s">
        <v>243</v>
      </c>
      <c r="T548" s="64" t="s">
        <v>244</v>
      </c>
      <c r="U548" s="64" t="s">
        <v>270</v>
      </c>
      <c r="V548" s="64" t="s">
        <v>245</v>
      </c>
      <c r="W548" s="64" t="s">
        <v>167</v>
      </c>
      <c r="X548" s="64" t="s">
        <v>165</v>
      </c>
      <c r="Y548" s="64">
        <v>16</v>
      </c>
      <c r="Z548" s="64" t="s">
        <v>244</v>
      </c>
      <c r="AA548" s="64" t="s">
        <v>389</v>
      </c>
      <c r="AB548" s="64" t="s">
        <v>389</v>
      </c>
      <c r="AC548" s="64" t="s">
        <v>694</v>
      </c>
      <c r="AD548" s="64" t="s">
        <v>306</v>
      </c>
      <c r="AE548" s="64" t="s">
        <v>165</v>
      </c>
      <c r="AF548" s="64" t="s">
        <v>489</v>
      </c>
      <c r="AG548" s="64">
        <v>65</v>
      </c>
      <c r="AH548" s="1">
        <v>57</v>
      </c>
      <c r="AI548" s="1">
        <v>58</v>
      </c>
      <c r="AJ548" s="1">
        <v>2</v>
      </c>
      <c r="AK548" s="1">
        <v>4</v>
      </c>
      <c r="AL548" s="1">
        <v>3</v>
      </c>
      <c r="AM548" s="64" t="s">
        <v>981</v>
      </c>
    </row>
    <row r="549" spans="1:39" s="68" customFormat="1">
      <c r="A549" s="65">
        <v>4</v>
      </c>
      <c r="B549" s="64" t="s">
        <v>305</v>
      </c>
      <c r="C549" s="64" t="s">
        <v>331</v>
      </c>
      <c r="D549" s="64" t="s">
        <v>323</v>
      </c>
      <c r="E549" s="64" t="s">
        <v>232</v>
      </c>
      <c r="F549" s="64">
        <v>27</v>
      </c>
      <c r="G549" s="64" t="s">
        <v>166</v>
      </c>
      <c r="H549" s="64" t="s">
        <v>292</v>
      </c>
      <c r="I549" s="1">
        <v>2</v>
      </c>
      <c r="J549" s="64">
        <v>284</v>
      </c>
      <c r="K549" s="64" t="s">
        <v>982</v>
      </c>
      <c r="Q549" s="64" t="s">
        <v>978</v>
      </c>
      <c r="R549" s="64" t="s">
        <v>244</v>
      </c>
      <c r="S549" s="64" t="s">
        <v>250</v>
      </c>
      <c r="T549" s="64" t="s">
        <v>251</v>
      </c>
      <c r="U549" s="64" t="s">
        <v>894</v>
      </c>
      <c r="V549" s="64" t="s">
        <v>271</v>
      </c>
      <c r="W549" s="64" t="s">
        <v>229</v>
      </c>
      <c r="X549" s="64" t="s">
        <v>165</v>
      </c>
      <c r="Y549" s="64">
        <v>20</v>
      </c>
      <c r="Z549" s="64" t="s">
        <v>292</v>
      </c>
      <c r="AA549" s="64" t="s">
        <v>257</v>
      </c>
      <c r="AB549" s="64" t="s">
        <v>257</v>
      </c>
      <c r="AC549" s="64" t="s">
        <v>694</v>
      </c>
      <c r="AD549" s="64" t="s">
        <v>306</v>
      </c>
      <c r="AE549" s="64" t="s">
        <v>258</v>
      </c>
      <c r="AF549" s="64" t="s">
        <v>257</v>
      </c>
      <c r="AG549" s="64">
        <v>76</v>
      </c>
      <c r="AH549" s="1">
        <v>65</v>
      </c>
      <c r="AI549" s="1">
        <v>66</v>
      </c>
      <c r="AJ549" s="1">
        <v>2</v>
      </c>
      <c r="AK549" s="1">
        <v>4</v>
      </c>
      <c r="AL549" s="1">
        <v>3</v>
      </c>
      <c r="AM549" s="64" t="s">
        <v>983</v>
      </c>
    </row>
    <row r="550" spans="1:39" s="68" customFormat="1">
      <c r="A550" s="65">
        <v>4</v>
      </c>
      <c r="B550" s="64" t="s">
        <v>329</v>
      </c>
      <c r="C550" s="64" t="s">
        <v>369</v>
      </c>
      <c r="D550" s="64" t="s">
        <v>617</v>
      </c>
      <c r="E550" s="64" t="s">
        <v>247</v>
      </c>
      <c r="F550" s="64">
        <v>30</v>
      </c>
      <c r="G550" s="64" t="s">
        <v>166</v>
      </c>
      <c r="H550" s="64" t="s">
        <v>251</v>
      </c>
      <c r="I550" s="1">
        <v>2</v>
      </c>
      <c r="J550" s="64">
        <v>345</v>
      </c>
      <c r="K550" s="64" t="s">
        <v>984</v>
      </c>
      <c r="Q550" s="64" t="s">
        <v>978</v>
      </c>
      <c r="R550" s="64" t="s">
        <v>240</v>
      </c>
      <c r="S550" s="64" t="s">
        <v>260</v>
      </c>
      <c r="T550" s="64" t="s">
        <v>261</v>
      </c>
      <c r="U550" s="64" t="s">
        <v>297</v>
      </c>
      <c r="V550" s="64" t="s">
        <v>301</v>
      </c>
      <c r="W550" s="64" t="s">
        <v>229</v>
      </c>
      <c r="X550" s="64" t="s">
        <v>165</v>
      </c>
      <c r="Y550" s="64">
        <v>20</v>
      </c>
      <c r="Z550" s="64" t="s">
        <v>395</v>
      </c>
      <c r="AA550" s="64" t="s">
        <v>266</v>
      </c>
      <c r="AB550" s="64" t="s">
        <v>266</v>
      </c>
      <c r="AC550" s="64" t="s">
        <v>165</v>
      </c>
      <c r="AD550" s="64" t="s">
        <v>224</v>
      </c>
      <c r="AE550" s="64" t="s">
        <v>258</v>
      </c>
      <c r="AF550" s="64" t="s">
        <v>619</v>
      </c>
      <c r="AG550" s="64">
        <v>84</v>
      </c>
      <c r="AH550" s="1">
        <v>75</v>
      </c>
      <c r="AI550" s="1">
        <v>76</v>
      </c>
      <c r="AJ550" s="1">
        <v>2</v>
      </c>
      <c r="AK550" s="1">
        <v>4</v>
      </c>
      <c r="AL550" s="1">
        <v>3</v>
      </c>
      <c r="AM550" s="64" t="s">
        <v>928</v>
      </c>
    </row>
    <row r="551" spans="1:39" s="68" customFormat="1">
      <c r="A551" s="65">
        <v>4</v>
      </c>
      <c r="B551" s="64" t="s">
        <v>338</v>
      </c>
      <c r="C551" s="64" t="s">
        <v>501</v>
      </c>
      <c r="D551" s="64" t="s">
        <v>369</v>
      </c>
      <c r="E551" s="64" t="s">
        <v>247</v>
      </c>
      <c r="F551" s="64">
        <v>30</v>
      </c>
      <c r="G551" s="64" t="s">
        <v>253</v>
      </c>
      <c r="H551" s="64" t="s">
        <v>433</v>
      </c>
      <c r="I551" s="1">
        <v>2</v>
      </c>
      <c r="J551" s="64">
        <v>409</v>
      </c>
      <c r="K551" s="64" t="s">
        <v>985</v>
      </c>
      <c r="Q551" s="64" t="s">
        <v>978</v>
      </c>
      <c r="R551" s="64" t="s">
        <v>163</v>
      </c>
      <c r="S551" s="64" t="s">
        <v>268</v>
      </c>
      <c r="T551" s="64" t="s">
        <v>269</v>
      </c>
      <c r="U551" s="64" t="s">
        <v>470</v>
      </c>
      <c r="V551" s="64" t="s">
        <v>426</v>
      </c>
      <c r="W551" s="64" t="s">
        <v>238</v>
      </c>
      <c r="X551" s="64" t="s">
        <v>165</v>
      </c>
      <c r="Y551" s="64">
        <v>24</v>
      </c>
      <c r="Z551" s="64" t="s">
        <v>251</v>
      </c>
      <c r="AA551" s="64" t="s">
        <v>235</v>
      </c>
      <c r="AB551" s="64" t="s">
        <v>235</v>
      </c>
      <c r="AC551" s="64" t="s">
        <v>283</v>
      </c>
      <c r="AD551" s="64" t="s">
        <v>224</v>
      </c>
      <c r="AE551" s="64" t="s">
        <v>258</v>
      </c>
      <c r="AF551" s="64" t="s">
        <v>162</v>
      </c>
      <c r="AG551" s="64">
        <v>99</v>
      </c>
      <c r="AH551" s="1">
        <v>87</v>
      </c>
      <c r="AI551" s="1">
        <v>88</v>
      </c>
      <c r="AJ551" s="1">
        <v>2</v>
      </c>
      <c r="AK551" s="1">
        <v>4</v>
      </c>
      <c r="AL551" s="1">
        <v>3</v>
      </c>
      <c r="AM551" s="64" t="s">
        <v>986</v>
      </c>
    </row>
    <row r="552" spans="1:39" s="68" customFormat="1">
      <c r="A552" s="65">
        <v>4</v>
      </c>
      <c r="B552" s="64" t="s">
        <v>348</v>
      </c>
      <c r="C552" s="64" t="s">
        <v>533</v>
      </c>
      <c r="D552" s="64" t="s">
        <v>625</v>
      </c>
      <c r="E552" s="64" t="s">
        <v>395</v>
      </c>
      <c r="F552" s="64">
        <v>33</v>
      </c>
      <c r="G552" s="64" t="s">
        <v>253</v>
      </c>
      <c r="H552" s="64" t="s">
        <v>264</v>
      </c>
      <c r="I552" s="1">
        <v>2</v>
      </c>
      <c r="J552" s="64">
        <v>465</v>
      </c>
      <c r="K552" s="64" t="s">
        <v>987</v>
      </c>
      <c r="Q552" s="64" t="s">
        <v>978</v>
      </c>
      <c r="R552" s="64" t="s">
        <v>236</v>
      </c>
      <c r="S552" s="64" t="s">
        <v>277</v>
      </c>
      <c r="T552" s="64" t="s">
        <v>278</v>
      </c>
      <c r="U552" s="64" t="s">
        <v>446</v>
      </c>
      <c r="V552" s="64" t="s">
        <v>297</v>
      </c>
      <c r="W552" s="64" t="s">
        <v>238</v>
      </c>
      <c r="X552" s="64" t="s">
        <v>306</v>
      </c>
      <c r="Y552" s="64">
        <v>24</v>
      </c>
      <c r="Z552" s="64" t="s">
        <v>433</v>
      </c>
      <c r="AA552" s="64" t="s">
        <v>295</v>
      </c>
      <c r="AB552" s="64" t="s">
        <v>295</v>
      </c>
      <c r="AC552" s="64" t="s">
        <v>614</v>
      </c>
      <c r="AD552" s="64" t="s">
        <v>166</v>
      </c>
      <c r="AE552" s="64" t="s">
        <v>283</v>
      </c>
      <c r="AF552" s="64" t="s">
        <v>782</v>
      </c>
      <c r="AG552" s="64">
        <v>118</v>
      </c>
      <c r="AH552" s="1">
        <v>109</v>
      </c>
      <c r="AI552" s="1">
        <v>110</v>
      </c>
      <c r="AJ552" s="1">
        <v>2</v>
      </c>
      <c r="AK552" s="1">
        <v>4</v>
      </c>
      <c r="AL552" s="1">
        <v>3</v>
      </c>
      <c r="AM552" s="64" t="s">
        <v>658</v>
      </c>
    </row>
    <row r="553" spans="1:39" s="68" customFormat="1">
      <c r="A553" s="65">
        <v>4</v>
      </c>
      <c r="B553" s="64" t="s">
        <v>358</v>
      </c>
      <c r="C553" s="64" t="s">
        <v>603</v>
      </c>
      <c r="D553" s="64" t="s">
        <v>537</v>
      </c>
      <c r="E553" s="64" t="s">
        <v>255</v>
      </c>
      <c r="F553" s="64">
        <v>36</v>
      </c>
      <c r="G553" s="64" t="s">
        <v>253</v>
      </c>
      <c r="H553" s="64" t="s">
        <v>163</v>
      </c>
      <c r="I553" s="1">
        <v>2</v>
      </c>
      <c r="J553" s="64">
        <v>535</v>
      </c>
      <c r="K553" s="64" t="s">
        <v>988</v>
      </c>
      <c r="Q553" s="64" t="s">
        <v>978</v>
      </c>
      <c r="R553" s="64" t="s">
        <v>227</v>
      </c>
      <c r="S553" s="64" t="s">
        <v>285</v>
      </c>
      <c r="T553" s="64" t="s">
        <v>286</v>
      </c>
      <c r="U553" s="64" t="s">
        <v>961</v>
      </c>
      <c r="V553" s="64" t="s">
        <v>447</v>
      </c>
      <c r="W553" s="64" t="s">
        <v>238</v>
      </c>
      <c r="X553" s="64" t="s">
        <v>306</v>
      </c>
      <c r="Y553" s="64">
        <v>24</v>
      </c>
      <c r="Z553" s="64" t="s">
        <v>264</v>
      </c>
      <c r="AA553" s="64" t="s">
        <v>252</v>
      </c>
      <c r="AB553" s="64" t="s">
        <v>252</v>
      </c>
      <c r="AC553" s="64" t="s">
        <v>614</v>
      </c>
      <c r="AD553" s="64" t="s">
        <v>166</v>
      </c>
      <c r="AE553" s="64" t="s">
        <v>283</v>
      </c>
      <c r="AF553" s="64" t="s">
        <v>632</v>
      </c>
      <c r="AG553" s="64">
        <v>132</v>
      </c>
      <c r="AH553" s="1">
        <v>120</v>
      </c>
      <c r="AI553" s="1">
        <v>121</v>
      </c>
      <c r="AJ553" s="1">
        <v>2</v>
      </c>
      <c r="AK553" s="1">
        <v>4</v>
      </c>
      <c r="AL553" s="1">
        <v>3</v>
      </c>
      <c r="AM553" s="64" t="s">
        <v>989</v>
      </c>
    </row>
    <row r="554" spans="1:39" s="68" customFormat="1">
      <c r="A554" s="65">
        <v>4</v>
      </c>
      <c r="B554" s="64" t="s">
        <v>369</v>
      </c>
      <c r="C554" s="64" t="s">
        <v>634</v>
      </c>
      <c r="D554" s="64" t="s">
        <v>391</v>
      </c>
      <c r="E554" s="64" t="s">
        <v>255</v>
      </c>
      <c r="F554" s="64">
        <v>36</v>
      </c>
      <c r="G554" s="64" t="s">
        <v>171</v>
      </c>
      <c r="H554" s="64" t="s">
        <v>269</v>
      </c>
      <c r="I554" s="1">
        <v>2</v>
      </c>
      <c r="J554" s="64">
        <v>560</v>
      </c>
      <c r="K554" s="64" t="s">
        <v>990</v>
      </c>
      <c r="Q554" s="64" t="s">
        <v>978</v>
      </c>
      <c r="R554" s="64" t="s">
        <v>245</v>
      </c>
      <c r="S554" s="64" t="s">
        <v>294</v>
      </c>
      <c r="T554" s="64" t="s">
        <v>295</v>
      </c>
      <c r="U554" s="64" t="s">
        <v>314</v>
      </c>
      <c r="V554" s="64" t="s">
        <v>296</v>
      </c>
      <c r="W554" s="64" t="s">
        <v>232</v>
      </c>
      <c r="X554" s="64" t="s">
        <v>306</v>
      </c>
      <c r="Y554" s="64">
        <v>27</v>
      </c>
      <c r="Z554" s="64" t="s">
        <v>389</v>
      </c>
      <c r="AA554" s="64" t="s">
        <v>288</v>
      </c>
      <c r="AB554" s="64" t="s">
        <v>288</v>
      </c>
      <c r="AC554" s="64" t="s">
        <v>306</v>
      </c>
      <c r="AD554" s="64" t="s">
        <v>166</v>
      </c>
      <c r="AE554" s="64" t="s">
        <v>283</v>
      </c>
      <c r="AF554" s="64" t="s">
        <v>245</v>
      </c>
      <c r="AG554" s="64">
        <v>156</v>
      </c>
      <c r="AH554" s="1">
        <v>149</v>
      </c>
      <c r="AI554" s="1">
        <v>150</v>
      </c>
      <c r="AJ554" s="1">
        <v>2</v>
      </c>
      <c r="AK554" s="1">
        <v>4.5</v>
      </c>
      <c r="AL554" s="1">
        <v>3.5</v>
      </c>
      <c r="AM554" s="64" t="s">
        <v>991</v>
      </c>
    </row>
    <row r="555" spans="1:39" s="68" customFormat="1">
      <c r="A555" s="65">
        <v>4</v>
      </c>
      <c r="B555" s="64" t="s">
        <v>379</v>
      </c>
      <c r="C555" s="64" t="s">
        <v>393</v>
      </c>
      <c r="D555" s="64" t="s">
        <v>510</v>
      </c>
      <c r="E555" s="64" t="s">
        <v>433</v>
      </c>
      <c r="F555" s="64">
        <v>39</v>
      </c>
      <c r="G555" s="64" t="s">
        <v>171</v>
      </c>
      <c r="H555" s="64" t="s">
        <v>269</v>
      </c>
      <c r="I555" s="1">
        <v>2</v>
      </c>
      <c r="J555" s="64">
        <v>615</v>
      </c>
      <c r="K555" s="64" t="s">
        <v>992</v>
      </c>
      <c r="Q555" s="64" t="s">
        <v>978</v>
      </c>
      <c r="R555" s="64" t="s">
        <v>301</v>
      </c>
      <c r="S555" s="64" t="s">
        <v>302</v>
      </c>
      <c r="T555" s="64" t="s">
        <v>303</v>
      </c>
      <c r="U555" s="64" t="s">
        <v>963</v>
      </c>
      <c r="V555" s="64" t="s">
        <v>329</v>
      </c>
      <c r="W555" s="64" t="s">
        <v>247</v>
      </c>
      <c r="X555" s="64" t="s">
        <v>306</v>
      </c>
      <c r="Y555" s="64">
        <v>30</v>
      </c>
      <c r="Z555" s="64" t="s">
        <v>29</v>
      </c>
      <c r="AA555" s="64" t="s">
        <v>447</v>
      </c>
      <c r="AB555" s="64" t="s">
        <v>447</v>
      </c>
      <c r="AC555" s="64" t="s">
        <v>940</v>
      </c>
      <c r="AD555" s="64" t="s">
        <v>166</v>
      </c>
      <c r="AE555" s="64" t="s">
        <v>283</v>
      </c>
      <c r="AF555" s="64" t="s">
        <v>387</v>
      </c>
      <c r="AG555" s="64">
        <v>184</v>
      </c>
      <c r="AH555" s="1">
        <v>175</v>
      </c>
      <c r="AI555" s="1">
        <v>176</v>
      </c>
      <c r="AJ555" s="1">
        <v>2</v>
      </c>
      <c r="AK555" s="1">
        <v>4.5</v>
      </c>
      <c r="AL555" s="1">
        <v>3.5</v>
      </c>
      <c r="AM555" s="64" t="s">
        <v>993</v>
      </c>
    </row>
    <row r="556" spans="1:39" s="68" customFormat="1">
      <c r="A556" s="65">
        <v>4</v>
      </c>
      <c r="B556" s="64" t="s">
        <v>383</v>
      </c>
      <c r="C556" s="64" t="s">
        <v>645</v>
      </c>
      <c r="D556" s="64" t="s">
        <v>646</v>
      </c>
      <c r="E556" s="64" t="s">
        <v>454</v>
      </c>
      <c r="F556" s="64">
        <v>45</v>
      </c>
      <c r="G556" s="64" t="s">
        <v>171</v>
      </c>
      <c r="H556" s="64" t="s">
        <v>594</v>
      </c>
      <c r="I556" s="1">
        <v>2</v>
      </c>
      <c r="J556" s="64">
        <v>735</v>
      </c>
      <c r="K556" s="64" t="s">
        <v>994</v>
      </c>
      <c r="Q556" s="64" t="s">
        <v>978</v>
      </c>
      <c r="R556" s="64" t="s">
        <v>288</v>
      </c>
      <c r="S556" s="64" t="s">
        <v>312</v>
      </c>
      <c r="T556" s="64" t="s">
        <v>313</v>
      </c>
      <c r="U556" s="64" t="s">
        <v>346</v>
      </c>
      <c r="V556" s="64" t="s">
        <v>965</v>
      </c>
      <c r="W556" s="64" t="s">
        <v>247</v>
      </c>
      <c r="X556" s="64" t="s">
        <v>166</v>
      </c>
      <c r="Y556" s="64">
        <v>30</v>
      </c>
      <c r="Z556" s="64" t="s">
        <v>706</v>
      </c>
      <c r="AA556" s="64" t="s">
        <v>296</v>
      </c>
      <c r="AB556" s="64" t="s">
        <v>296</v>
      </c>
      <c r="AC556" s="64" t="s">
        <v>727</v>
      </c>
      <c r="AD556" s="64" t="s">
        <v>166</v>
      </c>
      <c r="AE556" s="64" t="s">
        <v>306</v>
      </c>
      <c r="AF556" s="64" t="s">
        <v>995</v>
      </c>
      <c r="AG556" s="64">
        <v>211</v>
      </c>
      <c r="AH556" s="1">
        <v>203</v>
      </c>
      <c r="AI556" s="1">
        <v>204</v>
      </c>
      <c r="AJ556" s="1">
        <v>2</v>
      </c>
      <c r="AK556" s="1">
        <v>4.5</v>
      </c>
      <c r="AL556" s="1">
        <v>3.5</v>
      </c>
      <c r="AM556" s="64" t="s">
        <v>996</v>
      </c>
    </row>
    <row r="557" spans="1:39" s="68" customFormat="1">
      <c r="A557" s="64">
        <v>6.3</v>
      </c>
      <c r="B557" s="64" t="s">
        <v>224</v>
      </c>
      <c r="C557" s="64" t="s">
        <v>245</v>
      </c>
      <c r="D557" s="64" t="s">
        <v>266</v>
      </c>
      <c r="E557" s="64" t="s">
        <v>161</v>
      </c>
      <c r="F557" s="64">
        <v>12</v>
      </c>
      <c r="G557" s="64" t="s">
        <v>165</v>
      </c>
      <c r="H557" s="64" t="s">
        <v>171</v>
      </c>
      <c r="I557" s="1">
        <v>2</v>
      </c>
      <c r="J557" s="64">
        <v>41</v>
      </c>
      <c r="K557" s="64" t="s">
        <v>997</v>
      </c>
      <c r="Q557" s="64" t="s">
        <v>978</v>
      </c>
      <c r="R557" s="64" t="s">
        <v>305</v>
      </c>
      <c r="S557" s="64" t="s">
        <v>321</v>
      </c>
      <c r="T557" s="64" t="s">
        <v>322</v>
      </c>
      <c r="U557" s="64" t="s">
        <v>364</v>
      </c>
      <c r="V557" s="64" t="s">
        <v>580</v>
      </c>
      <c r="W557" s="64" t="s">
        <v>395</v>
      </c>
      <c r="X557" s="64" t="s">
        <v>166</v>
      </c>
      <c r="Y557" s="64">
        <v>33</v>
      </c>
      <c r="Z557" s="64" t="s">
        <v>828</v>
      </c>
      <c r="AA557" s="64" t="s">
        <v>967</v>
      </c>
      <c r="AB557" s="64" t="s">
        <v>967</v>
      </c>
      <c r="AC557" s="64" t="s">
        <v>253</v>
      </c>
      <c r="AD557" s="64" t="s">
        <v>253</v>
      </c>
      <c r="AE557" s="64" t="s">
        <v>306</v>
      </c>
      <c r="AF557" s="64" t="s">
        <v>270</v>
      </c>
      <c r="AG557" s="64">
        <v>284</v>
      </c>
      <c r="AH557" s="1">
        <v>259</v>
      </c>
      <c r="AI557" s="1">
        <v>260</v>
      </c>
      <c r="AJ557" s="1">
        <v>2</v>
      </c>
      <c r="AK557" s="1">
        <v>4.5</v>
      </c>
      <c r="AL557" s="1">
        <v>3.5</v>
      </c>
      <c r="AM557" s="64" t="s">
        <v>998</v>
      </c>
    </row>
    <row r="558" spans="1:39" s="68" customFormat="1">
      <c r="A558" s="64">
        <v>6.3</v>
      </c>
      <c r="B558" s="64" t="s">
        <v>168</v>
      </c>
      <c r="C558" s="64" t="s">
        <v>377</v>
      </c>
      <c r="D558" s="64" t="s">
        <v>162</v>
      </c>
      <c r="E558" s="64" t="s">
        <v>161</v>
      </c>
      <c r="F558" s="64">
        <v>12</v>
      </c>
      <c r="G558" s="64" t="s">
        <v>165</v>
      </c>
      <c r="H558" s="64" t="s">
        <v>171</v>
      </c>
      <c r="I558" s="1">
        <v>2</v>
      </c>
      <c r="J558" s="64">
        <v>16</v>
      </c>
      <c r="K558" s="64" t="s">
        <v>680</v>
      </c>
      <c r="Q558" s="64" t="s">
        <v>978</v>
      </c>
      <c r="R558" s="64" t="s">
        <v>329</v>
      </c>
      <c r="S558" s="64" t="s">
        <v>330</v>
      </c>
      <c r="T558" s="64" t="s">
        <v>330</v>
      </c>
      <c r="U558" s="64" t="s">
        <v>501</v>
      </c>
      <c r="V558" s="64" t="s">
        <v>364</v>
      </c>
      <c r="W558" s="64" t="s">
        <v>433</v>
      </c>
      <c r="X558" s="64" t="s">
        <v>166</v>
      </c>
      <c r="Y558" s="64">
        <v>39</v>
      </c>
      <c r="Z558" s="64" t="s">
        <v>278</v>
      </c>
      <c r="AA558" s="64" t="s">
        <v>481</v>
      </c>
      <c r="AB558" s="64" t="s">
        <v>481</v>
      </c>
      <c r="AC558" s="64" t="s">
        <v>171</v>
      </c>
      <c r="AD558" s="64" t="s">
        <v>167</v>
      </c>
      <c r="AE558" s="64" t="s">
        <v>224</v>
      </c>
      <c r="AF558" s="64" t="s">
        <v>894</v>
      </c>
      <c r="AG558" s="64">
        <v>345</v>
      </c>
      <c r="AH558" s="1">
        <v>312</v>
      </c>
      <c r="AI558" s="1">
        <v>313</v>
      </c>
      <c r="AJ558" s="1">
        <v>2</v>
      </c>
      <c r="AK558" s="1">
        <v>4.5</v>
      </c>
      <c r="AL558" s="1">
        <v>3.5</v>
      </c>
      <c r="AM558" s="64" t="s">
        <v>999</v>
      </c>
    </row>
    <row r="559" spans="1:39" s="68" customFormat="1">
      <c r="A559" s="64">
        <v>6.3</v>
      </c>
      <c r="B559" s="64" t="s">
        <v>171</v>
      </c>
      <c r="C559" s="64" t="s">
        <v>262</v>
      </c>
      <c r="D559" s="64" t="s">
        <v>235</v>
      </c>
      <c r="E559" s="64" t="s">
        <v>167</v>
      </c>
      <c r="F559" s="64">
        <v>16</v>
      </c>
      <c r="G559" s="64" t="s">
        <v>165</v>
      </c>
      <c r="H559" s="64" t="s">
        <v>171</v>
      </c>
      <c r="I559" s="1">
        <v>2</v>
      </c>
      <c r="J559" s="64">
        <v>56</v>
      </c>
      <c r="K559" s="64" t="s">
        <v>1000</v>
      </c>
      <c r="Q559" s="64" t="s">
        <v>978</v>
      </c>
      <c r="R559" s="64" t="s">
        <v>338</v>
      </c>
      <c r="S559" s="64" t="s">
        <v>339</v>
      </c>
      <c r="T559" s="64" t="s">
        <v>340</v>
      </c>
      <c r="U559" s="64" t="s">
        <v>537</v>
      </c>
      <c r="V559" s="64" t="s">
        <v>379</v>
      </c>
      <c r="W559" s="64" t="s">
        <v>433</v>
      </c>
      <c r="X559" s="64" t="s">
        <v>253</v>
      </c>
      <c r="Y559" s="64">
        <v>39</v>
      </c>
      <c r="Z559" s="64" t="s">
        <v>854</v>
      </c>
      <c r="AA559" s="64" t="s">
        <v>358</v>
      </c>
      <c r="AB559" s="64" t="s">
        <v>358</v>
      </c>
      <c r="AC559" s="64" t="s">
        <v>1001</v>
      </c>
      <c r="AD559" s="64" t="s">
        <v>167</v>
      </c>
      <c r="AE559" s="64" t="s">
        <v>224</v>
      </c>
      <c r="AF559" s="64" t="s">
        <v>1002</v>
      </c>
      <c r="AG559" s="64">
        <v>409</v>
      </c>
      <c r="AH559" s="1">
        <v>363</v>
      </c>
      <c r="AI559" s="1">
        <v>364</v>
      </c>
      <c r="AJ559" s="1">
        <v>2</v>
      </c>
      <c r="AK559" s="1">
        <v>4.5</v>
      </c>
      <c r="AL559" s="1">
        <v>3.5</v>
      </c>
      <c r="AM559" s="64" t="s">
        <v>1003</v>
      </c>
    </row>
    <row r="560" spans="1:39" s="68" customFormat="1">
      <c r="A560" s="64">
        <v>6.3</v>
      </c>
      <c r="B560" s="64" t="s">
        <v>169</v>
      </c>
      <c r="C560" s="64" t="s">
        <v>270</v>
      </c>
      <c r="D560" s="64" t="s">
        <v>245</v>
      </c>
      <c r="E560" s="64" t="s">
        <v>167</v>
      </c>
      <c r="F560" s="64">
        <v>16</v>
      </c>
      <c r="G560" s="64" t="s">
        <v>165</v>
      </c>
      <c r="H560" s="64" t="s">
        <v>241</v>
      </c>
      <c r="I560" s="1">
        <v>2</v>
      </c>
      <c r="J560" s="64">
        <v>65</v>
      </c>
      <c r="K560" s="64" t="s">
        <v>1004</v>
      </c>
      <c r="Q560" s="64" t="s">
        <v>1005</v>
      </c>
      <c r="R560" s="64" t="s">
        <v>224</v>
      </c>
      <c r="S560" s="64" t="s">
        <v>160</v>
      </c>
      <c r="T560" s="64" t="s">
        <v>161</v>
      </c>
      <c r="U560" s="64" t="s">
        <v>301</v>
      </c>
      <c r="V560" s="64" t="s">
        <v>388</v>
      </c>
      <c r="W560" s="64" t="s">
        <v>167</v>
      </c>
      <c r="X560" s="64" t="s">
        <v>165</v>
      </c>
      <c r="Y560" s="64">
        <v>16</v>
      </c>
      <c r="Z560" s="64" t="s">
        <v>241</v>
      </c>
      <c r="AA560" s="64" t="s">
        <v>310</v>
      </c>
      <c r="AB560" s="64" t="s">
        <v>310</v>
      </c>
      <c r="AC560" s="64" t="s">
        <v>170</v>
      </c>
      <c r="AD560" s="64" t="s">
        <v>283</v>
      </c>
      <c r="AE560" s="64" t="s">
        <v>170</v>
      </c>
      <c r="AF560" s="64" t="s">
        <v>257</v>
      </c>
      <c r="AG560" s="64">
        <v>41</v>
      </c>
      <c r="AH560" s="1">
        <v>34</v>
      </c>
      <c r="AI560" s="1">
        <v>35</v>
      </c>
      <c r="AJ560" s="1">
        <v>2</v>
      </c>
      <c r="AK560" s="1">
        <v>4</v>
      </c>
      <c r="AL560" s="1">
        <v>3</v>
      </c>
      <c r="AM560" s="64" t="s">
        <v>1006</v>
      </c>
    </row>
    <row r="561" spans="1:39" s="68" customFormat="1">
      <c r="A561" s="64">
        <v>6.3</v>
      </c>
      <c r="B561" s="64" t="s">
        <v>244</v>
      </c>
      <c r="C561" s="64" t="s">
        <v>894</v>
      </c>
      <c r="D561" s="64" t="s">
        <v>271</v>
      </c>
      <c r="E561" s="64" t="s">
        <v>229</v>
      </c>
      <c r="F561" s="64">
        <v>20</v>
      </c>
      <c r="G561" s="64" t="s">
        <v>165</v>
      </c>
      <c r="H561" s="64" t="s">
        <v>241</v>
      </c>
      <c r="I561" s="1">
        <v>2</v>
      </c>
      <c r="J561" s="64">
        <v>76</v>
      </c>
      <c r="K561" s="64" t="s">
        <v>1007</v>
      </c>
      <c r="Q561" s="64" t="s">
        <v>1005</v>
      </c>
      <c r="R561" s="64" t="s">
        <v>168</v>
      </c>
      <c r="S561" s="64" t="s">
        <v>226</v>
      </c>
      <c r="T561" s="64" t="s">
        <v>167</v>
      </c>
      <c r="U561" s="64" t="s">
        <v>262</v>
      </c>
      <c r="V561" s="64" t="s">
        <v>235</v>
      </c>
      <c r="W561" s="64" t="s">
        <v>167</v>
      </c>
      <c r="X561" s="64" t="s">
        <v>165</v>
      </c>
      <c r="Y561" s="64">
        <v>16</v>
      </c>
      <c r="Z561" s="64" t="s">
        <v>238</v>
      </c>
      <c r="AA561" s="64" t="s">
        <v>454</v>
      </c>
      <c r="AB561" s="64" t="s">
        <v>454</v>
      </c>
      <c r="AC561" s="64" t="s">
        <v>691</v>
      </c>
      <c r="AD561" s="64" t="s">
        <v>283</v>
      </c>
      <c r="AE561" s="64" t="s">
        <v>170</v>
      </c>
      <c r="AF561" s="64" t="s">
        <v>257</v>
      </c>
      <c r="AG561" s="64">
        <v>16</v>
      </c>
      <c r="AH561" s="1">
        <v>39</v>
      </c>
      <c r="AI561" s="1">
        <v>40</v>
      </c>
      <c r="AJ561" s="1">
        <v>2</v>
      </c>
      <c r="AK561" s="1">
        <v>4</v>
      </c>
      <c r="AL561" s="1">
        <v>3</v>
      </c>
      <c r="AM561" s="64" t="s">
        <v>1008</v>
      </c>
    </row>
    <row r="562" spans="1:39" s="68" customFormat="1">
      <c r="A562" s="64">
        <v>6.3</v>
      </c>
      <c r="B562" s="64" t="s">
        <v>240</v>
      </c>
      <c r="C562" s="64" t="s">
        <v>297</v>
      </c>
      <c r="D562" s="64" t="s">
        <v>301</v>
      </c>
      <c r="E562" s="64" t="s">
        <v>229</v>
      </c>
      <c r="F562" s="64">
        <v>20</v>
      </c>
      <c r="G562" s="64" t="s">
        <v>165</v>
      </c>
      <c r="H562" s="64" t="s">
        <v>238</v>
      </c>
      <c r="I562" s="1">
        <v>2</v>
      </c>
      <c r="J562" s="64">
        <v>84</v>
      </c>
      <c r="K562" s="64" t="s">
        <v>1009</v>
      </c>
      <c r="Q562" s="64" t="s">
        <v>1005</v>
      </c>
      <c r="R562" s="64" t="s">
        <v>171</v>
      </c>
      <c r="S562" s="64" t="s">
        <v>234</v>
      </c>
      <c r="T562" s="64" t="s">
        <v>169</v>
      </c>
      <c r="U562" s="64" t="s">
        <v>308</v>
      </c>
      <c r="V562" s="64" t="s">
        <v>366</v>
      </c>
      <c r="W562" s="64" t="s">
        <v>167</v>
      </c>
      <c r="X562" s="64" t="s">
        <v>165</v>
      </c>
      <c r="Y562" s="64">
        <v>16</v>
      </c>
      <c r="Z562" s="64" t="s">
        <v>232</v>
      </c>
      <c r="AA562" s="64" t="s">
        <v>477</v>
      </c>
      <c r="AB562" s="64" t="s">
        <v>477</v>
      </c>
      <c r="AC562" s="64" t="s">
        <v>694</v>
      </c>
      <c r="AD562" s="64" t="s">
        <v>283</v>
      </c>
      <c r="AE562" s="64" t="s">
        <v>165</v>
      </c>
      <c r="AF562" s="64" t="s">
        <v>236</v>
      </c>
      <c r="AG562" s="64">
        <v>56</v>
      </c>
      <c r="AH562" s="1">
        <v>50</v>
      </c>
      <c r="AI562" s="1">
        <v>51</v>
      </c>
      <c r="AJ562" s="1">
        <v>2</v>
      </c>
      <c r="AK562" s="1">
        <v>4</v>
      </c>
      <c r="AL562" s="1">
        <v>3</v>
      </c>
      <c r="AM562" s="64" t="s">
        <v>1010</v>
      </c>
    </row>
    <row r="563" spans="1:39" s="68" customFormat="1">
      <c r="A563" s="64">
        <v>6.3</v>
      </c>
      <c r="B563" s="64" t="s">
        <v>163</v>
      </c>
      <c r="C563" s="64" t="s">
        <v>447</v>
      </c>
      <c r="D563" s="64" t="s">
        <v>308</v>
      </c>
      <c r="E563" s="64" t="s">
        <v>229</v>
      </c>
      <c r="F563" s="64">
        <v>20</v>
      </c>
      <c r="G563" s="64" t="s">
        <v>165</v>
      </c>
      <c r="H563" s="64" t="s">
        <v>238</v>
      </c>
      <c r="I563" s="1">
        <v>2</v>
      </c>
      <c r="J563" s="64">
        <v>99</v>
      </c>
      <c r="K563" s="64" t="s">
        <v>1011</v>
      </c>
      <c r="Q563" s="64" t="s">
        <v>1005</v>
      </c>
      <c r="R563" s="64" t="s">
        <v>169</v>
      </c>
      <c r="S563" s="64" t="s">
        <v>243</v>
      </c>
      <c r="T563" s="64" t="s">
        <v>244</v>
      </c>
      <c r="U563" s="64" t="s">
        <v>288</v>
      </c>
      <c r="V563" s="64" t="s">
        <v>377</v>
      </c>
      <c r="W563" s="64" t="s">
        <v>229</v>
      </c>
      <c r="X563" s="64" t="s">
        <v>165</v>
      </c>
      <c r="Y563" s="64">
        <v>20</v>
      </c>
      <c r="Z563" s="64" t="s">
        <v>244</v>
      </c>
      <c r="AA563" s="64" t="s">
        <v>257</v>
      </c>
      <c r="AB563" s="64" t="s">
        <v>257</v>
      </c>
      <c r="AC563" s="64" t="s">
        <v>694</v>
      </c>
      <c r="AD563" s="64" t="s">
        <v>306</v>
      </c>
      <c r="AE563" s="64" t="s">
        <v>165</v>
      </c>
      <c r="AF563" s="64" t="s">
        <v>236</v>
      </c>
      <c r="AG563" s="64">
        <v>65</v>
      </c>
      <c r="AH563" s="1">
        <v>57</v>
      </c>
      <c r="AI563" s="1">
        <v>58</v>
      </c>
      <c r="AJ563" s="1">
        <v>2</v>
      </c>
      <c r="AK563" s="1">
        <v>4</v>
      </c>
      <c r="AL563" s="1">
        <v>3</v>
      </c>
      <c r="AM563" s="64" t="s">
        <v>689</v>
      </c>
    </row>
    <row r="564" spans="1:39" s="68" customFormat="1">
      <c r="A564" s="64">
        <v>6.3</v>
      </c>
      <c r="B564" s="64" t="s">
        <v>236</v>
      </c>
      <c r="C564" s="64" t="s">
        <v>926</v>
      </c>
      <c r="D564" s="64" t="s">
        <v>279</v>
      </c>
      <c r="E564" s="64" t="s">
        <v>229</v>
      </c>
      <c r="F564" s="64">
        <v>20</v>
      </c>
      <c r="G564" s="64" t="s">
        <v>306</v>
      </c>
      <c r="H564" s="64" t="s">
        <v>238</v>
      </c>
      <c r="I564" s="1">
        <v>2</v>
      </c>
      <c r="J564" s="64">
        <v>118</v>
      </c>
      <c r="K564" s="64" t="s">
        <v>1012</v>
      </c>
      <c r="Q564" s="64" t="s">
        <v>1005</v>
      </c>
      <c r="R564" s="64" t="s">
        <v>244</v>
      </c>
      <c r="S564" s="64" t="s">
        <v>250</v>
      </c>
      <c r="T564" s="64" t="s">
        <v>251</v>
      </c>
      <c r="U564" s="64" t="s">
        <v>416</v>
      </c>
      <c r="V564" s="64" t="s">
        <v>252</v>
      </c>
      <c r="W564" s="64" t="s">
        <v>229</v>
      </c>
      <c r="X564" s="64" t="s">
        <v>165</v>
      </c>
      <c r="Y564" s="64">
        <v>20</v>
      </c>
      <c r="Z564" s="64" t="s">
        <v>292</v>
      </c>
      <c r="AA564" s="64" t="s">
        <v>594</v>
      </c>
      <c r="AB564" s="64" t="s">
        <v>594</v>
      </c>
      <c r="AC564" s="64" t="s">
        <v>165</v>
      </c>
      <c r="AD564" s="64" t="s">
        <v>306</v>
      </c>
      <c r="AE564" s="64" t="s">
        <v>258</v>
      </c>
      <c r="AF564" s="64" t="s">
        <v>162</v>
      </c>
      <c r="AG564" s="64">
        <v>76</v>
      </c>
      <c r="AH564" s="1">
        <v>65</v>
      </c>
      <c r="AI564" s="1">
        <v>66</v>
      </c>
      <c r="AJ564" s="1">
        <v>2</v>
      </c>
      <c r="AK564" s="1">
        <v>4</v>
      </c>
      <c r="AL564" s="1">
        <v>3</v>
      </c>
      <c r="AM564" s="64" t="s">
        <v>1013</v>
      </c>
    </row>
    <row r="565" spans="1:39" s="68" customFormat="1">
      <c r="A565" s="64">
        <v>6.3</v>
      </c>
      <c r="B565" s="64" t="s">
        <v>227</v>
      </c>
      <c r="C565" s="64" t="s">
        <v>929</v>
      </c>
      <c r="D565" s="64" t="s">
        <v>297</v>
      </c>
      <c r="E565" s="64" t="s">
        <v>229</v>
      </c>
      <c r="F565" s="64">
        <v>20</v>
      </c>
      <c r="G565" s="64" t="s">
        <v>306</v>
      </c>
      <c r="H565" s="64" t="s">
        <v>275</v>
      </c>
      <c r="I565" s="1">
        <v>2</v>
      </c>
      <c r="J565" s="64">
        <v>132</v>
      </c>
      <c r="K565" s="64" t="s">
        <v>1014</v>
      </c>
      <c r="Q565" s="64" t="s">
        <v>1005</v>
      </c>
      <c r="R565" s="64" t="s">
        <v>240</v>
      </c>
      <c r="S565" s="64" t="s">
        <v>260</v>
      </c>
      <c r="T565" s="64" t="s">
        <v>261</v>
      </c>
      <c r="U565" s="64" t="s">
        <v>319</v>
      </c>
      <c r="V565" s="64" t="s">
        <v>308</v>
      </c>
      <c r="W565" s="64" t="s">
        <v>238</v>
      </c>
      <c r="X565" s="64" t="s">
        <v>165</v>
      </c>
      <c r="Y565" s="64">
        <v>24</v>
      </c>
      <c r="Z565" s="64" t="s">
        <v>395</v>
      </c>
      <c r="AA565" s="64" t="s">
        <v>417</v>
      </c>
      <c r="AB565" s="64" t="s">
        <v>417</v>
      </c>
      <c r="AC565" s="64" t="s">
        <v>258</v>
      </c>
      <c r="AD565" s="64" t="s">
        <v>224</v>
      </c>
      <c r="AE565" s="64" t="s">
        <v>258</v>
      </c>
      <c r="AF565" s="64" t="s">
        <v>227</v>
      </c>
      <c r="AG565" s="64">
        <v>84</v>
      </c>
      <c r="AH565" s="1">
        <v>75</v>
      </c>
      <c r="AI565" s="1">
        <v>76</v>
      </c>
      <c r="AJ565" s="1">
        <v>2</v>
      </c>
      <c r="AK565" s="1">
        <v>4</v>
      </c>
      <c r="AL565" s="1">
        <v>3</v>
      </c>
      <c r="AM565" s="64" t="s">
        <v>1015</v>
      </c>
    </row>
    <row r="566" spans="1:39" s="68" customFormat="1">
      <c r="A566" s="64">
        <v>6.3</v>
      </c>
      <c r="B566" s="64" t="s">
        <v>245</v>
      </c>
      <c r="C566" s="64" t="s">
        <v>329</v>
      </c>
      <c r="D566" s="64" t="s">
        <v>305</v>
      </c>
      <c r="E566" s="64" t="s">
        <v>238</v>
      </c>
      <c r="F566" s="64">
        <v>24</v>
      </c>
      <c r="G566" s="64" t="s">
        <v>306</v>
      </c>
      <c r="H566" s="64" t="s">
        <v>232</v>
      </c>
      <c r="I566" s="1">
        <v>2</v>
      </c>
      <c r="J566" s="64">
        <v>156</v>
      </c>
      <c r="K566" s="64" t="s">
        <v>483</v>
      </c>
      <c r="Q566" s="64" t="s">
        <v>1005</v>
      </c>
      <c r="R566" s="64" t="s">
        <v>163</v>
      </c>
      <c r="S566" s="64" t="s">
        <v>268</v>
      </c>
      <c r="T566" s="64" t="s">
        <v>269</v>
      </c>
      <c r="U566" s="64" t="s">
        <v>305</v>
      </c>
      <c r="V566" s="64" t="s">
        <v>288</v>
      </c>
      <c r="W566" s="64" t="s">
        <v>238</v>
      </c>
      <c r="X566" s="64" t="s">
        <v>306</v>
      </c>
      <c r="Y566" s="64">
        <v>24</v>
      </c>
      <c r="Z566" s="64" t="s">
        <v>251</v>
      </c>
      <c r="AA566" s="64" t="s">
        <v>366</v>
      </c>
      <c r="AB566" s="64" t="s">
        <v>366</v>
      </c>
      <c r="AC566" s="64" t="s">
        <v>705</v>
      </c>
      <c r="AD566" s="64" t="s">
        <v>224</v>
      </c>
      <c r="AE566" s="64" t="s">
        <v>258</v>
      </c>
      <c r="AF566" s="64" t="s">
        <v>388</v>
      </c>
      <c r="AG566" s="64">
        <v>99</v>
      </c>
      <c r="AH566" s="1">
        <v>87</v>
      </c>
      <c r="AI566" s="1">
        <v>88</v>
      </c>
      <c r="AJ566" s="1">
        <v>2</v>
      </c>
      <c r="AK566" s="1">
        <v>4</v>
      </c>
      <c r="AL566" s="1">
        <v>3</v>
      </c>
      <c r="AM566" s="64" t="s">
        <v>1016</v>
      </c>
    </row>
    <row r="567" spans="1:39" s="68" customFormat="1">
      <c r="A567" s="64">
        <v>6.3</v>
      </c>
      <c r="B567" s="64" t="s">
        <v>301</v>
      </c>
      <c r="C567" s="64" t="s">
        <v>336</v>
      </c>
      <c r="D567" s="64" t="s">
        <v>304</v>
      </c>
      <c r="E567" s="64" t="s">
        <v>232</v>
      </c>
      <c r="F567" s="64">
        <v>27</v>
      </c>
      <c r="G567" s="64" t="s">
        <v>306</v>
      </c>
      <c r="H567" s="64" t="s">
        <v>292</v>
      </c>
      <c r="I567" s="1">
        <v>2</v>
      </c>
      <c r="J567" s="64">
        <v>184</v>
      </c>
      <c r="K567" s="64" t="s">
        <v>780</v>
      </c>
      <c r="Q567" s="64" t="s">
        <v>1005</v>
      </c>
      <c r="R567" s="64" t="s">
        <v>236</v>
      </c>
      <c r="S567" s="64" t="s">
        <v>277</v>
      </c>
      <c r="T567" s="64" t="s">
        <v>278</v>
      </c>
      <c r="U567" s="64" t="s">
        <v>961</v>
      </c>
      <c r="V567" s="64" t="s">
        <v>447</v>
      </c>
      <c r="W567" s="64" t="s">
        <v>238</v>
      </c>
      <c r="X567" s="64" t="s">
        <v>306</v>
      </c>
      <c r="Y567" s="64">
        <v>24</v>
      </c>
      <c r="Z567" s="64" t="s">
        <v>433</v>
      </c>
      <c r="AA567" s="64" t="s">
        <v>1017</v>
      </c>
      <c r="AB567" s="64" t="s">
        <v>1017</v>
      </c>
      <c r="AC567" s="64" t="s">
        <v>306</v>
      </c>
      <c r="AD567" s="64" t="s">
        <v>166</v>
      </c>
      <c r="AE567" s="64" t="s">
        <v>283</v>
      </c>
      <c r="AF567" s="64" t="s">
        <v>366</v>
      </c>
      <c r="AG567" s="64">
        <v>118</v>
      </c>
      <c r="AH567" s="1">
        <v>109</v>
      </c>
      <c r="AI567" s="1">
        <v>110</v>
      </c>
      <c r="AJ567" s="1">
        <v>2</v>
      </c>
      <c r="AK567" s="1">
        <v>4</v>
      </c>
      <c r="AL567" s="1">
        <v>3</v>
      </c>
      <c r="AM567" s="64" t="s">
        <v>1018</v>
      </c>
    </row>
    <row r="568" spans="1:39" s="68" customFormat="1">
      <c r="A568" s="64">
        <v>6.3</v>
      </c>
      <c r="B568" s="64" t="s">
        <v>288</v>
      </c>
      <c r="C568" s="64" t="s">
        <v>935</v>
      </c>
      <c r="D568" s="64" t="s">
        <v>324</v>
      </c>
      <c r="E568" s="64" t="s">
        <v>247</v>
      </c>
      <c r="F568" s="64">
        <v>30</v>
      </c>
      <c r="G568" s="64" t="s">
        <v>306</v>
      </c>
      <c r="H568" s="64" t="s">
        <v>395</v>
      </c>
      <c r="I568" s="1">
        <v>2</v>
      </c>
      <c r="J568" s="64">
        <v>211</v>
      </c>
      <c r="K568" s="64" t="s">
        <v>1019</v>
      </c>
      <c r="Q568" s="64" t="s">
        <v>1005</v>
      </c>
      <c r="R568" s="64" t="s">
        <v>227</v>
      </c>
      <c r="S568" s="64" t="s">
        <v>1020</v>
      </c>
      <c r="T568" s="64" t="s">
        <v>1021</v>
      </c>
      <c r="U568" s="64" t="s">
        <v>1022</v>
      </c>
      <c r="V568" s="64" t="s">
        <v>305</v>
      </c>
      <c r="W568" s="64" t="s">
        <v>232</v>
      </c>
      <c r="X568" s="64" t="s">
        <v>306</v>
      </c>
      <c r="Y568" s="64">
        <v>27</v>
      </c>
      <c r="Z568" s="64" t="s">
        <v>264</v>
      </c>
      <c r="AA568" s="64" t="s">
        <v>1023</v>
      </c>
      <c r="AB568" s="64" t="s">
        <v>1023</v>
      </c>
      <c r="AC568" s="64" t="s">
        <v>164</v>
      </c>
      <c r="AD568" s="64" t="s">
        <v>166</v>
      </c>
      <c r="AE568" s="64" t="s">
        <v>283</v>
      </c>
      <c r="AF568" s="64" t="s">
        <v>1021</v>
      </c>
      <c r="AG568" s="64">
        <v>132</v>
      </c>
      <c r="AH568" s="1">
        <v>120</v>
      </c>
      <c r="AI568" s="1">
        <v>121</v>
      </c>
      <c r="AJ568" s="1">
        <v>2</v>
      </c>
      <c r="AK568" s="1">
        <v>4</v>
      </c>
      <c r="AL568" s="1">
        <v>3</v>
      </c>
      <c r="AM568" s="64" t="s">
        <v>642</v>
      </c>
    </row>
    <row r="569" spans="1:39" s="68" customFormat="1">
      <c r="A569" s="64">
        <v>6.3</v>
      </c>
      <c r="B569" s="64" t="s">
        <v>305</v>
      </c>
      <c r="C569" s="64" t="s">
        <v>939</v>
      </c>
      <c r="D569" s="64" t="s">
        <v>935</v>
      </c>
      <c r="E569" s="64" t="s">
        <v>395</v>
      </c>
      <c r="F569" s="64">
        <v>33</v>
      </c>
      <c r="G569" s="64" t="s">
        <v>166</v>
      </c>
      <c r="H569" s="64" t="s">
        <v>433</v>
      </c>
      <c r="I569" s="1">
        <v>2</v>
      </c>
      <c r="J569" s="64">
        <v>284</v>
      </c>
      <c r="K569" s="64" t="s">
        <v>651</v>
      </c>
      <c r="Q569" s="64" t="s">
        <v>1005</v>
      </c>
      <c r="R569" s="64" t="s">
        <v>245</v>
      </c>
      <c r="S569" s="64" t="s">
        <v>1024</v>
      </c>
      <c r="T569" s="64" t="s">
        <v>1024</v>
      </c>
      <c r="U569" s="64" t="s">
        <v>338</v>
      </c>
      <c r="V569" s="64" t="s">
        <v>572</v>
      </c>
      <c r="W569" s="64" t="s">
        <v>247</v>
      </c>
      <c r="X569" s="64" t="s">
        <v>306</v>
      </c>
      <c r="Y569" s="64">
        <v>30</v>
      </c>
      <c r="Z569" s="64" t="s">
        <v>477</v>
      </c>
      <c r="AA569" s="64" t="s">
        <v>1025</v>
      </c>
      <c r="AB569" s="64" t="s">
        <v>1025</v>
      </c>
      <c r="AC569" s="64" t="s">
        <v>659</v>
      </c>
      <c r="AD569" s="64" t="s">
        <v>161</v>
      </c>
      <c r="AE569" s="64" t="s">
        <v>283</v>
      </c>
      <c r="AF569" s="64" t="s">
        <v>252</v>
      </c>
      <c r="AG569" s="64">
        <v>156</v>
      </c>
      <c r="AH569" s="1">
        <v>149</v>
      </c>
      <c r="AI569" s="1">
        <v>150</v>
      </c>
      <c r="AJ569" s="1">
        <v>2</v>
      </c>
      <c r="AK569" s="1">
        <v>4.5</v>
      </c>
      <c r="AL569" s="1">
        <v>3.5</v>
      </c>
      <c r="AM569" s="64" t="s">
        <v>1026</v>
      </c>
    </row>
    <row r="570" spans="1:39" s="68" customFormat="1">
      <c r="A570" s="64">
        <v>6.3</v>
      </c>
      <c r="B570" s="64" t="s">
        <v>329</v>
      </c>
      <c r="C570" s="64" t="s">
        <v>530</v>
      </c>
      <c r="D570" s="64" t="s">
        <v>358</v>
      </c>
      <c r="E570" s="64" t="s">
        <v>395</v>
      </c>
      <c r="F570" s="64">
        <v>33</v>
      </c>
      <c r="G570" s="64" t="s">
        <v>166</v>
      </c>
      <c r="H570" s="64" t="s">
        <v>264</v>
      </c>
      <c r="I570" s="1">
        <v>2</v>
      </c>
      <c r="J570" s="64">
        <v>345</v>
      </c>
      <c r="K570" s="64" t="s">
        <v>1027</v>
      </c>
      <c r="Q570" s="64" t="s">
        <v>1005</v>
      </c>
      <c r="R570" s="64" t="s">
        <v>301</v>
      </c>
      <c r="S570" s="64" t="s">
        <v>1028</v>
      </c>
      <c r="T570" s="64" t="s">
        <v>313</v>
      </c>
      <c r="U570" s="64" t="s">
        <v>481</v>
      </c>
      <c r="V570" s="64" t="s">
        <v>1029</v>
      </c>
      <c r="W570" s="64" t="s">
        <v>247</v>
      </c>
      <c r="X570" s="64" t="s">
        <v>166</v>
      </c>
      <c r="Y570" s="64">
        <v>30</v>
      </c>
      <c r="Z570" s="64" t="s">
        <v>257</v>
      </c>
      <c r="AA570" s="64" t="s">
        <v>305</v>
      </c>
      <c r="AB570" s="64" t="s">
        <v>1030</v>
      </c>
      <c r="AC570" s="64" t="s">
        <v>253</v>
      </c>
      <c r="AD570" s="64" t="s">
        <v>253</v>
      </c>
      <c r="AE570" s="64" t="s">
        <v>283</v>
      </c>
      <c r="AF570" s="64" t="s">
        <v>270</v>
      </c>
      <c r="AG570" s="64">
        <v>184</v>
      </c>
      <c r="AH570" s="1">
        <v>175</v>
      </c>
      <c r="AI570" s="1">
        <v>176</v>
      </c>
      <c r="AJ570" s="1">
        <v>2</v>
      </c>
      <c r="AK570" s="1">
        <v>4.5</v>
      </c>
      <c r="AL570" s="1">
        <v>3.5</v>
      </c>
      <c r="AM570" s="64" t="s">
        <v>1031</v>
      </c>
    </row>
    <row r="571" spans="1:39" s="68" customFormat="1">
      <c r="A571" s="64">
        <v>6.3</v>
      </c>
      <c r="B571" s="64" t="s">
        <v>338</v>
      </c>
      <c r="C571" s="64" t="s">
        <v>381</v>
      </c>
      <c r="D571" s="64" t="s">
        <v>497</v>
      </c>
      <c r="E571" s="64" t="s">
        <v>395</v>
      </c>
      <c r="F571" s="64">
        <v>33</v>
      </c>
      <c r="G571" s="64" t="s">
        <v>253</v>
      </c>
      <c r="H571" s="64" t="s">
        <v>389</v>
      </c>
      <c r="I571" s="1">
        <v>2</v>
      </c>
      <c r="J571" s="64">
        <v>409</v>
      </c>
      <c r="K571" s="64" t="s">
        <v>1032</v>
      </c>
      <c r="Q571" s="64" t="s">
        <v>1005</v>
      </c>
      <c r="R571" s="64" t="s">
        <v>288</v>
      </c>
      <c r="S571" s="64" t="s">
        <v>1033</v>
      </c>
      <c r="T571" s="64" t="s">
        <v>447</v>
      </c>
      <c r="U571" s="64" t="s">
        <v>714</v>
      </c>
      <c r="V571" s="64" t="s">
        <v>323</v>
      </c>
      <c r="W571" s="64" t="s">
        <v>395</v>
      </c>
      <c r="X571" s="64" t="s">
        <v>166</v>
      </c>
      <c r="Y571" s="64">
        <v>33</v>
      </c>
      <c r="Z571" s="64" t="s">
        <v>538</v>
      </c>
      <c r="AA571" s="64" t="s">
        <v>304</v>
      </c>
      <c r="AB571" s="64" t="s">
        <v>1034</v>
      </c>
      <c r="AC571" s="64" t="s">
        <v>824</v>
      </c>
      <c r="AD571" s="64" t="s">
        <v>167</v>
      </c>
      <c r="AE571" s="64" t="s">
        <v>306</v>
      </c>
      <c r="AF571" s="64" t="s">
        <v>279</v>
      </c>
      <c r="AG571" s="64">
        <v>211</v>
      </c>
      <c r="AH571" s="1">
        <v>203</v>
      </c>
      <c r="AI571" s="1">
        <v>204</v>
      </c>
      <c r="AJ571" s="1">
        <v>2</v>
      </c>
      <c r="AK571" s="1">
        <v>4.5</v>
      </c>
      <c r="AL571" s="1">
        <v>3.5</v>
      </c>
      <c r="AM571" s="64" t="s">
        <v>1035</v>
      </c>
    </row>
    <row r="572" spans="1:39" s="68" customFormat="1">
      <c r="A572" s="64">
        <v>6.3</v>
      </c>
      <c r="B572" s="64" t="s">
        <v>348</v>
      </c>
      <c r="C572" s="64" t="s">
        <v>383</v>
      </c>
      <c r="D572" s="64" t="s">
        <v>507</v>
      </c>
      <c r="E572" s="64" t="s">
        <v>255</v>
      </c>
      <c r="F572" s="64">
        <v>36</v>
      </c>
      <c r="G572" s="64" t="s">
        <v>253</v>
      </c>
      <c r="H572" s="64" t="s">
        <v>29</v>
      </c>
      <c r="I572" s="1">
        <v>2</v>
      </c>
      <c r="J572" s="64">
        <v>465</v>
      </c>
      <c r="K572" s="64" t="s">
        <v>1036</v>
      </c>
      <c r="Q572" s="64" t="s">
        <v>1005</v>
      </c>
      <c r="R572" s="64" t="s">
        <v>305</v>
      </c>
      <c r="S572" s="64" t="s">
        <v>1037</v>
      </c>
      <c r="T572" s="1"/>
      <c r="U572" s="64" t="s">
        <v>375</v>
      </c>
      <c r="V572" s="64" t="s">
        <v>358</v>
      </c>
      <c r="W572" s="64" t="s">
        <v>433</v>
      </c>
      <c r="X572" s="64" t="s">
        <v>166</v>
      </c>
      <c r="Y572" s="64">
        <v>39</v>
      </c>
      <c r="Z572" s="64" t="s">
        <v>782</v>
      </c>
      <c r="AA572" s="64" t="s">
        <v>1038</v>
      </c>
      <c r="AB572" s="1"/>
      <c r="AC572" s="64" t="s">
        <v>169</v>
      </c>
      <c r="AD572" s="64" t="s">
        <v>169</v>
      </c>
      <c r="AE572" s="64" t="s">
        <v>306</v>
      </c>
      <c r="AF572" s="64" t="s">
        <v>287</v>
      </c>
      <c r="AG572" s="64">
        <v>284</v>
      </c>
      <c r="AH572" s="1">
        <v>259</v>
      </c>
      <c r="AI572" s="1">
        <v>260</v>
      </c>
      <c r="AJ572" s="1">
        <v>2</v>
      </c>
      <c r="AK572" s="1">
        <v>4.5</v>
      </c>
      <c r="AL572" s="1">
        <v>3.5</v>
      </c>
      <c r="AM572" s="64" t="s">
        <v>1039</v>
      </c>
    </row>
    <row r="573" spans="1:39" s="68" customFormat="1">
      <c r="A573" s="64">
        <v>6.3</v>
      </c>
      <c r="B573" s="64" t="s">
        <v>358</v>
      </c>
      <c r="C573" s="64" t="s">
        <v>510</v>
      </c>
      <c r="D573" s="64" t="s">
        <v>537</v>
      </c>
      <c r="E573" s="64" t="s">
        <v>433</v>
      </c>
      <c r="F573" s="64">
        <v>39</v>
      </c>
      <c r="G573" s="64" t="s">
        <v>253</v>
      </c>
      <c r="H573" s="64" t="s">
        <v>257</v>
      </c>
      <c r="I573" s="1">
        <v>2</v>
      </c>
      <c r="J573" s="64">
        <v>535</v>
      </c>
      <c r="K573" s="64" t="s">
        <v>1040</v>
      </c>
      <c r="Q573" s="64" t="s">
        <v>1005</v>
      </c>
      <c r="R573" s="64" t="s">
        <v>329</v>
      </c>
      <c r="S573" s="64" t="s">
        <v>1041</v>
      </c>
      <c r="T573" s="1"/>
      <c r="U573" s="64" t="s">
        <v>537</v>
      </c>
      <c r="V573" s="64" t="s">
        <v>351</v>
      </c>
      <c r="W573" s="64" t="s">
        <v>454</v>
      </c>
      <c r="X573" s="64" t="s">
        <v>253</v>
      </c>
      <c r="Y573" s="64">
        <v>45</v>
      </c>
      <c r="Z573" s="64" t="s">
        <v>245</v>
      </c>
      <c r="AA573" s="64" t="s">
        <v>617</v>
      </c>
      <c r="AB573" s="1"/>
      <c r="AC573" s="64" t="s">
        <v>244</v>
      </c>
      <c r="AD573" s="64" t="s">
        <v>232</v>
      </c>
      <c r="AE573" s="64" t="s">
        <v>224</v>
      </c>
      <c r="AF573" s="64" t="s">
        <v>929</v>
      </c>
      <c r="AG573" s="64">
        <v>345</v>
      </c>
      <c r="AH573" s="1">
        <v>312</v>
      </c>
      <c r="AI573" s="1">
        <v>313</v>
      </c>
      <c r="AJ573" s="1">
        <v>2</v>
      </c>
      <c r="AK573" s="1">
        <v>4.5</v>
      </c>
      <c r="AL573" s="1">
        <v>3.5</v>
      </c>
      <c r="AM573" s="64" t="s">
        <v>1042</v>
      </c>
    </row>
    <row r="574" spans="1:39" s="68" customFormat="1">
      <c r="A574" s="65">
        <v>10</v>
      </c>
      <c r="B574" s="64" t="s">
        <v>224</v>
      </c>
      <c r="C574" s="64" t="s">
        <v>245</v>
      </c>
      <c r="D574" s="64" t="s">
        <v>266</v>
      </c>
      <c r="E574" s="64" t="s">
        <v>161</v>
      </c>
      <c r="F574" s="64">
        <v>12</v>
      </c>
      <c r="G574" s="64" t="s">
        <v>165</v>
      </c>
      <c r="H574" s="64" t="s">
        <v>171</v>
      </c>
      <c r="I574" s="1">
        <v>2</v>
      </c>
      <c r="J574" s="64">
        <v>41</v>
      </c>
      <c r="K574" s="64" t="s">
        <v>997</v>
      </c>
      <c r="AG574"/>
      <c r="AH574"/>
      <c r="AI574"/>
      <c r="AJ574"/>
      <c r="AK574"/>
      <c r="AL574"/>
    </row>
    <row r="575" spans="1:39" s="68" customFormat="1">
      <c r="A575" s="65">
        <v>10</v>
      </c>
      <c r="B575" s="64" t="s">
        <v>168</v>
      </c>
      <c r="C575" s="64" t="s">
        <v>377</v>
      </c>
      <c r="D575" s="64" t="s">
        <v>162</v>
      </c>
      <c r="E575" s="64" t="s">
        <v>161</v>
      </c>
      <c r="F575" s="64">
        <v>12</v>
      </c>
      <c r="G575" s="64" t="s">
        <v>165</v>
      </c>
      <c r="H575" s="64" t="s">
        <v>171</v>
      </c>
      <c r="I575" s="1">
        <v>2</v>
      </c>
      <c r="J575" s="64">
        <v>16</v>
      </c>
      <c r="K575" s="64" t="s">
        <v>680</v>
      </c>
    </row>
    <row r="576" spans="1:39" s="68" customFormat="1">
      <c r="A576" s="65">
        <v>10</v>
      </c>
      <c r="B576" s="64" t="s">
        <v>171</v>
      </c>
      <c r="C576" s="64" t="s">
        <v>262</v>
      </c>
      <c r="D576" s="64" t="s">
        <v>235</v>
      </c>
      <c r="E576" s="64" t="s">
        <v>167</v>
      </c>
      <c r="F576" s="64">
        <v>16</v>
      </c>
      <c r="G576" s="64" t="s">
        <v>165</v>
      </c>
      <c r="H576" s="64" t="s">
        <v>171</v>
      </c>
      <c r="I576" s="1">
        <v>2</v>
      </c>
      <c r="J576" s="64">
        <v>56</v>
      </c>
      <c r="K576" s="64" t="s">
        <v>1000</v>
      </c>
    </row>
    <row r="577" spans="1:11" s="68" customFormat="1">
      <c r="A577" s="65">
        <v>10</v>
      </c>
      <c r="B577" s="64" t="s">
        <v>169</v>
      </c>
      <c r="C577" s="64" t="s">
        <v>270</v>
      </c>
      <c r="D577" s="64" t="s">
        <v>245</v>
      </c>
      <c r="E577" s="64" t="s">
        <v>167</v>
      </c>
      <c r="F577" s="64">
        <v>16</v>
      </c>
      <c r="G577" s="64" t="s">
        <v>165</v>
      </c>
      <c r="H577" s="64" t="s">
        <v>241</v>
      </c>
      <c r="I577" s="1">
        <v>2</v>
      </c>
      <c r="J577" s="64">
        <v>65</v>
      </c>
      <c r="K577" s="64" t="s">
        <v>1004</v>
      </c>
    </row>
    <row r="578" spans="1:11" s="68" customFormat="1">
      <c r="A578" s="65">
        <v>10</v>
      </c>
      <c r="B578" s="64" t="s">
        <v>244</v>
      </c>
      <c r="C578" s="64" t="s">
        <v>894</v>
      </c>
      <c r="D578" s="64" t="s">
        <v>271</v>
      </c>
      <c r="E578" s="64" t="s">
        <v>229</v>
      </c>
      <c r="F578" s="64">
        <v>20</v>
      </c>
      <c r="G578" s="64" t="s">
        <v>165</v>
      </c>
      <c r="H578" s="64" t="s">
        <v>241</v>
      </c>
      <c r="I578" s="1">
        <v>2</v>
      </c>
      <c r="J578" s="64">
        <v>76</v>
      </c>
      <c r="K578" s="64" t="s">
        <v>1007</v>
      </c>
    </row>
    <row r="579" spans="1:11" s="68" customFormat="1">
      <c r="A579" s="65">
        <v>10</v>
      </c>
      <c r="B579" s="64" t="s">
        <v>240</v>
      </c>
      <c r="C579" s="64" t="s">
        <v>297</v>
      </c>
      <c r="D579" s="64" t="s">
        <v>301</v>
      </c>
      <c r="E579" s="64" t="s">
        <v>229</v>
      </c>
      <c r="F579" s="64">
        <v>20</v>
      </c>
      <c r="G579" s="64" t="s">
        <v>165</v>
      </c>
      <c r="H579" s="64" t="s">
        <v>238</v>
      </c>
      <c r="I579" s="1">
        <v>2</v>
      </c>
      <c r="J579" s="64">
        <v>84</v>
      </c>
      <c r="K579" s="64" t="s">
        <v>1009</v>
      </c>
    </row>
    <row r="580" spans="1:11" s="68" customFormat="1">
      <c r="A580" s="65">
        <v>10</v>
      </c>
      <c r="B580" s="64" t="s">
        <v>163</v>
      </c>
      <c r="C580" s="64" t="s">
        <v>470</v>
      </c>
      <c r="D580" s="64" t="s">
        <v>426</v>
      </c>
      <c r="E580" s="64" t="s">
        <v>238</v>
      </c>
      <c r="F580" s="64">
        <v>24</v>
      </c>
      <c r="G580" s="64" t="s">
        <v>165</v>
      </c>
      <c r="H580" s="64" t="s">
        <v>275</v>
      </c>
      <c r="I580" s="1">
        <v>2</v>
      </c>
      <c r="J580" s="64">
        <v>99</v>
      </c>
      <c r="K580" s="64" t="s">
        <v>1043</v>
      </c>
    </row>
    <row r="581" spans="1:11" s="68" customFormat="1">
      <c r="A581" s="65">
        <v>10</v>
      </c>
      <c r="B581" s="64" t="s">
        <v>236</v>
      </c>
      <c r="C581" s="64" t="s">
        <v>446</v>
      </c>
      <c r="D581" s="64" t="s">
        <v>297</v>
      </c>
      <c r="E581" s="64" t="s">
        <v>238</v>
      </c>
      <c r="F581" s="64">
        <v>24</v>
      </c>
      <c r="G581" s="64" t="s">
        <v>306</v>
      </c>
      <c r="H581" s="64" t="s">
        <v>232</v>
      </c>
      <c r="I581" s="1">
        <v>2</v>
      </c>
      <c r="J581" s="64">
        <v>118</v>
      </c>
      <c r="K581" s="64" t="s">
        <v>959</v>
      </c>
    </row>
    <row r="582" spans="1:11" s="68" customFormat="1">
      <c r="A582" s="65">
        <v>10</v>
      </c>
      <c r="B582" s="64" t="s">
        <v>227</v>
      </c>
      <c r="C582" s="64" t="s">
        <v>961</v>
      </c>
      <c r="D582" s="64" t="s">
        <v>447</v>
      </c>
      <c r="E582" s="64" t="s">
        <v>238</v>
      </c>
      <c r="F582" s="64">
        <v>24</v>
      </c>
      <c r="G582" s="64" t="s">
        <v>306</v>
      </c>
      <c r="H582" s="64" t="s">
        <v>244</v>
      </c>
      <c r="I582" s="1">
        <v>2</v>
      </c>
      <c r="J582" s="64">
        <v>132</v>
      </c>
      <c r="K582" s="64" t="s">
        <v>1044</v>
      </c>
    </row>
    <row r="583" spans="1:11" s="68" customFormat="1">
      <c r="A583" s="65">
        <v>10</v>
      </c>
      <c r="B583" s="64" t="s">
        <v>245</v>
      </c>
      <c r="C583" s="64" t="s">
        <v>314</v>
      </c>
      <c r="D583" s="64" t="s">
        <v>296</v>
      </c>
      <c r="E583" s="64" t="s">
        <v>232</v>
      </c>
      <c r="F583" s="64">
        <v>27</v>
      </c>
      <c r="G583" s="64" t="s">
        <v>306</v>
      </c>
      <c r="H583" s="64" t="s">
        <v>395</v>
      </c>
      <c r="I583" s="1">
        <v>2</v>
      </c>
      <c r="J583" s="64">
        <v>156</v>
      </c>
      <c r="K583" s="64" t="s">
        <v>161</v>
      </c>
    </row>
    <row r="584" spans="1:11" s="68" customFormat="1">
      <c r="A584" s="65">
        <v>10</v>
      </c>
      <c r="B584" s="64" t="s">
        <v>301</v>
      </c>
      <c r="C584" s="64" t="s">
        <v>963</v>
      </c>
      <c r="D584" s="64" t="s">
        <v>329</v>
      </c>
      <c r="E584" s="64" t="s">
        <v>247</v>
      </c>
      <c r="F584" s="64">
        <v>30</v>
      </c>
      <c r="G584" s="64" t="s">
        <v>306</v>
      </c>
      <c r="H584" s="64" t="s">
        <v>240</v>
      </c>
      <c r="I584" s="1">
        <v>2</v>
      </c>
      <c r="J584" s="64">
        <v>184</v>
      </c>
      <c r="K584" s="64" t="s">
        <v>964</v>
      </c>
    </row>
    <row r="585" spans="1:11" s="68" customFormat="1">
      <c r="A585" s="65">
        <v>10</v>
      </c>
      <c r="B585" s="64" t="s">
        <v>288</v>
      </c>
      <c r="C585" s="64" t="s">
        <v>346</v>
      </c>
      <c r="D585" s="64" t="s">
        <v>965</v>
      </c>
      <c r="E585" s="64" t="s">
        <v>247</v>
      </c>
      <c r="F585" s="64">
        <v>30</v>
      </c>
      <c r="G585" s="64" t="s">
        <v>166</v>
      </c>
      <c r="H585" s="64" t="s">
        <v>310</v>
      </c>
      <c r="I585" s="1">
        <v>2</v>
      </c>
      <c r="J585" s="64">
        <v>211</v>
      </c>
      <c r="K585" s="64" t="s">
        <v>993</v>
      </c>
    </row>
    <row r="586" spans="1:11" s="68" customFormat="1">
      <c r="A586" s="65">
        <v>10</v>
      </c>
      <c r="B586" s="64" t="s">
        <v>305</v>
      </c>
      <c r="C586" s="64" t="s">
        <v>364</v>
      </c>
      <c r="D586" s="64" t="s">
        <v>580</v>
      </c>
      <c r="E586" s="64" t="s">
        <v>395</v>
      </c>
      <c r="F586" s="64">
        <v>33</v>
      </c>
      <c r="G586" s="64" t="s">
        <v>166</v>
      </c>
      <c r="H586" s="64" t="s">
        <v>389</v>
      </c>
      <c r="I586" s="1">
        <v>2</v>
      </c>
      <c r="J586" s="64">
        <v>284</v>
      </c>
      <c r="K586" s="64" t="s">
        <v>1045</v>
      </c>
    </row>
    <row r="587" spans="1:11" s="68" customFormat="1">
      <c r="A587" s="65">
        <v>10</v>
      </c>
      <c r="B587" s="64" t="s">
        <v>329</v>
      </c>
      <c r="C587" s="64" t="s">
        <v>496</v>
      </c>
      <c r="D587" s="64" t="s">
        <v>364</v>
      </c>
      <c r="E587" s="64" t="s">
        <v>255</v>
      </c>
      <c r="F587" s="64">
        <v>36</v>
      </c>
      <c r="G587" s="64" t="s">
        <v>166</v>
      </c>
      <c r="H587" s="64" t="s">
        <v>257</v>
      </c>
      <c r="I587" s="1">
        <v>2</v>
      </c>
      <c r="J587" s="64">
        <v>345</v>
      </c>
      <c r="K587" s="64" t="s">
        <v>1046</v>
      </c>
    </row>
    <row r="588" spans="1:11" s="68" customFormat="1">
      <c r="A588" s="65">
        <v>10</v>
      </c>
      <c r="B588" s="64" t="s">
        <v>338</v>
      </c>
      <c r="C588" s="64" t="s">
        <v>537</v>
      </c>
      <c r="D588" s="64" t="s">
        <v>379</v>
      </c>
      <c r="E588" s="64" t="s">
        <v>433</v>
      </c>
      <c r="F588" s="64">
        <v>39</v>
      </c>
      <c r="G588" s="64" t="s">
        <v>253</v>
      </c>
      <c r="H588" s="64" t="s">
        <v>538</v>
      </c>
      <c r="I588" s="1">
        <v>2</v>
      </c>
      <c r="J588" s="64">
        <v>409</v>
      </c>
      <c r="K588" s="64" t="s">
        <v>1047</v>
      </c>
    </row>
    <row r="589" spans="1:11" s="68" customFormat="1">
      <c r="A589" s="65">
        <v>10</v>
      </c>
      <c r="B589" s="64" t="s">
        <v>348</v>
      </c>
      <c r="C589" s="64" t="s">
        <v>973</v>
      </c>
      <c r="D589" s="64" t="s">
        <v>974</v>
      </c>
      <c r="E589" s="64" t="s">
        <v>454</v>
      </c>
      <c r="F589" s="64">
        <v>45</v>
      </c>
      <c r="G589" s="64" t="s">
        <v>253</v>
      </c>
      <c r="H589" s="64" t="s">
        <v>685</v>
      </c>
      <c r="I589" s="1">
        <v>2</v>
      </c>
      <c r="J589" s="64">
        <v>465</v>
      </c>
      <c r="K589" s="64" t="s">
        <v>1048</v>
      </c>
    </row>
    <row r="590" spans="1:11" s="68" customFormat="1">
      <c r="A590" s="65">
        <v>10</v>
      </c>
      <c r="B590" s="64" t="s">
        <v>358</v>
      </c>
      <c r="C590" s="64" t="s">
        <v>404</v>
      </c>
      <c r="D590" s="64" t="s">
        <v>511</v>
      </c>
      <c r="E590" s="64" t="s">
        <v>454</v>
      </c>
      <c r="F590" s="64">
        <v>45</v>
      </c>
      <c r="G590" s="64" t="s">
        <v>253</v>
      </c>
      <c r="H590" s="64" t="s">
        <v>782</v>
      </c>
      <c r="I590" s="1">
        <v>2</v>
      </c>
      <c r="J590" s="64">
        <v>535</v>
      </c>
      <c r="K590" s="64" t="s">
        <v>1049</v>
      </c>
    </row>
    <row r="591" spans="1:11" s="68" customFormat="1">
      <c r="A591" s="65">
        <v>16</v>
      </c>
      <c r="B591" s="64" t="s">
        <v>224</v>
      </c>
      <c r="C591" s="64" t="s">
        <v>245</v>
      </c>
      <c r="D591" s="64" t="s">
        <v>266</v>
      </c>
      <c r="E591" s="64" t="s">
        <v>161</v>
      </c>
      <c r="F591" s="64">
        <v>12</v>
      </c>
      <c r="G591" s="64" t="s">
        <v>165</v>
      </c>
      <c r="H591" s="64" t="s">
        <v>241</v>
      </c>
      <c r="I591" s="1">
        <v>2</v>
      </c>
      <c r="J591" s="64">
        <v>41</v>
      </c>
      <c r="K591" s="64" t="s">
        <v>1050</v>
      </c>
    </row>
    <row r="592" spans="1:11" s="68" customFormat="1">
      <c r="A592" s="65">
        <v>16</v>
      </c>
      <c r="B592" s="64" t="s">
        <v>168</v>
      </c>
      <c r="C592" s="64" t="s">
        <v>377</v>
      </c>
      <c r="D592" s="64" t="s">
        <v>162</v>
      </c>
      <c r="E592" s="64" t="s">
        <v>161</v>
      </c>
      <c r="F592" s="64">
        <v>12</v>
      </c>
      <c r="G592" s="64" t="s">
        <v>165</v>
      </c>
      <c r="H592" s="64" t="s">
        <v>238</v>
      </c>
      <c r="I592" s="1">
        <v>2</v>
      </c>
      <c r="J592" s="64">
        <v>16</v>
      </c>
      <c r="K592" s="64" t="s">
        <v>1051</v>
      </c>
    </row>
    <row r="593" spans="1:11" s="68" customFormat="1">
      <c r="A593" s="65">
        <v>16</v>
      </c>
      <c r="B593" s="64" t="s">
        <v>171</v>
      </c>
      <c r="C593" s="64" t="s">
        <v>262</v>
      </c>
      <c r="D593" s="64" t="s">
        <v>235</v>
      </c>
      <c r="E593" s="64" t="s">
        <v>167</v>
      </c>
      <c r="F593" s="64">
        <v>16</v>
      </c>
      <c r="G593" s="64" t="s">
        <v>165</v>
      </c>
      <c r="H593" s="64" t="s">
        <v>232</v>
      </c>
      <c r="I593" s="1">
        <v>2</v>
      </c>
      <c r="J593" s="64">
        <v>56</v>
      </c>
      <c r="K593" s="64" t="s">
        <v>1052</v>
      </c>
    </row>
    <row r="594" spans="1:11" s="68" customFormat="1">
      <c r="A594" s="65">
        <v>16</v>
      </c>
      <c r="B594" s="64" t="s">
        <v>169</v>
      </c>
      <c r="C594" s="64" t="s">
        <v>270</v>
      </c>
      <c r="D594" s="64" t="s">
        <v>245</v>
      </c>
      <c r="E594" s="64" t="s">
        <v>167</v>
      </c>
      <c r="F594" s="64">
        <v>16</v>
      </c>
      <c r="G594" s="64" t="s">
        <v>165</v>
      </c>
      <c r="H594" s="64" t="s">
        <v>244</v>
      </c>
      <c r="I594" s="1">
        <v>2</v>
      </c>
      <c r="J594" s="64">
        <v>65</v>
      </c>
      <c r="K594" s="64" t="s">
        <v>981</v>
      </c>
    </row>
    <row r="595" spans="1:11" s="68" customFormat="1">
      <c r="A595" s="65">
        <v>16</v>
      </c>
      <c r="B595" s="64" t="s">
        <v>244</v>
      </c>
      <c r="C595" s="64" t="s">
        <v>894</v>
      </c>
      <c r="D595" s="64" t="s">
        <v>271</v>
      </c>
      <c r="E595" s="64" t="s">
        <v>229</v>
      </c>
      <c r="F595" s="64">
        <v>20</v>
      </c>
      <c r="G595" s="64" t="s">
        <v>165</v>
      </c>
      <c r="H595" s="64" t="s">
        <v>292</v>
      </c>
      <c r="I595" s="1">
        <v>2</v>
      </c>
      <c r="J595" s="64">
        <v>76</v>
      </c>
      <c r="K595" s="64" t="s">
        <v>1053</v>
      </c>
    </row>
    <row r="596" spans="1:11" s="68" customFormat="1">
      <c r="A596" s="65">
        <v>16</v>
      </c>
      <c r="B596" s="64" t="s">
        <v>240</v>
      </c>
      <c r="C596" s="64" t="s">
        <v>297</v>
      </c>
      <c r="D596" s="64" t="s">
        <v>301</v>
      </c>
      <c r="E596" s="64" t="s">
        <v>229</v>
      </c>
      <c r="F596" s="64">
        <v>20</v>
      </c>
      <c r="G596" s="64" t="s">
        <v>165</v>
      </c>
      <c r="H596" s="64" t="s">
        <v>395</v>
      </c>
      <c r="I596" s="1">
        <v>2</v>
      </c>
      <c r="J596" s="64">
        <v>84</v>
      </c>
      <c r="K596" s="64" t="s">
        <v>1054</v>
      </c>
    </row>
    <row r="597" spans="1:11" s="68" customFormat="1">
      <c r="A597" s="65">
        <v>16</v>
      </c>
      <c r="B597" s="64" t="s">
        <v>163</v>
      </c>
      <c r="C597" s="64" t="s">
        <v>470</v>
      </c>
      <c r="D597" s="64" t="s">
        <v>426</v>
      </c>
      <c r="E597" s="64" t="s">
        <v>238</v>
      </c>
      <c r="F597" s="64">
        <v>24</v>
      </c>
      <c r="G597" s="64" t="s">
        <v>165</v>
      </c>
      <c r="H597" s="64" t="s">
        <v>251</v>
      </c>
      <c r="I597" s="1">
        <v>2</v>
      </c>
      <c r="J597" s="64">
        <v>99</v>
      </c>
      <c r="K597" s="64" t="s">
        <v>1055</v>
      </c>
    </row>
    <row r="598" spans="1:11" s="68" customFormat="1">
      <c r="A598" s="65">
        <v>16</v>
      </c>
      <c r="B598" s="64" t="s">
        <v>236</v>
      </c>
      <c r="C598" s="64" t="s">
        <v>446</v>
      </c>
      <c r="D598" s="64" t="s">
        <v>297</v>
      </c>
      <c r="E598" s="64" t="s">
        <v>238</v>
      </c>
      <c r="F598" s="64">
        <v>24</v>
      </c>
      <c r="G598" s="64" t="s">
        <v>306</v>
      </c>
      <c r="H598" s="64" t="s">
        <v>433</v>
      </c>
      <c r="I598" s="1">
        <v>2</v>
      </c>
      <c r="J598" s="64">
        <v>118</v>
      </c>
      <c r="K598" s="64" t="s">
        <v>1056</v>
      </c>
    </row>
    <row r="599" spans="1:11" s="68" customFormat="1">
      <c r="A599" s="65">
        <v>16</v>
      </c>
      <c r="B599" s="64" t="s">
        <v>227</v>
      </c>
      <c r="C599" s="64" t="s">
        <v>961</v>
      </c>
      <c r="D599" s="64" t="s">
        <v>447</v>
      </c>
      <c r="E599" s="64" t="s">
        <v>238</v>
      </c>
      <c r="F599" s="64">
        <v>24</v>
      </c>
      <c r="G599" s="64" t="s">
        <v>306</v>
      </c>
      <c r="H599" s="64" t="s">
        <v>264</v>
      </c>
      <c r="I599" s="1">
        <v>2</v>
      </c>
      <c r="J599" s="64">
        <v>132</v>
      </c>
      <c r="K599" s="64" t="s">
        <v>703</v>
      </c>
    </row>
    <row r="600" spans="1:11" s="68" customFormat="1">
      <c r="A600" s="65">
        <v>16</v>
      </c>
      <c r="B600" s="64" t="s">
        <v>245</v>
      </c>
      <c r="C600" s="64" t="s">
        <v>314</v>
      </c>
      <c r="D600" s="64" t="s">
        <v>296</v>
      </c>
      <c r="E600" s="64" t="s">
        <v>232</v>
      </c>
      <c r="F600" s="64">
        <v>27</v>
      </c>
      <c r="G600" s="64" t="s">
        <v>306</v>
      </c>
      <c r="H600" s="64" t="s">
        <v>389</v>
      </c>
      <c r="I600" s="1">
        <v>2</v>
      </c>
      <c r="J600" s="64">
        <v>156</v>
      </c>
      <c r="K600" s="64" t="s">
        <v>660</v>
      </c>
    </row>
    <row r="601" spans="1:11" s="68" customFormat="1">
      <c r="A601" s="65">
        <v>16</v>
      </c>
      <c r="B601" s="64" t="s">
        <v>301</v>
      </c>
      <c r="C601" s="64" t="s">
        <v>963</v>
      </c>
      <c r="D601" s="64" t="s">
        <v>329</v>
      </c>
      <c r="E601" s="64" t="s">
        <v>247</v>
      </c>
      <c r="F601" s="64">
        <v>30</v>
      </c>
      <c r="G601" s="64" t="s">
        <v>306</v>
      </c>
      <c r="H601" s="64" t="s">
        <v>29</v>
      </c>
      <c r="I601" s="1">
        <v>2</v>
      </c>
      <c r="J601" s="64">
        <v>184</v>
      </c>
      <c r="K601" s="64" t="s">
        <v>1057</v>
      </c>
    </row>
    <row r="602" spans="1:11" s="68" customFormat="1">
      <c r="A602" s="65">
        <v>16</v>
      </c>
      <c r="B602" s="64" t="s">
        <v>288</v>
      </c>
      <c r="C602" s="64" t="s">
        <v>346</v>
      </c>
      <c r="D602" s="64" t="s">
        <v>965</v>
      </c>
      <c r="E602" s="64" t="s">
        <v>247</v>
      </c>
      <c r="F602" s="64">
        <v>30</v>
      </c>
      <c r="G602" s="64" t="s">
        <v>166</v>
      </c>
      <c r="H602" s="64" t="s">
        <v>706</v>
      </c>
      <c r="I602" s="1">
        <v>2</v>
      </c>
      <c r="J602" s="64">
        <v>211</v>
      </c>
      <c r="K602" s="64" t="s">
        <v>1058</v>
      </c>
    </row>
    <row r="603" spans="1:11" s="68" customFormat="1">
      <c r="A603" s="65">
        <v>16</v>
      </c>
      <c r="B603" s="64" t="s">
        <v>305</v>
      </c>
      <c r="C603" s="64" t="s">
        <v>364</v>
      </c>
      <c r="D603" s="64" t="s">
        <v>580</v>
      </c>
      <c r="E603" s="64" t="s">
        <v>395</v>
      </c>
      <c r="F603" s="64">
        <v>33</v>
      </c>
      <c r="G603" s="64" t="s">
        <v>166</v>
      </c>
      <c r="H603" s="64" t="s">
        <v>828</v>
      </c>
      <c r="I603" s="1">
        <v>2</v>
      </c>
      <c r="J603" s="64">
        <v>284</v>
      </c>
      <c r="K603" s="64" t="s">
        <v>1059</v>
      </c>
    </row>
    <row r="604" spans="1:11" s="68" customFormat="1">
      <c r="A604" s="65">
        <v>16</v>
      </c>
      <c r="B604" s="64" t="s">
        <v>329</v>
      </c>
      <c r="C604" s="64" t="s">
        <v>501</v>
      </c>
      <c r="D604" s="64" t="s">
        <v>364</v>
      </c>
      <c r="E604" s="64" t="s">
        <v>433</v>
      </c>
      <c r="F604" s="64">
        <v>39</v>
      </c>
      <c r="G604" s="64" t="s">
        <v>166</v>
      </c>
      <c r="H604" s="64" t="s">
        <v>278</v>
      </c>
      <c r="I604" s="1">
        <v>2</v>
      </c>
      <c r="J604" s="64">
        <v>345</v>
      </c>
      <c r="K604" s="64" t="s">
        <v>294</v>
      </c>
    </row>
    <row r="605" spans="1:11" s="68" customFormat="1">
      <c r="A605" s="65">
        <v>16</v>
      </c>
      <c r="B605" s="64" t="s">
        <v>338</v>
      </c>
      <c r="C605" s="64" t="s">
        <v>537</v>
      </c>
      <c r="D605" s="64" t="s">
        <v>379</v>
      </c>
      <c r="E605" s="64" t="s">
        <v>433</v>
      </c>
      <c r="F605" s="64">
        <v>39</v>
      </c>
      <c r="G605" s="64" t="s">
        <v>253</v>
      </c>
      <c r="H605" s="64" t="s">
        <v>854</v>
      </c>
      <c r="I605" s="1">
        <v>2</v>
      </c>
      <c r="J605" s="64">
        <v>409</v>
      </c>
      <c r="K605" s="64" t="s">
        <v>1060</v>
      </c>
    </row>
    <row r="606" spans="1:11" s="68" customFormat="1">
      <c r="A606" s="65">
        <v>25</v>
      </c>
      <c r="B606" s="64" t="s">
        <v>224</v>
      </c>
      <c r="C606" s="64" t="s">
        <v>301</v>
      </c>
      <c r="D606" s="64" t="s">
        <v>388</v>
      </c>
      <c r="E606" s="64" t="s">
        <v>167</v>
      </c>
      <c r="F606" s="64">
        <v>16</v>
      </c>
      <c r="G606" s="64" t="s">
        <v>165</v>
      </c>
      <c r="H606" s="64" t="s">
        <v>241</v>
      </c>
      <c r="I606" s="1">
        <v>2</v>
      </c>
      <c r="J606" s="64">
        <v>41</v>
      </c>
      <c r="K606" s="64" t="s">
        <v>569</v>
      </c>
    </row>
    <row r="607" spans="1:11" s="68" customFormat="1">
      <c r="A607" s="65">
        <v>25</v>
      </c>
      <c r="B607" s="64" t="s">
        <v>168</v>
      </c>
      <c r="C607" s="64" t="s">
        <v>262</v>
      </c>
      <c r="D607" s="64" t="s">
        <v>235</v>
      </c>
      <c r="E607" s="64" t="s">
        <v>167</v>
      </c>
      <c r="F607" s="64">
        <v>16</v>
      </c>
      <c r="G607" s="64" t="s">
        <v>165</v>
      </c>
      <c r="H607" s="64" t="s">
        <v>238</v>
      </c>
      <c r="I607" s="1">
        <v>2</v>
      </c>
      <c r="J607" s="64">
        <v>16</v>
      </c>
      <c r="K607" s="64" t="s">
        <v>555</v>
      </c>
    </row>
    <row r="608" spans="1:11" s="68" customFormat="1">
      <c r="A608" s="65">
        <v>25</v>
      </c>
      <c r="B608" s="64" t="s">
        <v>171</v>
      </c>
      <c r="C608" s="64" t="s">
        <v>308</v>
      </c>
      <c r="D608" s="64" t="s">
        <v>366</v>
      </c>
      <c r="E608" s="64" t="s">
        <v>167</v>
      </c>
      <c r="F608" s="64">
        <v>16</v>
      </c>
      <c r="G608" s="64" t="s">
        <v>165</v>
      </c>
      <c r="H608" s="64" t="s">
        <v>275</v>
      </c>
      <c r="I608" s="1">
        <v>2</v>
      </c>
      <c r="J608" s="64">
        <v>56</v>
      </c>
      <c r="K608" s="64" t="s">
        <v>1061</v>
      </c>
    </row>
    <row r="609" spans="1:11" s="68" customFormat="1">
      <c r="A609" s="65">
        <v>25</v>
      </c>
      <c r="B609" s="64" t="s">
        <v>169</v>
      </c>
      <c r="C609" s="64" t="s">
        <v>288</v>
      </c>
      <c r="D609" s="64" t="s">
        <v>377</v>
      </c>
      <c r="E609" s="64" t="s">
        <v>229</v>
      </c>
      <c r="F609" s="64">
        <v>20</v>
      </c>
      <c r="G609" s="64" t="s">
        <v>165</v>
      </c>
      <c r="H609" s="64" t="s">
        <v>275</v>
      </c>
      <c r="I609" s="1">
        <v>2</v>
      </c>
      <c r="J609" s="64">
        <v>65</v>
      </c>
      <c r="K609" s="64" t="s">
        <v>1062</v>
      </c>
    </row>
    <row r="610" spans="1:11" s="68" customFormat="1">
      <c r="A610" s="65">
        <v>25</v>
      </c>
      <c r="B610" s="64" t="s">
        <v>244</v>
      </c>
      <c r="C610" s="64" t="s">
        <v>416</v>
      </c>
      <c r="D610" s="64" t="s">
        <v>252</v>
      </c>
      <c r="E610" s="64" t="s">
        <v>229</v>
      </c>
      <c r="F610" s="64">
        <v>20</v>
      </c>
      <c r="G610" s="64" t="s">
        <v>165</v>
      </c>
      <c r="H610" s="64" t="s">
        <v>244</v>
      </c>
      <c r="I610" s="1">
        <v>2</v>
      </c>
      <c r="J610" s="64">
        <v>76</v>
      </c>
      <c r="K610" s="64" t="s">
        <v>1063</v>
      </c>
    </row>
    <row r="611" spans="1:11" s="68" customFormat="1">
      <c r="A611" s="65">
        <v>25</v>
      </c>
      <c r="B611" s="64" t="s">
        <v>240</v>
      </c>
      <c r="C611" s="64" t="s">
        <v>319</v>
      </c>
      <c r="D611" s="64" t="s">
        <v>308</v>
      </c>
      <c r="E611" s="64" t="s">
        <v>238</v>
      </c>
      <c r="F611" s="64">
        <v>24</v>
      </c>
      <c r="G611" s="64" t="s">
        <v>165</v>
      </c>
      <c r="H611" s="64" t="s">
        <v>292</v>
      </c>
      <c r="I611" s="1">
        <v>2</v>
      </c>
      <c r="J611" s="64">
        <v>84</v>
      </c>
      <c r="K611" s="64" t="s">
        <v>1064</v>
      </c>
    </row>
    <row r="612" spans="1:11" s="68" customFormat="1">
      <c r="A612" s="65">
        <v>25</v>
      </c>
      <c r="B612" s="64" t="s">
        <v>163</v>
      </c>
      <c r="C612" s="64" t="s">
        <v>305</v>
      </c>
      <c r="D612" s="64" t="s">
        <v>288</v>
      </c>
      <c r="E612" s="64" t="s">
        <v>238</v>
      </c>
      <c r="F612" s="64">
        <v>24</v>
      </c>
      <c r="G612" s="64" t="s">
        <v>306</v>
      </c>
      <c r="H612" s="64" t="s">
        <v>251</v>
      </c>
      <c r="I612" s="1">
        <v>2</v>
      </c>
      <c r="J612" s="64">
        <v>99</v>
      </c>
      <c r="K612" s="64" t="s">
        <v>1065</v>
      </c>
    </row>
    <row r="613" spans="1:11" s="68" customFormat="1">
      <c r="A613" s="65">
        <v>25</v>
      </c>
      <c r="B613" s="64" t="s">
        <v>236</v>
      </c>
      <c r="C613" s="64" t="s">
        <v>961</v>
      </c>
      <c r="D613" s="64" t="s">
        <v>447</v>
      </c>
      <c r="E613" s="64" t="s">
        <v>238</v>
      </c>
      <c r="F613" s="64">
        <v>24</v>
      </c>
      <c r="G613" s="64" t="s">
        <v>306</v>
      </c>
      <c r="H613" s="64" t="s">
        <v>433</v>
      </c>
      <c r="I613" s="1">
        <v>2</v>
      </c>
      <c r="J613" s="64">
        <v>118</v>
      </c>
      <c r="K613" s="64" t="s">
        <v>1066</v>
      </c>
    </row>
    <row r="614" spans="1:11" s="68" customFormat="1">
      <c r="A614" s="65">
        <v>25</v>
      </c>
      <c r="B614" s="64" t="s">
        <v>227</v>
      </c>
      <c r="C614" s="64" t="s">
        <v>1022</v>
      </c>
      <c r="D614" s="64" t="s">
        <v>305</v>
      </c>
      <c r="E614" s="64" t="s">
        <v>232</v>
      </c>
      <c r="F614" s="64">
        <v>27</v>
      </c>
      <c r="G614" s="64" t="s">
        <v>306</v>
      </c>
      <c r="H614" s="64" t="s">
        <v>264</v>
      </c>
      <c r="I614" s="1">
        <v>2</v>
      </c>
      <c r="J614" s="64">
        <v>132</v>
      </c>
      <c r="K614" s="64" t="s">
        <v>1067</v>
      </c>
    </row>
    <row r="615" spans="1:11" s="68" customFormat="1">
      <c r="A615" s="65">
        <v>25</v>
      </c>
      <c r="B615" s="64" t="s">
        <v>245</v>
      </c>
      <c r="C615" s="64" t="s">
        <v>338</v>
      </c>
      <c r="D615" s="64" t="s">
        <v>572</v>
      </c>
      <c r="E615" s="64" t="s">
        <v>247</v>
      </c>
      <c r="F615" s="64">
        <v>30</v>
      </c>
      <c r="G615" s="64" t="s">
        <v>306</v>
      </c>
      <c r="H615" s="64" t="s">
        <v>477</v>
      </c>
      <c r="I615" s="1">
        <v>2</v>
      </c>
      <c r="J615" s="64">
        <v>156</v>
      </c>
      <c r="K615" s="64" t="s">
        <v>1068</v>
      </c>
    </row>
    <row r="616" spans="1:11" s="68" customFormat="1">
      <c r="A616" s="65">
        <v>25</v>
      </c>
      <c r="B616" s="64" t="s">
        <v>301</v>
      </c>
      <c r="C616" s="64" t="s">
        <v>481</v>
      </c>
      <c r="D616" s="64" t="s">
        <v>1029</v>
      </c>
      <c r="E616" s="64" t="s">
        <v>247</v>
      </c>
      <c r="F616" s="64">
        <v>30</v>
      </c>
      <c r="G616" s="64" t="s">
        <v>166</v>
      </c>
      <c r="H616" s="64" t="s">
        <v>257</v>
      </c>
      <c r="I616" s="1">
        <v>2</v>
      </c>
      <c r="J616" s="64">
        <v>184</v>
      </c>
      <c r="K616" s="64" t="s">
        <v>1069</v>
      </c>
    </row>
    <row r="617" spans="1:11" s="68" customFormat="1">
      <c r="A617" s="65">
        <v>25</v>
      </c>
      <c r="B617" s="64" t="s">
        <v>288</v>
      </c>
      <c r="C617" s="64" t="s">
        <v>714</v>
      </c>
      <c r="D617" s="64" t="s">
        <v>323</v>
      </c>
      <c r="E617" s="64" t="s">
        <v>395</v>
      </c>
      <c r="F617" s="64">
        <v>33</v>
      </c>
      <c r="G617" s="64" t="s">
        <v>166</v>
      </c>
      <c r="H617" s="64" t="s">
        <v>538</v>
      </c>
      <c r="I617" s="1">
        <v>2</v>
      </c>
      <c r="J617" s="64">
        <v>211</v>
      </c>
      <c r="K617" s="64" t="s">
        <v>1070</v>
      </c>
    </row>
    <row r="618" spans="1:11" s="68" customFormat="1">
      <c r="A618" s="65">
        <v>25</v>
      </c>
      <c r="B618" s="64" t="s">
        <v>305</v>
      </c>
      <c r="C618" s="64" t="s">
        <v>375</v>
      </c>
      <c r="D618" s="64" t="s">
        <v>358</v>
      </c>
      <c r="E618" s="64" t="s">
        <v>433</v>
      </c>
      <c r="F618" s="64">
        <v>39</v>
      </c>
      <c r="G618" s="64" t="s">
        <v>166</v>
      </c>
      <c r="H618" s="64" t="s">
        <v>782</v>
      </c>
      <c r="I618" s="1">
        <v>2</v>
      </c>
      <c r="J618" s="64">
        <v>284</v>
      </c>
      <c r="K618" s="64" t="s">
        <v>1071</v>
      </c>
    </row>
    <row r="619" spans="1:11" s="68" customFormat="1">
      <c r="A619" s="65">
        <v>25</v>
      </c>
      <c r="B619" s="64" t="s">
        <v>329</v>
      </c>
      <c r="C619" s="64" t="s">
        <v>537</v>
      </c>
      <c r="D619" s="64" t="s">
        <v>351</v>
      </c>
      <c r="E619" s="64" t="s">
        <v>454</v>
      </c>
      <c r="F619" s="64">
        <v>45</v>
      </c>
      <c r="G619" s="64" t="s">
        <v>253</v>
      </c>
      <c r="H619" s="64" t="s">
        <v>245</v>
      </c>
      <c r="I619" s="1">
        <v>2</v>
      </c>
      <c r="J619" s="64">
        <v>345</v>
      </c>
      <c r="K619" s="64" t="s">
        <v>1072</v>
      </c>
    </row>
    <row r="620" spans="1:11" s="68" customFormat="1">
      <c r="A620" s="65">
        <v>25</v>
      </c>
      <c r="B620" s="64" t="s">
        <v>338</v>
      </c>
      <c r="C620" s="64" t="s">
        <v>1073</v>
      </c>
      <c r="D620" s="64" t="s">
        <v>1074</v>
      </c>
      <c r="E620" s="64" t="s">
        <v>389</v>
      </c>
      <c r="F620" s="64">
        <v>48</v>
      </c>
      <c r="G620" s="64" t="s">
        <v>253</v>
      </c>
      <c r="H620" s="64" t="s">
        <v>245</v>
      </c>
      <c r="I620" s="1">
        <v>2</v>
      </c>
      <c r="J620" s="64">
        <v>409</v>
      </c>
      <c r="K620" s="64" t="s">
        <v>1075</v>
      </c>
    </row>
    <row r="621" spans="1:11" s="68" customFormat="1"/>
    <row r="622" spans="1:11" s="68" customFormat="1"/>
    <row r="623" spans="1:11" s="68" customFormat="1"/>
    <row r="624" spans="1:11" s="68" customFormat="1"/>
    <row r="625" s="68" customFormat="1"/>
    <row r="626" s="68" customFormat="1"/>
    <row r="627" s="68" customFormat="1"/>
    <row r="628" s="68" customFormat="1"/>
    <row r="629" s="68" customFormat="1"/>
    <row r="630" s="68" customFormat="1"/>
    <row r="631" s="68" customFormat="1"/>
    <row r="632" s="68" customFormat="1"/>
    <row r="633" s="68" customFormat="1"/>
    <row r="634" s="68" customFormat="1"/>
    <row r="635" s="68" customFormat="1"/>
    <row r="636" s="68" customFormat="1"/>
    <row r="637" s="68" customFormat="1"/>
    <row r="638" s="68" customFormat="1"/>
    <row r="639" s="68" customFormat="1"/>
    <row r="640" s="68" customFormat="1"/>
    <row r="641" s="68" customFormat="1"/>
    <row r="642" s="68" customFormat="1"/>
    <row r="643" s="68" customFormat="1"/>
    <row r="644" s="68" customFormat="1"/>
    <row r="645" s="68" customFormat="1"/>
    <row r="646" s="68" customFormat="1"/>
    <row r="647" s="68" customFormat="1"/>
    <row r="648" s="68" customFormat="1"/>
    <row r="649" s="68" customFormat="1"/>
    <row r="650" s="68" customFormat="1"/>
    <row r="651" s="68" customFormat="1"/>
    <row r="652" s="68" customFormat="1"/>
    <row r="653" s="68" customFormat="1"/>
    <row r="654" s="68" customFormat="1"/>
    <row r="655" s="68" customFormat="1"/>
    <row r="656" s="68" customFormat="1"/>
    <row r="657" s="68" customFormat="1"/>
    <row r="658" s="68" customFormat="1"/>
    <row r="659" s="68" customFormat="1"/>
    <row r="660" s="68" customFormat="1"/>
    <row r="661" s="68" customFormat="1"/>
    <row r="662" s="68" customFormat="1"/>
    <row r="663" s="68" customFormat="1"/>
    <row r="664" s="68" customFormat="1"/>
    <row r="665" s="68" customFormat="1"/>
    <row r="666" s="68" customFormat="1"/>
    <row r="667" s="68" customFormat="1"/>
    <row r="668" s="68" customFormat="1"/>
    <row r="669" s="68" customFormat="1"/>
    <row r="670" s="68" customFormat="1"/>
    <row r="671" s="68" customFormat="1"/>
    <row r="672" s="68" customFormat="1"/>
    <row r="673" spans="17:40" s="68" customFormat="1"/>
    <row r="674" spans="17:40" s="68" customFormat="1"/>
    <row r="675" spans="17:40" s="68" customFormat="1"/>
    <row r="676" spans="17:40" s="68" customFormat="1"/>
    <row r="677" spans="17:40">
      <c r="Q677" s="68"/>
      <c r="R677" s="68"/>
      <c r="S677" s="68"/>
      <c r="T677" s="68"/>
      <c r="U677" s="68"/>
      <c r="V677" s="68"/>
      <c r="W677" s="68"/>
      <c r="X677" s="68"/>
      <c r="Y677" s="68"/>
      <c r="Z677" s="68"/>
      <c r="AA677" s="68"/>
      <c r="AB677" s="68"/>
      <c r="AC677" s="68"/>
      <c r="AD677" s="68"/>
      <c r="AE677" s="68"/>
      <c r="AF677" s="68"/>
      <c r="AG677" s="68"/>
      <c r="AH677" s="68"/>
      <c r="AI677" s="68"/>
      <c r="AJ677" s="68"/>
      <c r="AK677" s="68"/>
      <c r="AL677" s="68"/>
      <c r="AM677" s="68"/>
      <c r="AN677" s="68"/>
    </row>
    <row r="678" spans="17:40">
      <c r="Q678" s="68"/>
      <c r="R678" s="68"/>
      <c r="S678" s="68"/>
      <c r="T678" s="68"/>
      <c r="U678" s="68"/>
      <c r="V678" s="68"/>
      <c r="W678" s="68"/>
      <c r="X678" s="68"/>
      <c r="Y678" s="68"/>
      <c r="Z678" s="68"/>
      <c r="AA678" s="68"/>
      <c r="AB678" s="68"/>
      <c r="AC678" s="68"/>
      <c r="AD678" s="68"/>
      <c r="AE678" s="68"/>
      <c r="AF678" s="68"/>
      <c r="AG678" s="68"/>
      <c r="AH678" s="68"/>
      <c r="AI678" s="68"/>
      <c r="AJ678" s="68"/>
      <c r="AK678" s="68"/>
      <c r="AL678" s="68"/>
      <c r="AM678" s="68"/>
      <c r="AN678" s="68"/>
    </row>
    <row r="679" spans="17:40">
      <c r="Q679" s="68"/>
      <c r="R679" s="68"/>
      <c r="S679" s="68"/>
      <c r="T679" s="68"/>
      <c r="U679" s="68"/>
      <c r="V679" s="68"/>
      <c r="W679" s="68"/>
      <c r="X679" s="68"/>
      <c r="Y679" s="68"/>
      <c r="Z679" s="68"/>
      <c r="AA679" s="68"/>
      <c r="AB679" s="68"/>
      <c r="AC679" s="68"/>
      <c r="AD679" s="68"/>
      <c r="AE679" s="68"/>
      <c r="AF679" s="68"/>
      <c r="AG679" s="68"/>
      <c r="AH679" s="68"/>
      <c r="AI679" s="68"/>
      <c r="AJ679" s="68"/>
      <c r="AK679" s="68"/>
      <c r="AL679" s="68"/>
      <c r="AM679" s="68"/>
      <c r="AN679" s="68"/>
    </row>
    <row r="680" spans="17:40">
      <c r="Q680" s="68"/>
      <c r="R680" s="68"/>
      <c r="S680" s="68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</row>
    <row r="681" spans="17:40">
      <c r="Q681" s="68"/>
      <c r="R681" s="68"/>
      <c r="S681" s="68"/>
      <c r="T681" s="68"/>
      <c r="U681" s="68"/>
      <c r="V681" s="68"/>
      <c r="W681" s="68"/>
      <c r="X681" s="68"/>
      <c r="Y681" s="68"/>
      <c r="Z681" s="68"/>
      <c r="AA681" s="68"/>
      <c r="AB681" s="68"/>
      <c r="AC681" s="68"/>
      <c r="AD681" s="68"/>
      <c r="AE681" s="68"/>
      <c r="AF681" s="68"/>
      <c r="AG681" s="68"/>
      <c r="AH681" s="68"/>
      <c r="AI681" s="68"/>
      <c r="AJ681" s="68"/>
      <c r="AK681" s="68"/>
      <c r="AL681" s="68"/>
      <c r="AM681" s="68"/>
      <c r="AN681" s="68"/>
    </row>
    <row r="682" spans="17:40">
      <c r="Q682" s="68"/>
      <c r="R682" s="68"/>
      <c r="S682" s="68"/>
      <c r="T682" s="68"/>
      <c r="U682" s="68"/>
      <c r="V682" s="68"/>
      <c r="W682" s="68"/>
      <c r="X682" s="68"/>
      <c r="Y682" s="68"/>
      <c r="Z682" s="68"/>
      <c r="AA682" s="68"/>
      <c r="AB682" s="68"/>
      <c r="AC682" s="68"/>
      <c r="AD682" s="68"/>
      <c r="AE682" s="68"/>
      <c r="AF682" s="68"/>
      <c r="AG682" s="68"/>
      <c r="AH682" s="68"/>
      <c r="AI682" s="68"/>
      <c r="AJ682" s="68"/>
      <c r="AK682" s="68"/>
      <c r="AL682" s="68"/>
      <c r="AM682" s="68"/>
      <c r="AN682" s="68"/>
    </row>
    <row r="683" spans="17:40">
      <c r="Q683" s="68"/>
      <c r="R683" s="68"/>
      <c r="S683" s="68"/>
      <c r="T683" s="68"/>
      <c r="U683" s="68"/>
      <c r="V683" s="68"/>
      <c r="W683" s="68"/>
      <c r="X683" s="68"/>
      <c r="Y683" s="68"/>
      <c r="Z683" s="68"/>
      <c r="AA683" s="68"/>
      <c r="AB683" s="68"/>
      <c r="AC683" s="68"/>
      <c r="AD683" s="68"/>
      <c r="AE683" s="68"/>
      <c r="AF683" s="68"/>
      <c r="AG683" s="68"/>
      <c r="AH683" s="68"/>
      <c r="AI683" s="68"/>
      <c r="AJ683" s="68"/>
      <c r="AK683" s="68"/>
      <c r="AL683" s="68"/>
      <c r="AM683" s="68"/>
      <c r="AN683" s="68"/>
    </row>
    <row r="684" spans="17:40">
      <c r="Q684" s="68"/>
      <c r="R684" s="68"/>
      <c r="S684" s="68"/>
      <c r="T684" s="68"/>
      <c r="U684" s="68"/>
      <c r="V684" s="68"/>
      <c r="W684" s="68"/>
      <c r="X684" s="68"/>
      <c r="Y684" s="68"/>
      <c r="Z684" s="68"/>
      <c r="AA684" s="68"/>
      <c r="AB684" s="68"/>
      <c r="AC684" s="68"/>
      <c r="AD684" s="68"/>
      <c r="AE684" s="68"/>
      <c r="AF684" s="68"/>
      <c r="AG684" s="68"/>
      <c r="AH684" s="68"/>
      <c r="AI684" s="68"/>
      <c r="AJ684" s="68"/>
      <c r="AK684" s="68"/>
      <c r="AL684" s="68"/>
      <c r="AM684" s="68"/>
      <c r="AN684" s="68"/>
    </row>
    <row r="685" spans="17:40">
      <c r="Q685" s="68"/>
      <c r="R685" s="68"/>
      <c r="S685" s="68"/>
      <c r="T685" s="68"/>
      <c r="U685" s="68"/>
      <c r="V685" s="68"/>
      <c r="W685" s="68"/>
      <c r="X685" s="68"/>
      <c r="Y685" s="68"/>
      <c r="Z685" s="68"/>
      <c r="AA685" s="68"/>
      <c r="AB685" s="68"/>
      <c r="AC685" s="68"/>
      <c r="AD685" s="68"/>
      <c r="AE685" s="68"/>
      <c r="AF685" s="68"/>
      <c r="AG685" s="68"/>
      <c r="AH685" s="68"/>
      <c r="AI685" s="68"/>
      <c r="AJ685" s="68"/>
      <c r="AK685" s="68"/>
      <c r="AL685" s="68"/>
      <c r="AM685" s="68"/>
      <c r="AN685" s="68"/>
    </row>
    <row r="686" spans="17:40">
      <c r="Q686" s="68"/>
      <c r="R686" s="68"/>
      <c r="S686" s="68"/>
      <c r="T686" s="68"/>
      <c r="U686" s="68"/>
      <c r="V686" s="68"/>
      <c r="W686" s="68"/>
      <c r="X686" s="68"/>
      <c r="Y686" s="68"/>
      <c r="Z686" s="68"/>
      <c r="AA686" s="68"/>
      <c r="AB686" s="68"/>
      <c r="AC686" s="68"/>
      <c r="AD686" s="68"/>
      <c r="AE686" s="68"/>
      <c r="AF686" s="68"/>
      <c r="AG686" s="68"/>
      <c r="AH686" s="68"/>
      <c r="AI686" s="68"/>
      <c r="AJ686" s="68"/>
      <c r="AK686" s="68"/>
      <c r="AL686" s="68"/>
      <c r="AM686" s="68"/>
      <c r="AN686" s="68"/>
    </row>
    <row r="687" spans="17:40">
      <c r="Q687" s="68"/>
      <c r="R687" s="68"/>
      <c r="S687" s="68"/>
      <c r="T687" s="68"/>
      <c r="U687" s="68"/>
      <c r="V687" s="68"/>
      <c r="W687" s="68"/>
      <c r="X687" s="68"/>
      <c r="Y687" s="68"/>
      <c r="Z687" s="68"/>
      <c r="AA687" s="68"/>
      <c r="AB687" s="68"/>
      <c r="AC687" s="68"/>
      <c r="AD687" s="68"/>
      <c r="AE687" s="68"/>
      <c r="AF687" s="68"/>
      <c r="AG687" s="68"/>
      <c r="AH687" s="68"/>
      <c r="AI687" s="68"/>
      <c r="AJ687" s="68"/>
      <c r="AK687" s="68"/>
      <c r="AL687" s="68"/>
      <c r="AM687" s="68"/>
      <c r="AN687" s="68"/>
    </row>
    <row r="688" spans="17:40">
      <c r="Q688" s="68"/>
      <c r="R688" s="68"/>
      <c r="S688" s="68"/>
      <c r="T688" s="68"/>
      <c r="U688" s="68"/>
      <c r="V688" s="68"/>
      <c r="W688" s="68"/>
      <c r="X688" s="68"/>
      <c r="Y688" s="68"/>
      <c r="Z688" s="68"/>
      <c r="AA688" s="68"/>
      <c r="AB688" s="68"/>
      <c r="AC688" s="68"/>
      <c r="AD688" s="68"/>
      <c r="AE688" s="68"/>
      <c r="AF688" s="68"/>
      <c r="AG688" s="68"/>
      <c r="AH688" s="68"/>
      <c r="AI688" s="68"/>
      <c r="AJ688" s="68"/>
      <c r="AK688" s="68"/>
      <c r="AL688" s="68"/>
      <c r="AM688" s="68"/>
      <c r="AN688" s="68"/>
    </row>
    <row r="689" spans="17:40">
      <c r="Q689" s="68"/>
      <c r="R689" s="68"/>
      <c r="S689" s="68"/>
      <c r="T689" s="68"/>
      <c r="U689" s="68"/>
      <c r="V689" s="68"/>
      <c r="W689" s="68"/>
      <c r="X689" s="68"/>
      <c r="Y689" s="68"/>
      <c r="Z689" s="68"/>
      <c r="AA689" s="68"/>
      <c r="AB689" s="68"/>
      <c r="AC689" s="68"/>
      <c r="AD689" s="68"/>
      <c r="AE689" s="68"/>
      <c r="AF689" s="68"/>
      <c r="AG689" s="68"/>
      <c r="AH689" s="68"/>
      <c r="AI689" s="68"/>
      <c r="AJ689" s="68"/>
      <c r="AK689" s="68"/>
      <c r="AL689" s="68"/>
      <c r="AM689" s="68"/>
      <c r="AN689" s="68"/>
    </row>
    <row r="690" spans="17:40">
      <c r="Q690" s="68"/>
      <c r="R690" s="68"/>
      <c r="S690" s="68"/>
      <c r="T690" s="68"/>
      <c r="U690" s="68"/>
      <c r="V690" s="68"/>
      <c r="W690" s="68"/>
      <c r="X690" s="68"/>
      <c r="Y690" s="68"/>
      <c r="Z690" s="68"/>
      <c r="AA690" s="68"/>
      <c r="AB690" s="68"/>
      <c r="AC690" s="68"/>
      <c r="AD690" s="68"/>
      <c r="AE690" s="68"/>
      <c r="AF690" s="68"/>
      <c r="AG690" s="68"/>
      <c r="AH690" s="68"/>
      <c r="AI690" s="68"/>
      <c r="AJ690" s="68"/>
      <c r="AK690" s="68"/>
      <c r="AL690" s="68"/>
      <c r="AM690" s="68"/>
      <c r="AN690" s="68"/>
    </row>
    <row r="691" spans="17:40">
      <c r="Q691" s="68"/>
      <c r="R691" s="68"/>
      <c r="S691" s="68"/>
      <c r="T691" s="68"/>
      <c r="U691" s="68"/>
      <c r="V691" s="68"/>
      <c r="W691" s="68"/>
      <c r="X691" s="68"/>
      <c r="Y691" s="68"/>
      <c r="Z691" s="68"/>
      <c r="AA691" s="68"/>
      <c r="AB691" s="68"/>
      <c r="AC691" s="68"/>
      <c r="AD691" s="68"/>
      <c r="AE691" s="68"/>
      <c r="AF691" s="68"/>
      <c r="AG691" s="68"/>
      <c r="AH691" s="68"/>
      <c r="AI691" s="68"/>
      <c r="AJ691" s="68"/>
      <c r="AK691" s="68"/>
      <c r="AL691" s="68"/>
      <c r="AM691" s="68"/>
      <c r="AN691" s="68"/>
    </row>
    <row r="692" spans="17:40">
      <c r="Q692" s="68"/>
      <c r="R692" s="68"/>
      <c r="S692" s="68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</row>
    <row r="693" spans="17:40">
      <c r="Q693" s="68"/>
      <c r="R693" s="68"/>
      <c r="S693" s="68"/>
      <c r="T693" s="68"/>
      <c r="U693" s="68"/>
      <c r="V693" s="68"/>
      <c r="W693" s="68"/>
      <c r="X693" s="68"/>
      <c r="Y693" s="68"/>
      <c r="Z693" s="68"/>
      <c r="AA693" s="68"/>
      <c r="AB693" s="68"/>
      <c r="AC693" s="68"/>
      <c r="AD693" s="68"/>
      <c r="AE693" s="68"/>
      <c r="AF693" s="68"/>
      <c r="AG693" s="68"/>
      <c r="AH693" s="68"/>
      <c r="AI693" s="68"/>
      <c r="AJ693" s="68"/>
      <c r="AK693" s="68"/>
      <c r="AL693" s="68"/>
      <c r="AM693" s="68"/>
      <c r="AN693" s="68"/>
    </row>
    <row r="694" spans="17:40">
      <c r="Q694" s="68"/>
      <c r="R694" s="68"/>
      <c r="S694" s="68"/>
      <c r="T694" s="68"/>
      <c r="U694" s="68"/>
      <c r="V694" s="68"/>
      <c r="W694" s="68"/>
      <c r="X694" s="68"/>
      <c r="Y694" s="68"/>
      <c r="Z694" s="68"/>
      <c r="AA694" s="68"/>
      <c r="AB694" s="68"/>
      <c r="AC694" s="68"/>
      <c r="AD694" s="68"/>
      <c r="AE694" s="68"/>
      <c r="AF694" s="68"/>
      <c r="AG694" s="68"/>
      <c r="AH694" s="68"/>
      <c r="AI694" s="68"/>
      <c r="AJ694" s="68"/>
      <c r="AK694" s="68"/>
      <c r="AL694" s="68"/>
      <c r="AM694" s="68"/>
      <c r="AN694" s="68"/>
    </row>
    <row r="695" spans="17:40">
      <c r="Q695" s="68"/>
      <c r="R695" s="68"/>
      <c r="S695" s="68"/>
      <c r="T695" s="68"/>
      <c r="U695" s="68"/>
      <c r="V695" s="68"/>
      <c r="W695" s="68"/>
      <c r="X695" s="68"/>
      <c r="Y695" s="68"/>
      <c r="Z695" s="68"/>
      <c r="AA695" s="68"/>
      <c r="AB695" s="68"/>
      <c r="AC695" s="68"/>
      <c r="AD695" s="68"/>
      <c r="AE695" s="68"/>
      <c r="AF695" s="68"/>
      <c r="AG695" s="68"/>
      <c r="AH695" s="68"/>
      <c r="AI695" s="68"/>
      <c r="AJ695" s="68"/>
      <c r="AK695" s="68"/>
      <c r="AL695" s="68"/>
      <c r="AM695" s="68"/>
      <c r="AN695" s="68"/>
    </row>
    <row r="696" spans="17:40">
      <c r="Q696" s="68"/>
      <c r="R696" s="68"/>
      <c r="S696" s="68"/>
      <c r="T696" s="68"/>
      <c r="U696" s="68"/>
      <c r="V696" s="68"/>
      <c r="W696" s="68"/>
      <c r="X696" s="68"/>
      <c r="Y696" s="68"/>
      <c r="Z696" s="68"/>
      <c r="AA696" s="68"/>
      <c r="AB696" s="68"/>
      <c r="AC696" s="68"/>
      <c r="AD696" s="68"/>
      <c r="AE696" s="68"/>
      <c r="AF696" s="68"/>
      <c r="AG696" s="68"/>
      <c r="AH696" s="68"/>
      <c r="AI696" s="68"/>
      <c r="AJ696" s="68"/>
      <c r="AK696" s="68"/>
      <c r="AL696" s="68"/>
      <c r="AM696" s="68"/>
      <c r="AN696" s="68"/>
    </row>
    <row r="697" spans="17:40">
      <c r="Q697" s="68"/>
      <c r="R697" s="68"/>
      <c r="S697" s="68"/>
      <c r="T697" s="68"/>
      <c r="U697" s="68"/>
      <c r="V697" s="68"/>
      <c r="W697" s="68"/>
      <c r="X697" s="68"/>
      <c r="Y697" s="68"/>
      <c r="Z697" s="68"/>
      <c r="AA697" s="68"/>
      <c r="AB697" s="68"/>
      <c r="AC697" s="68"/>
      <c r="AD697" s="68"/>
      <c r="AE697" s="68"/>
      <c r="AF697" s="68"/>
      <c r="AG697" s="68"/>
      <c r="AH697" s="68"/>
      <c r="AI697" s="68"/>
      <c r="AJ697" s="68"/>
      <c r="AK697" s="68"/>
      <c r="AL697" s="68"/>
      <c r="AM697" s="68"/>
      <c r="AN697" s="68"/>
    </row>
    <row r="698" spans="17:40">
      <c r="Q698" s="68"/>
      <c r="R698" s="68"/>
      <c r="S698" s="68"/>
      <c r="T698" s="68"/>
      <c r="U698" s="68"/>
      <c r="V698" s="68"/>
      <c r="W698" s="68"/>
      <c r="X698" s="68"/>
      <c r="Y698" s="68"/>
      <c r="Z698" s="68"/>
      <c r="AA698" s="68"/>
      <c r="AB698" s="68"/>
      <c r="AC698" s="68"/>
      <c r="AD698" s="68"/>
      <c r="AE698" s="68"/>
      <c r="AF698" s="68"/>
      <c r="AG698" s="68"/>
      <c r="AH698" s="68"/>
      <c r="AI698" s="68"/>
      <c r="AJ698" s="68"/>
      <c r="AK698" s="68"/>
      <c r="AL698" s="68"/>
      <c r="AM698" s="68"/>
      <c r="AN698" s="68"/>
    </row>
    <row r="699" spans="17:40">
      <c r="Q699" s="68"/>
      <c r="R699" s="68"/>
      <c r="S699" s="68"/>
      <c r="T699" s="68"/>
      <c r="U699" s="68"/>
      <c r="V699" s="68"/>
      <c r="W699" s="68"/>
      <c r="X699" s="68"/>
      <c r="Y699" s="68"/>
      <c r="Z699" s="68"/>
      <c r="AA699" s="68"/>
      <c r="AB699" s="68"/>
      <c r="AC699" s="68"/>
      <c r="AD699" s="68"/>
      <c r="AE699" s="68"/>
      <c r="AF699" s="68"/>
      <c r="AG699" s="68"/>
      <c r="AH699" s="68"/>
      <c r="AI699" s="68"/>
      <c r="AJ699" s="68"/>
      <c r="AK699" s="68"/>
      <c r="AL699" s="68"/>
      <c r="AM699" s="68"/>
      <c r="AN699" s="68"/>
    </row>
    <row r="700" spans="17:40">
      <c r="Q700" s="68"/>
      <c r="R700" s="68"/>
      <c r="S700" s="68"/>
      <c r="T700" s="68"/>
      <c r="U700" s="68"/>
      <c r="V700" s="68"/>
      <c r="W700" s="68"/>
      <c r="X700" s="68"/>
      <c r="Y700" s="68"/>
      <c r="Z700" s="68"/>
      <c r="AA700" s="68"/>
      <c r="AB700" s="68"/>
      <c r="AC700" s="68"/>
      <c r="AD700" s="68"/>
      <c r="AE700" s="68"/>
      <c r="AF700" s="68"/>
      <c r="AG700" s="68"/>
      <c r="AH700" s="68"/>
      <c r="AI700" s="68"/>
      <c r="AJ700" s="68"/>
      <c r="AK700" s="68"/>
      <c r="AL700" s="68"/>
      <c r="AM700" s="68"/>
      <c r="AN700" s="68"/>
    </row>
    <row r="701" spans="17:40">
      <c r="Q701" s="68"/>
      <c r="R701" s="68"/>
      <c r="S701" s="68"/>
      <c r="T701" s="68"/>
      <c r="U701" s="68"/>
      <c r="V701" s="68"/>
      <c r="W701" s="68"/>
      <c r="X701" s="68"/>
      <c r="Y701" s="68"/>
      <c r="Z701" s="68"/>
      <c r="AA701" s="68"/>
      <c r="AB701" s="68"/>
      <c r="AC701" s="68"/>
      <c r="AD701" s="68"/>
      <c r="AE701" s="68"/>
      <c r="AF701" s="68"/>
      <c r="AG701" s="68"/>
      <c r="AH701" s="68"/>
      <c r="AI701" s="68"/>
      <c r="AJ701" s="68"/>
      <c r="AK701" s="68"/>
      <c r="AL701" s="68"/>
      <c r="AM701" s="68"/>
      <c r="AN701" s="68"/>
    </row>
    <row r="702" spans="17:40">
      <c r="Q702" s="68"/>
      <c r="R702" s="68"/>
      <c r="S702" s="68"/>
      <c r="T702" s="68"/>
      <c r="U702" s="68"/>
      <c r="V702" s="68"/>
      <c r="W702" s="68"/>
      <c r="X702" s="68"/>
      <c r="Y702" s="68"/>
      <c r="Z702" s="68"/>
      <c r="AA702" s="68"/>
      <c r="AB702" s="68"/>
      <c r="AC702" s="68"/>
      <c r="AD702" s="68"/>
      <c r="AE702" s="68"/>
      <c r="AF702" s="68"/>
      <c r="AG702" s="68"/>
      <c r="AH702" s="68"/>
      <c r="AI702" s="68"/>
      <c r="AJ702" s="68"/>
      <c r="AK702" s="68"/>
      <c r="AL702" s="68"/>
      <c r="AM702" s="68"/>
      <c r="AN702" s="68"/>
    </row>
    <row r="703" spans="17:40">
      <c r="Q703" s="68"/>
      <c r="R703" s="68"/>
      <c r="S703" s="68"/>
      <c r="T703" s="68"/>
      <c r="U703" s="68"/>
      <c r="V703" s="68"/>
      <c r="W703" s="68"/>
      <c r="X703" s="68"/>
      <c r="Y703" s="68"/>
      <c r="Z703" s="68"/>
      <c r="AA703" s="68"/>
      <c r="AB703" s="68"/>
      <c r="AC703" s="68"/>
      <c r="AD703" s="68"/>
      <c r="AE703" s="68"/>
      <c r="AF703" s="68"/>
      <c r="AG703" s="68"/>
      <c r="AH703" s="68"/>
      <c r="AI703" s="68"/>
      <c r="AJ703" s="68"/>
      <c r="AK703" s="68"/>
      <c r="AL703" s="68"/>
      <c r="AM703" s="68"/>
      <c r="AN703" s="68"/>
    </row>
    <row r="704" spans="17:40">
      <c r="Q704" s="68"/>
      <c r="R704" s="68"/>
      <c r="S704" s="68"/>
      <c r="T704" s="68"/>
      <c r="U704" s="68"/>
      <c r="V704" s="68"/>
      <c r="W704" s="68"/>
      <c r="X704" s="68"/>
      <c r="Y704" s="68"/>
      <c r="Z704" s="68"/>
      <c r="AA704" s="68"/>
      <c r="AB704" s="68"/>
      <c r="AC704" s="68"/>
      <c r="AD704" s="68"/>
      <c r="AE704" s="68"/>
      <c r="AF704" s="68"/>
      <c r="AG704" s="68"/>
      <c r="AH704" s="68"/>
      <c r="AI704" s="68"/>
      <c r="AJ704" s="68"/>
      <c r="AK704" s="68"/>
      <c r="AL704" s="68"/>
      <c r="AM704" s="68"/>
      <c r="AN704" s="68"/>
    </row>
    <row r="705" spans="17:40">
      <c r="Q705" s="68"/>
      <c r="R705" s="68"/>
      <c r="S705" s="68"/>
      <c r="T705" s="68"/>
      <c r="U705" s="68"/>
      <c r="V705" s="68"/>
      <c r="W705" s="68"/>
      <c r="X705" s="68"/>
      <c r="Y705" s="68"/>
      <c r="Z705" s="68"/>
      <c r="AA705" s="68"/>
      <c r="AB705" s="68"/>
      <c r="AC705" s="68"/>
      <c r="AD705" s="68"/>
      <c r="AE705" s="68"/>
      <c r="AF705" s="68"/>
      <c r="AG705" s="68"/>
      <c r="AH705" s="68"/>
      <c r="AI705" s="68"/>
      <c r="AJ705" s="68"/>
      <c r="AK705" s="68"/>
      <c r="AL705" s="68"/>
      <c r="AM705" s="68"/>
      <c r="AN705" s="68"/>
    </row>
    <row r="706" spans="17:40">
      <c r="Q706" s="68"/>
      <c r="R706" s="68"/>
      <c r="S706" s="68"/>
      <c r="T706" s="68"/>
      <c r="U706" s="68"/>
      <c r="V706" s="68"/>
      <c r="W706" s="68"/>
      <c r="X706" s="68"/>
      <c r="Y706" s="68"/>
      <c r="Z706" s="68"/>
      <c r="AA706" s="68"/>
      <c r="AB706" s="68"/>
      <c r="AC706" s="68"/>
      <c r="AD706" s="68"/>
      <c r="AE706" s="68"/>
      <c r="AF706" s="68"/>
      <c r="AG706" s="68"/>
      <c r="AH706" s="68"/>
      <c r="AI706" s="68"/>
      <c r="AJ706" s="68"/>
      <c r="AK706" s="68"/>
      <c r="AL706" s="68"/>
      <c r="AM706" s="68"/>
      <c r="AN706" s="68"/>
    </row>
    <row r="707" spans="17:40">
      <c r="Q707" s="68"/>
      <c r="R707" s="68"/>
      <c r="S707" s="68"/>
      <c r="T707" s="68"/>
      <c r="U707" s="68"/>
      <c r="V707" s="68"/>
      <c r="W707" s="68"/>
      <c r="X707" s="68"/>
      <c r="Y707" s="68"/>
      <c r="Z707" s="68"/>
      <c r="AA707" s="68"/>
      <c r="AB707" s="68"/>
      <c r="AC707" s="68"/>
      <c r="AD707" s="68"/>
      <c r="AE707" s="68"/>
      <c r="AF707" s="68"/>
      <c r="AG707" s="68"/>
      <c r="AH707" s="68"/>
      <c r="AI707" s="68"/>
      <c r="AJ707" s="68"/>
      <c r="AK707" s="68"/>
      <c r="AL707" s="68"/>
      <c r="AM707" s="68"/>
      <c r="AN707" s="68"/>
    </row>
    <row r="708" spans="17:40">
      <c r="Q708" s="68"/>
      <c r="R708" s="68"/>
      <c r="S708" s="68"/>
      <c r="T708" s="68"/>
      <c r="U708" s="68"/>
      <c r="V708" s="68"/>
      <c r="W708" s="68"/>
      <c r="X708" s="68"/>
      <c r="Y708" s="68"/>
      <c r="Z708" s="68"/>
      <c r="AA708" s="68"/>
      <c r="AB708" s="68"/>
      <c r="AC708" s="68"/>
      <c r="AD708" s="68"/>
      <c r="AE708" s="68"/>
      <c r="AF708" s="68"/>
      <c r="AG708" s="68"/>
      <c r="AH708" s="68"/>
      <c r="AI708" s="68"/>
      <c r="AJ708" s="68"/>
      <c r="AK708" s="68"/>
      <c r="AL708" s="68"/>
      <c r="AM708" s="68"/>
      <c r="AN708" s="68"/>
    </row>
    <row r="709" spans="17:40">
      <c r="Q709" s="68"/>
      <c r="R709" s="68"/>
      <c r="S709" s="68"/>
      <c r="T709" s="68"/>
      <c r="U709" s="68"/>
      <c r="V709" s="68"/>
      <c r="W709" s="68"/>
      <c r="X709" s="68"/>
      <c r="Y709" s="68"/>
      <c r="Z709" s="68"/>
      <c r="AA709" s="68"/>
      <c r="AB709" s="68"/>
      <c r="AC709" s="68"/>
      <c r="AD709" s="68"/>
      <c r="AE709" s="68"/>
      <c r="AF709" s="68"/>
      <c r="AG709" s="68"/>
      <c r="AH709" s="68"/>
      <c r="AI709" s="68"/>
      <c r="AJ709" s="68"/>
      <c r="AK709" s="68"/>
      <c r="AL709" s="68"/>
      <c r="AM709" s="68"/>
      <c r="AN709" s="68"/>
    </row>
    <row r="710" spans="17:40">
      <c r="Q710" s="68"/>
      <c r="R710" s="68"/>
      <c r="S710" s="68"/>
      <c r="T710" s="68"/>
      <c r="U710" s="68"/>
      <c r="V710" s="68"/>
      <c r="W710" s="68"/>
      <c r="X710" s="68"/>
      <c r="Y710" s="68"/>
      <c r="Z710" s="68"/>
      <c r="AA710" s="68"/>
      <c r="AB710" s="68"/>
      <c r="AC710" s="68"/>
      <c r="AD710" s="68"/>
      <c r="AE710" s="68"/>
      <c r="AF710" s="68"/>
      <c r="AG710" s="68"/>
      <c r="AH710" s="68"/>
      <c r="AI710" s="68"/>
      <c r="AJ710" s="68"/>
      <c r="AK710" s="68"/>
      <c r="AL710" s="68"/>
      <c r="AM710" s="68"/>
      <c r="AN710" s="68"/>
    </row>
    <row r="711" spans="17:40">
      <c r="Q711" s="68"/>
      <c r="R711" s="68"/>
      <c r="S711" s="68"/>
      <c r="T711" s="68"/>
      <c r="U711" s="68"/>
      <c r="V711" s="68"/>
      <c r="W711" s="68"/>
      <c r="X711" s="68"/>
      <c r="Y711" s="68"/>
      <c r="Z711" s="68"/>
      <c r="AA711" s="68"/>
      <c r="AB711" s="68"/>
      <c r="AC711" s="68"/>
      <c r="AD711" s="68"/>
      <c r="AE711" s="68"/>
      <c r="AF711" s="68"/>
      <c r="AG711" s="68"/>
      <c r="AH711" s="68"/>
      <c r="AI711" s="68"/>
      <c r="AJ711" s="68"/>
      <c r="AK711" s="68"/>
      <c r="AL711" s="68"/>
      <c r="AM711" s="68"/>
      <c r="AN711" s="68"/>
    </row>
    <row r="712" spans="17:40">
      <c r="Q712" s="68"/>
      <c r="R712" s="68"/>
      <c r="S712" s="68"/>
      <c r="T712" s="68"/>
      <c r="U712" s="68"/>
      <c r="V712" s="68"/>
      <c r="W712" s="68"/>
      <c r="X712" s="68"/>
      <c r="Y712" s="68"/>
      <c r="Z712" s="68"/>
      <c r="AA712" s="68"/>
      <c r="AB712" s="68"/>
      <c r="AC712" s="68"/>
      <c r="AD712" s="68"/>
      <c r="AE712" s="68"/>
      <c r="AF712" s="68"/>
      <c r="AG712" s="68"/>
      <c r="AH712" s="68"/>
      <c r="AI712" s="68"/>
      <c r="AJ712" s="68"/>
      <c r="AK712" s="68"/>
      <c r="AL712" s="68"/>
      <c r="AM712" s="68"/>
      <c r="AN712" s="68"/>
    </row>
    <row r="713" spans="17:40">
      <c r="Q713" s="68"/>
      <c r="R713" s="68"/>
      <c r="S713" s="68"/>
      <c r="T713" s="68"/>
      <c r="U713" s="68"/>
      <c r="V713" s="68"/>
      <c r="W713" s="68"/>
      <c r="X713" s="68"/>
      <c r="Y713" s="68"/>
      <c r="Z713" s="68"/>
      <c r="AA713" s="68"/>
      <c r="AB713" s="68"/>
      <c r="AC713" s="68"/>
      <c r="AD713" s="68"/>
      <c r="AE713" s="68"/>
      <c r="AF713" s="68"/>
      <c r="AG713" s="68"/>
      <c r="AH713" s="68"/>
      <c r="AI713" s="68"/>
      <c r="AJ713" s="68"/>
      <c r="AK713" s="68"/>
      <c r="AL713" s="68"/>
      <c r="AM713" s="68"/>
      <c r="AN713" s="68"/>
    </row>
    <row r="714" spans="17:40">
      <c r="Q714" s="68"/>
      <c r="R714" s="68"/>
      <c r="S714" s="68"/>
      <c r="T714" s="68"/>
      <c r="U714" s="68"/>
      <c r="V714" s="68"/>
      <c r="W714" s="68"/>
      <c r="X714" s="68"/>
      <c r="Y714" s="68"/>
      <c r="Z714" s="68"/>
      <c r="AA714" s="68"/>
      <c r="AB714" s="68"/>
      <c r="AC714" s="68"/>
      <c r="AD714" s="68"/>
      <c r="AE714" s="68"/>
      <c r="AF714" s="68"/>
      <c r="AG714" s="68"/>
      <c r="AH714" s="68"/>
      <c r="AI714" s="68"/>
      <c r="AJ714" s="68"/>
      <c r="AK714" s="68"/>
      <c r="AL714" s="68"/>
      <c r="AM714" s="68"/>
      <c r="AN714" s="68"/>
    </row>
    <row r="715" spans="17:40">
      <c r="Q715" s="68"/>
      <c r="R715" s="68"/>
      <c r="S715" s="68"/>
      <c r="T715" s="68"/>
      <c r="U715" s="68"/>
      <c r="V715" s="68"/>
      <c r="W715" s="68"/>
      <c r="X715" s="68"/>
      <c r="Y715" s="68"/>
      <c r="Z715" s="68"/>
      <c r="AA715" s="68"/>
      <c r="AB715" s="68"/>
      <c r="AC715" s="68"/>
      <c r="AD715" s="68"/>
      <c r="AE715" s="68"/>
      <c r="AF715" s="68"/>
      <c r="AG715" s="68"/>
      <c r="AH715" s="68"/>
      <c r="AI715" s="68"/>
      <c r="AJ715" s="68"/>
      <c r="AK715" s="68"/>
      <c r="AL715" s="68"/>
      <c r="AM715" s="68"/>
      <c r="AN715" s="68"/>
    </row>
    <row r="716" spans="17:40">
      <c r="Q716" s="68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  <c r="AC716" s="68"/>
      <c r="AD716" s="68"/>
      <c r="AE716" s="68"/>
      <c r="AF716" s="68"/>
      <c r="AG716" s="68"/>
      <c r="AH716" s="68"/>
      <c r="AI716" s="68"/>
      <c r="AJ716" s="68"/>
      <c r="AK716" s="68"/>
      <c r="AL716" s="68"/>
      <c r="AM716" s="68"/>
      <c r="AN716" s="68"/>
    </row>
    <row r="717" spans="17:40">
      <c r="Q717" s="68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</row>
    <row r="718" spans="17:40">
      <c r="Q718" s="68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  <c r="AC718" s="68"/>
      <c r="AD718" s="68"/>
      <c r="AE718" s="68"/>
      <c r="AF718" s="68"/>
      <c r="AG718" s="68"/>
      <c r="AH718" s="68"/>
      <c r="AI718" s="68"/>
      <c r="AJ718" s="68"/>
      <c r="AK718" s="68"/>
      <c r="AL718" s="68"/>
      <c r="AM718" s="68"/>
      <c r="AN718" s="68"/>
    </row>
    <row r="719" spans="17:40">
      <c r="Q719" s="68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  <c r="AC719" s="68"/>
      <c r="AD719" s="68"/>
      <c r="AE719" s="68"/>
      <c r="AF719" s="68"/>
      <c r="AG719" s="68"/>
      <c r="AH719" s="68"/>
      <c r="AI719" s="68"/>
      <c r="AJ719" s="68"/>
      <c r="AK719" s="68"/>
      <c r="AL719" s="68"/>
      <c r="AM719" s="68"/>
      <c r="AN719" s="68"/>
    </row>
    <row r="720" spans="17:40">
      <c r="Q720" s="68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  <c r="AC720" s="68"/>
      <c r="AD720" s="68"/>
      <c r="AE720" s="68"/>
      <c r="AF720" s="68"/>
      <c r="AG720" s="68"/>
      <c r="AH720" s="68"/>
      <c r="AI720" s="68"/>
      <c r="AJ720" s="68"/>
      <c r="AK720" s="68"/>
      <c r="AL720" s="68"/>
      <c r="AM720" s="68"/>
      <c r="AN720" s="68"/>
    </row>
    <row r="721" spans="17:40">
      <c r="Q721" s="68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  <c r="AC721" s="68"/>
      <c r="AD721" s="68"/>
      <c r="AE721" s="68"/>
      <c r="AF721" s="68"/>
      <c r="AG721" s="68"/>
      <c r="AH721" s="68"/>
      <c r="AI721" s="68"/>
      <c r="AJ721" s="68"/>
      <c r="AK721" s="68"/>
      <c r="AL721" s="68"/>
      <c r="AM721" s="68"/>
      <c r="AN721" s="68"/>
    </row>
    <row r="722" spans="17:40">
      <c r="Q722" s="68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8"/>
    </row>
    <row r="723" spans="17:40">
      <c r="Q723" s="68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  <c r="AC723" s="68"/>
      <c r="AD723" s="68"/>
      <c r="AE723" s="68"/>
      <c r="AF723" s="68"/>
      <c r="AG723" s="68"/>
      <c r="AH723" s="68"/>
      <c r="AI723" s="68"/>
      <c r="AJ723" s="68"/>
      <c r="AK723" s="68"/>
      <c r="AL723" s="68"/>
      <c r="AM723" s="68"/>
      <c r="AN723" s="68"/>
    </row>
    <row r="724" spans="17:40">
      <c r="Q724" s="68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  <c r="AC724" s="68"/>
      <c r="AD724" s="68"/>
      <c r="AE724" s="68"/>
      <c r="AF724" s="68"/>
      <c r="AG724" s="68"/>
      <c r="AH724" s="68"/>
      <c r="AI724" s="68"/>
      <c r="AJ724" s="68"/>
      <c r="AK724" s="68"/>
      <c r="AL724" s="68"/>
      <c r="AM724" s="68"/>
      <c r="AN724" s="68"/>
    </row>
    <row r="725" spans="17:40">
      <c r="Q725" s="68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  <c r="AC725" s="68"/>
      <c r="AD725" s="68"/>
      <c r="AE725" s="68"/>
      <c r="AF725" s="68"/>
      <c r="AG725" s="68"/>
      <c r="AH725" s="68"/>
      <c r="AI725" s="68"/>
      <c r="AJ725" s="68"/>
      <c r="AK725" s="68"/>
      <c r="AL725" s="68"/>
      <c r="AM725" s="68"/>
      <c r="AN725" s="68"/>
    </row>
    <row r="726" spans="17:40">
      <c r="Q726" s="68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  <c r="AC726" s="68"/>
      <c r="AD726" s="68"/>
      <c r="AE726" s="68"/>
      <c r="AF726" s="68"/>
      <c r="AG726" s="68"/>
      <c r="AH726" s="68"/>
      <c r="AI726" s="68"/>
      <c r="AJ726" s="68"/>
      <c r="AK726" s="68"/>
      <c r="AL726" s="68"/>
      <c r="AM726" s="68"/>
      <c r="AN726" s="68"/>
    </row>
    <row r="727" spans="17:40">
      <c r="Q727" s="68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  <c r="AC727" s="68"/>
      <c r="AD727" s="68"/>
      <c r="AE727" s="68"/>
      <c r="AF727" s="68"/>
      <c r="AG727" s="68"/>
      <c r="AH727" s="68"/>
      <c r="AI727" s="68"/>
      <c r="AJ727" s="68"/>
      <c r="AK727" s="68"/>
      <c r="AL727" s="68"/>
      <c r="AM727" s="68"/>
      <c r="AN727" s="68"/>
    </row>
    <row r="728" spans="17:40">
      <c r="Q728" s="68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  <c r="AC728" s="68"/>
      <c r="AD728" s="68"/>
      <c r="AE728" s="68"/>
      <c r="AF728" s="68"/>
      <c r="AG728" s="68"/>
      <c r="AH728" s="68"/>
      <c r="AI728" s="68"/>
      <c r="AJ728" s="68"/>
      <c r="AK728" s="68"/>
      <c r="AL728" s="68"/>
      <c r="AM728" s="68"/>
      <c r="AN728" s="68"/>
    </row>
    <row r="729" spans="17:40">
      <c r="Q729" s="68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</row>
    <row r="730" spans="17:40">
      <c r="Q730" s="68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  <c r="AC730" s="68"/>
      <c r="AD730" s="68"/>
      <c r="AE730" s="68"/>
      <c r="AF730" s="68"/>
      <c r="AG730" s="68"/>
      <c r="AH730" s="68"/>
      <c r="AI730" s="68"/>
      <c r="AJ730" s="68"/>
      <c r="AK730" s="68"/>
      <c r="AL730" s="68"/>
      <c r="AM730" s="68"/>
      <c r="AN730" s="68"/>
    </row>
    <row r="731" spans="17:40">
      <c r="Q731" s="68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  <c r="AC731" s="68"/>
      <c r="AD731" s="68"/>
      <c r="AE731" s="68"/>
      <c r="AF731" s="68"/>
      <c r="AG731" s="68"/>
      <c r="AH731" s="68"/>
      <c r="AI731" s="68"/>
      <c r="AJ731" s="68"/>
      <c r="AK731" s="68"/>
      <c r="AL731" s="68"/>
      <c r="AM731" s="68"/>
      <c r="AN731" s="68"/>
    </row>
    <row r="732" spans="17:40">
      <c r="Q732" s="68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  <c r="AC732" s="68"/>
      <c r="AD732" s="68"/>
      <c r="AE732" s="68"/>
      <c r="AF732" s="68"/>
      <c r="AG732" s="68"/>
      <c r="AH732" s="68"/>
      <c r="AI732" s="68"/>
      <c r="AJ732" s="68"/>
      <c r="AK732" s="68"/>
      <c r="AL732" s="68"/>
      <c r="AM732" s="68"/>
      <c r="AN732" s="68"/>
    </row>
    <row r="733" spans="17:40">
      <c r="Q733" s="68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  <c r="AC733" s="68"/>
      <c r="AD733" s="68"/>
      <c r="AE733" s="68"/>
      <c r="AF733" s="68"/>
      <c r="AG733" s="68"/>
      <c r="AH733" s="68"/>
      <c r="AI733" s="68"/>
      <c r="AJ733" s="68"/>
      <c r="AK733" s="68"/>
      <c r="AL733" s="68"/>
      <c r="AM733" s="68"/>
      <c r="AN733" s="68"/>
    </row>
    <row r="734" spans="17:40">
      <c r="Q734" s="68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  <c r="AC734" s="68"/>
      <c r="AD734" s="68"/>
      <c r="AE734" s="68"/>
      <c r="AF734" s="68"/>
      <c r="AG734" s="68"/>
      <c r="AH734" s="68"/>
      <c r="AI734" s="68"/>
      <c r="AJ734" s="68"/>
      <c r="AK734" s="68"/>
      <c r="AL734" s="68"/>
      <c r="AM734" s="68"/>
      <c r="AN734" s="68"/>
    </row>
    <row r="735" spans="17:40">
      <c r="Q735" s="68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  <c r="AC735" s="68"/>
      <c r="AD735" s="68"/>
      <c r="AE735" s="68"/>
      <c r="AF735" s="68"/>
      <c r="AG735" s="68"/>
      <c r="AH735" s="68"/>
      <c r="AI735" s="68"/>
      <c r="AJ735" s="68"/>
      <c r="AK735" s="68"/>
      <c r="AL735" s="68"/>
      <c r="AM735" s="68"/>
      <c r="AN735" s="68"/>
    </row>
    <row r="736" spans="17:40">
      <c r="Q736" s="68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  <c r="AC736" s="68"/>
      <c r="AD736" s="68"/>
      <c r="AE736" s="68"/>
      <c r="AF736" s="68"/>
      <c r="AG736" s="68"/>
      <c r="AH736" s="68"/>
      <c r="AI736" s="68"/>
      <c r="AJ736" s="68"/>
      <c r="AK736" s="68"/>
      <c r="AL736" s="68"/>
      <c r="AM736" s="68"/>
      <c r="AN736" s="68"/>
    </row>
    <row r="737" spans="17:40"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  <c r="AC737" s="68"/>
      <c r="AD737" s="68"/>
      <c r="AE737" s="68"/>
      <c r="AF737" s="68"/>
      <c r="AG737" s="68"/>
      <c r="AH737" s="68"/>
      <c r="AI737" s="68"/>
      <c r="AJ737" s="68"/>
      <c r="AK737" s="68"/>
      <c r="AL737" s="68"/>
      <c r="AM737" s="68"/>
      <c r="AN737" s="68"/>
    </row>
    <row r="738" spans="17:40">
      <c r="Q738" s="68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  <c r="AC738" s="68"/>
      <c r="AD738" s="68"/>
      <c r="AE738" s="68"/>
      <c r="AF738" s="68"/>
      <c r="AG738" s="68"/>
      <c r="AH738" s="68"/>
      <c r="AI738" s="68"/>
      <c r="AJ738" s="68"/>
      <c r="AK738" s="68"/>
      <c r="AL738" s="68"/>
      <c r="AM738" s="68"/>
      <c r="AN738" s="68"/>
    </row>
    <row r="739" spans="17:40">
      <c r="Q739" s="68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  <c r="AC739" s="68"/>
      <c r="AD739" s="68"/>
      <c r="AE739" s="68"/>
      <c r="AF739" s="68"/>
      <c r="AG739" s="68"/>
      <c r="AH739" s="68"/>
      <c r="AI739" s="68"/>
      <c r="AJ739" s="68"/>
      <c r="AK739" s="68"/>
      <c r="AL739" s="68"/>
      <c r="AM739" s="68"/>
      <c r="AN739" s="68"/>
    </row>
    <row r="740" spans="17:40">
      <c r="Q740" s="68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  <c r="AC740" s="68"/>
      <c r="AD740" s="68"/>
      <c r="AE740" s="68"/>
      <c r="AF740" s="68"/>
      <c r="AG740" s="68"/>
      <c r="AH740" s="68"/>
      <c r="AI740" s="68"/>
      <c r="AJ740" s="68"/>
      <c r="AK740" s="68"/>
      <c r="AL740" s="68"/>
      <c r="AM740" s="68"/>
      <c r="AN740" s="68"/>
    </row>
    <row r="741" spans="17:40">
      <c r="Q741" s="68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  <c r="AC741" s="68"/>
      <c r="AD741" s="68"/>
      <c r="AE741" s="68"/>
      <c r="AF741" s="68"/>
      <c r="AG741" s="68"/>
      <c r="AH741" s="68"/>
      <c r="AI741" s="68"/>
      <c r="AJ741" s="68"/>
      <c r="AK741" s="68"/>
      <c r="AL741" s="68"/>
      <c r="AM741" s="68"/>
      <c r="AN741" s="68"/>
    </row>
    <row r="742" spans="17:40">
      <c r="Q742" s="68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  <c r="AC742" s="68"/>
      <c r="AD742" s="68"/>
      <c r="AE742" s="68"/>
      <c r="AF742" s="68"/>
      <c r="AG742" s="68"/>
      <c r="AH742" s="68"/>
      <c r="AI742" s="68"/>
      <c r="AJ742" s="68"/>
      <c r="AK742" s="68"/>
      <c r="AL742" s="68"/>
      <c r="AM742" s="68"/>
      <c r="AN742" s="68"/>
    </row>
    <row r="743" spans="17:40">
      <c r="Q743" s="68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  <c r="AC743" s="68"/>
      <c r="AD743" s="68"/>
      <c r="AE743" s="68"/>
      <c r="AF743" s="68"/>
      <c r="AG743" s="68"/>
      <c r="AH743" s="68"/>
      <c r="AI743" s="68"/>
      <c r="AJ743" s="68"/>
      <c r="AK743" s="68"/>
      <c r="AL743" s="68"/>
      <c r="AM743" s="68"/>
      <c r="AN743" s="68"/>
    </row>
    <row r="744" spans="17:40">
      <c r="Q744" s="68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  <c r="AC744" s="68"/>
      <c r="AD744" s="68"/>
      <c r="AE744" s="68"/>
      <c r="AF744" s="68"/>
      <c r="AG744" s="68"/>
      <c r="AH744" s="68"/>
      <c r="AI744" s="68"/>
      <c r="AJ744" s="68"/>
      <c r="AK744" s="68"/>
      <c r="AL744" s="68"/>
      <c r="AM744" s="68"/>
      <c r="AN744" s="68"/>
    </row>
    <row r="745" spans="17:40"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  <c r="AC745" s="68"/>
      <c r="AD745" s="68"/>
      <c r="AE745" s="68"/>
      <c r="AF745" s="68"/>
      <c r="AG745" s="68"/>
      <c r="AH745" s="68"/>
      <c r="AI745" s="68"/>
      <c r="AJ745" s="68"/>
      <c r="AK745" s="68"/>
      <c r="AL745" s="68"/>
      <c r="AM745" s="68"/>
      <c r="AN745" s="68"/>
    </row>
    <row r="746" spans="17:40">
      <c r="Q746" s="68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  <c r="AC746" s="68"/>
      <c r="AD746" s="68"/>
      <c r="AE746" s="68"/>
      <c r="AF746" s="68"/>
      <c r="AG746" s="68"/>
      <c r="AH746" s="68"/>
      <c r="AI746" s="68"/>
      <c r="AJ746" s="68"/>
      <c r="AK746" s="68"/>
      <c r="AL746" s="68"/>
      <c r="AM746" s="68"/>
      <c r="AN746" s="68"/>
    </row>
    <row r="747" spans="17:40">
      <c r="Q747" s="68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  <c r="AC747" s="68"/>
      <c r="AD747" s="68"/>
      <c r="AE747" s="68"/>
      <c r="AF747" s="68"/>
      <c r="AG747" s="68"/>
      <c r="AH747" s="68"/>
      <c r="AI747" s="68"/>
      <c r="AJ747" s="68"/>
      <c r="AK747" s="68"/>
      <c r="AL747" s="68"/>
      <c r="AM747" s="68"/>
      <c r="AN747" s="68"/>
    </row>
    <row r="748" spans="17:40">
      <c r="Q748" s="68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  <c r="AC748" s="68"/>
      <c r="AD748" s="68"/>
      <c r="AE748" s="68"/>
      <c r="AF748" s="68"/>
      <c r="AG748" s="68"/>
      <c r="AH748" s="68"/>
      <c r="AI748" s="68"/>
      <c r="AJ748" s="68"/>
      <c r="AK748" s="68"/>
      <c r="AL748" s="68"/>
      <c r="AM748" s="68"/>
      <c r="AN748" s="68"/>
    </row>
    <row r="749" spans="17:40">
      <c r="Q749" s="68"/>
      <c r="R749" s="68"/>
      <c r="S749" s="68"/>
      <c r="T749" s="68"/>
      <c r="U749" s="68"/>
      <c r="V749" s="68"/>
      <c r="W749" s="68"/>
      <c r="X749" s="68"/>
      <c r="Y749" s="68"/>
      <c r="Z749" s="68"/>
      <c r="AA749" s="68"/>
      <c r="AB749" s="68"/>
      <c r="AC749" s="68"/>
      <c r="AD749" s="68"/>
      <c r="AE749" s="68"/>
      <c r="AF749" s="68"/>
      <c r="AG749" s="68"/>
      <c r="AH749" s="68"/>
      <c r="AI749" s="68"/>
      <c r="AJ749" s="68"/>
      <c r="AK749" s="68"/>
      <c r="AL749" s="68"/>
      <c r="AM749" s="68"/>
      <c r="AN749" s="68"/>
    </row>
    <row r="750" spans="17:40">
      <c r="Q750" s="68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  <c r="AC750" s="68"/>
      <c r="AD750" s="68"/>
      <c r="AE750" s="68"/>
      <c r="AF750" s="68"/>
      <c r="AG750" s="68"/>
      <c r="AH750" s="68"/>
      <c r="AI750" s="68"/>
      <c r="AJ750" s="68"/>
      <c r="AK750" s="68"/>
      <c r="AL750" s="68"/>
      <c r="AM750" s="68"/>
      <c r="AN750" s="68"/>
    </row>
    <row r="751" spans="17:40">
      <c r="Q751" s="68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  <c r="AC751" s="68"/>
      <c r="AD751" s="68"/>
      <c r="AE751" s="68"/>
      <c r="AF751" s="68"/>
      <c r="AG751" s="68"/>
      <c r="AH751" s="68"/>
      <c r="AI751" s="68"/>
      <c r="AJ751" s="68"/>
      <c r="AK751" s="68"/>
      <c r="AL751" s="68"/>
      <c r="AM751" s="68"/>
      <c r="AN751" s="68"/>
    </row>
    <row r="752" spans="17:40">
      <c r="Q752" s="68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  <c r="AC752" s="68"/>
      <c r="AD752" s="68"/>
      <c r="AE752" s="68"/>
      <c r="AF752" s="68"/>
      <c r="AG752" s="68"/>
      <c r="AH752" s="68"/>
      <c r="AI752" s="68"/>
      <c r="AJ752" s="68"/>
      <c r="AK752" s="68"/>
      <c r="AL752" s="68"/>
      <c r="AM752" s="68"/>
      <c r="AN752" s="68"/>
    </row>
    <row r="753" spans="17:40">
      <c r="Q753" s="68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  <c r="AC753" s="68"/>
      <c r="AD753" s="68"/>
      <c r="AE753" s="68"/>
      <c r="AF753" s="68"/>
      <c r="AG753" s="68"/>
      <c r="AH753" s="68"/>
      <c r="AI753" s="68"/>
      <c r="AJ753" s="68"/>
      <c r="AK753" s="68"/>
      <c r="AL753" s="68"/>
      <c r="AM753" s="68"/>
      <c r="AN753" s="68"/>
    </row>
    <row r="754" spans="17:40">
      <c r="Q754" s="68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</row>
    <row r="755" spans="17:40">
      <c r="Q755" s="68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  <c r="AC755" s="68"/>
      <c r="AD755" s="68"/>
      <c r="AE755" s="68"/>
      <c r="AF755" s="68"/>
      <c r="AG755" s="68"/>
      <c r="AH755" s="68"/>
      <c r="AI755" s="68"/>
      <c r="AJ755" s="68"/>
      <c r="AK755" s="68"/>
      <c r="AL755" s="68"/>
      <c r="AM755" s="68"/>
      <c r="AN755" s="68"/>
    </row>
    <row r="756" spans="17:40">
      <c r="Q756" s="68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  <c r="AC756" s="68"/>
      <c r="AD756" s="68"/>
      <c r="AE756" s="68"/>
      <c r="AF756" s="68"/>
      <c r="AG756" s="68"/>
      <c r="AH756" s="68"/>
      <c r="AI756" s="68"/>
      <c r="AJ756" s="68"/>
      <c r="AK756" s="68"/>
      <c r="AL756" s="68"/>
      <c r="AM756" s="68"/>
      <c r="AN756" s="68"/>
    </row>
    <row r="757" spans="17:40">
      <c r="Q757" s="68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  <c r="AC757" s="68"/>
      <c r="AD757" s="68"/>
      <c r="AE757" s="68"/>
      <c r="AF757" s="68"/>
      <c r="AG757" s="68"/>
      <c r="AH757" s="68"/>
      <c r="AI757" s="68"/>
      <c r="AJ757" s="68"/>
      <c r="AK757" s="68"/>
      <c r="AL757" s="68"/>
      <c r="AM757" s="68"/>
      <c r="AN757" s="68"/>
    </row>
    <row r="758" spans="17:40">
      <c r="Q758" s="68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  <c r="AC758" s="68"/>
      <c r="AD758" s="68"/>
      <c r="AE758" s="68"/>
      <c r="AF758" s="68"/>
      <c r="AG758" s="68"/>
      <c r="AH758" s="68"/>
      <c r="AI758" s="68"/>
      <c r="AJ758" s="68"/>
      <c r="AK758" s="68"/>
      <c r="AL758" s="68"/>
      <c r="AM758" s="68"/>
      <c r="AN758" s="68"/>
    </row>
    <row r="759" spans="17:40">
      <c r="Q759" s="68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  <c r="AC759" s="68"/>
      <c r="AD759" s="68"/>
      <c r="AE759" s="68"/>
      <c r="AF759" s="68"/>
      <c r="AG759" s="68"/>
      <c r="AH759" s="68"/>
      <c r="AI759" s="68"/>
      <c r="AJ759" s="68"/>
      <c r="AK759" s="68"/>
      <c r="AL759" s="68"/>
      <c r="AM759" s="68"/>
      <c r="AN759" s="68"/>
    </row>
    <row r="760" spans="17:40">
      <c r="Q760" s="68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  <c r="AC760" s="68"/>
      <c r="AD760" s="68"/>
      <c r="AE760" s="68"/>
      <c r="AF760" s="68"/>
      <c r="AG760" s="68"/>
      <c r="AH760" s="68"/>
      <c r="AI760" s="68"/>
      <c r="AJ760" s="68"/>
      <c r="AK760" s="68"/>
      <c r="AL760" s="68"/>
      <c r="AM760" s="68"/>
      <c r="AN760" s="68"/>
    </row>
    <row r="761" spans="17:40">
      <c r="Q761" s="68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  <c r="AC761" s="68"/>
      <c r="AD761" s="68"/>
      <c r="AE761" s="68"/>
      <c r="AF761" s="68"/>
      <c r="AG761" s="68"/>
      <c r="AH761" s="68"/>
      <c r="AI761" s="68"/>
      <c r="AJ761" s="68"/>
      <c r="AK761" s="68"/>
      <c r="AL761" s="68"/>
      <c r="AM761" s="68"/>
      <c r="AN761" s="68"/>
    </row>
    <row r="762" spans="17:40">
      <c r="Q762" s="68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  <c r="AC762" s="68"/>
      <c r="AD762" s="68"/>
      <c r="AE762" s="68"/>
      <c r="AF762" s="68"/>
      <c r="AG762" s="68"/>
      <c r="AH762" s="68"/>
      <c r="AI762" s="68"/>
      <c r="AJ762" s="68"/>
      <c r="AK762" s="68"/>
      <c r="AL762" s="68"/>
      <c r="AM762" s="68"/>
      <c r="AN762" s="68"/>
    </row>
    <row r="763" spans="17:40">
      <c r="Q763" s="68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  <c r="AC763" s="68"/>
      <c r="AD763" s="68"/>
      <c r="AE763" s="68"/>
      <c r="AF763" s="68"/>
      <c r="AG763" s="68"/>
      <c r="AH763" s="68"/>
      <c r="AI763" s="68"/>
      <c r="AJ763" s="68"/>
      <c r="AK763" s="68"/>
      <c r="AL763" s="68"/>
      <c r="AM763" s="68"/>
      <c r="AN763" s="68"/>
    </row>
    <row r="764" spans="17:40">
      <c r="Q764" s="68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  <c r="AC764" s="68"/>
      <c r="AD764" s="68"/>
      <c r="AE764" s="68"/>
      <c r="AF764" s="68"/>
      <c r="AG764" s="68"/>
      <c r="AH764" s="68"/>
      <c r="AI764" s="68"/>
      <c r="AJ764" s="68"/>
      <c r="AK764" s="68"/>
      <c r="AL764" s="68"/>
      <c r="AM764" s="68"/>
      <c r="AN764" s="68"/>
    </row>
    <row r="765" spans="17:40">
      <c r="Q765" s="68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  <c r="AC765" s="68"/>
      <c r="AD765" s="68"/>
      <c r="AE765" s="68"/>
      <c r="AF765" s="68"/>
      <c r="AG765" s="68"/>
      <c r="AH765" s="68"/>
      <c r="AI765" s="68"/>
      <c r="AJ765" s="68"/>
      <c r="AK765" s="68"/>
      <c r="AL765" s="68"/>
      <c r="AM765" s="68"/>
      <c r="AN765" s="68"/>
    </row>
    <row r="766" spans="17:40">
      <c r="Q766" s="68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</row>
    <row r="767" spans="17:40">
      <c r="Q767" s="68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  <c r="AC767" s="68"/>
      <c r="AD767" s="68"/>
      <c r="AE767" s="68"/>
      <c r="AF767" s="68"/>
      <c r="AG767" s="68"/>
      <c r="AH767" s="68"/>
      <c r="AI767" s="68"/>
      <c r="AJ767" s="68"/>
      <c r="AK767" s="68"/>
      <c r="AL767" s="68"/>
      <c r="AM767" s="68"/>
      <c r="AN767" s="68"/>
    </row>
    <row r="768" spans="17:40">
      <c r="Q768" s="68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  <c r="AC768" s="68"/>
      <c r="AD768" s="68"/>
      <c r="AE768" s="68"/>
      <c r="AF768" s="68"/>
      <c r="AG768" s="68"/>
      <c r="AH768" s="68"/>
      <c r="AI768" s="68"/>
      <c r="AJ768" s="68"/>
      <c r="AK768" s="68"/>
      <c r="AL768" s="68"/>
      <c r="AM768" s="68"/>
      <c r="AN768" s="68"/>
    </row>
    <row r="769" spans="17:40">
      <c r="Q769" s="68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  <c r="AC769" s="68"/>
      <c r="AD769" s="68"/>
      <c r="AE769" s="68"/>
      <c r="AF769" s="68"/>
      <c r="AG769" s="68"/>
      <c r="AH769" s="68"/>
      <c r="AI769" s="68"/>
      <c r="AJ769" s="68"/>
      <c r="AK769" s="68"/>
      <c r="AL769" s="68"/>
      <c r="AM769" s="68"/>
      <c r="AN769" s="68"/>
    </row>
    <row r="770" spans="17:40">
      <c r="Q770" s="68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  <c r="AC770" s="68"/>
      <c r="AD770" s="68"/>
      <c r="AE770" s="68"/>
      <c r="AF770" s="68"/>
      <c r="AG770" s="68"/>
      <c r="AH770" s="68"/>
      <c r="AI770" s="68"/>
      <c r="AJ770" s="68"/>
      <c r="AK770" s="68"/>
      <c r="AL770" s="68"/>
      <c r="AM770" s="68"/>
      <c r="AN770" s="68"/>
    </row>
    <row r="771" spans="17:40">
      <c r="Q771" s="68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  <c r="AC771" s="68"/>
      <c r="AD771" s="68"/>
      <c r="AE771" s="68"/>
      <c r="AF771" s="68"/>
      <c r="AG771" s="68"/>
      <c r="AH771" s="68"/>
      <c r="AI771" s="68"/>
      <c r="AJ771" s="68"/>
      <c r="AK771" s="68"/>
      <c r="AL771" s="68"/>
      <c r="AM771" s="68"/>
      <c r="AN771" s="68"/>
    </row>
    <row r="772" spans="17:40">
      <c r="Q772" s="68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  <c r="AC772" s="68"/>
      <c r="AD772" s="68"/>
      <c r="AE772" s="68"/>
      <c r="AF772" s="68"/>
      <c r="AG772" s="68"/>
      <c r="AH772" s="68"/>
      <c r="AI772" s="68"/>
      <c r="AJ772" s="68"/>
      <c r="AK772" s="68"/>
      <c r="AL772" s="68"/>
      <c r="AM772" s="68"/>
      <c r="AN772" s="68"/>
    </row>
    <row r="773" spans="17:40">
      <c r="Q773" s="68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  <c r="AC773" s="68"/>
      <c r="AD773" s="68"/>
      <c r="AE773" s="68"/>
      <c r="AF773" s="68"/>
      <c r="AG773" s="68"/>
      <c r="AH773" s="68"/>
      <c r="AI773" s="68"/>
      <c r="AJ773" s="68"/>
      <c r="AK773" s="68"/>
      <c r="AL773" s="68"/>
      <c r="AM773" s="68"/>
      <c r="AN773" s="68"/>
    </row>
    <row r="774" spans="17:40">
      <c r="Q774" s="68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  <c r="AC774" s="68"/>
      <c r="AD774" s="68"/>
      <c r="AE774" s="68"/>
      <c r="AF774" s="68"/>
      <c r="AG774" s="68"/>
      <c r="AH774" s="68"/>
      <c r="AI774" s="68"/>
      <c r="AJ774" s="68"/>
      <c r="AK774" s="68"/>
      <c r="AL774" s="68"/>
      <c r="AM774" s="68"/>
      <c r="AN774" s="68"/>
    </row>
    <row r="775" spans="17:40">
      <c r="Q775" s="68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  <c r="AC775" s="68"/>
      <c r="AD775" s="68"/>
      <c r="AE775" s="68"/>
      <c r="AF775" s="68"/>
      <c r="AG775" s="68"/>
      <c r="AH775" s="68"/>
      <c r="AI775" s="68"/>
      <c r="AJ775" s="68"/>
      <c r="AK775" s="68"/>
      <c r="AL775" s="68"/>
      <c r="AM775" s="68"/>
      <c r="AN775" s="68"/>
    </row>
    <row r="776" spans="17:40">
      <c r="Q776" s="68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  <c r="AC776" s="68"/>
      <c r="AD776" s="68"/>
      <c r="AE776" s="68"/>
      <c r="AF776" s="68"/>
      <c r="AG776" s="68"/>
      <c r="AH776" s="68"/>
      <c r="AI776" s="68"/>
      <c r="AJ776" s="68"/>
      <c r="AK776" s="68"/>
      <c r="AL776" s="68"/>
      <c r="AM776" s="68"/>
      <c r="AN776" s="68"/>
    </row>
    <row r="777" spans="17:40">
      <c r="Q777" s="68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  <c r="AC777" s="68"/>
      <c r="AD777" s="68"/>
      <c r="AE777" s="68"/>
      <c r="AF777" s="68"/>
      <c r="AG777" s="68"/>
      <c r="AH777" s="68"/>
      <c r="AI777" s="68"/>
      <c r="AJ777" s="68"/>
      <c r="AK777" s="68"/>
      <c r="AL777" s="68"/>
      <c r="AM777" s="68"/>
      <c r="AN777" s="68"/>
    </row>
    <row r="778" spans="17:40"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  <c r="AC778" s="68"/>
      <c r="AD778" s="68"/>
      <c r="AE778" s="68"/>
      <c r="AF778" s="68"/>
      <c r="AG778" s="68"/>
      <c r="AH778" s="68"/>
      <c r="AI778" s="68"/>
      <c r="AJ778" s="68"/>
      <c r="AK778" s="68"/>
      <c r="AL778" s="68"/>
      <c r="AM778" s="68"/>
      <c r="AN778" s="68"/>
    </row>
    <row r="779" spans="17:40">
      <c r="Q779" s="68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  <c r="AC779" s="68"/>
      <c r="AD779" s="68"/>
      <c r="AE779" s="68"/>
      <c r="AF779" s="68"/>
      <c r="AG779" s="68"/>
      <c r="AH779" s="68"/>
      <c r="AI779" s="68"/>
      <c r="AJ779" s="68"/>
      <c r="AK779" s="68"/>
      <c r="AL779" s="68"/>
      <c r="AM779" s="68"/>
      <c r="AN779" s="68"/>
    </row>
    <row r="780" spans="17:40">
      <c r="Q780" s="68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  <c r="AC780" s="68"/>
      <c r="AD780" s="68"/>
      <c r="AE780" s="68"/>
      <c r="AF780" s="68"/>
      <c r="AG780" s="68"/>
      <c r="AH780" s="68"/>
      <c r="AI780" s="68"/>
      <c r="AJ780" s="68"/>
      <c r="AK780" s="68"/>
      <c r="AL780" s="68"/>
      <c r="AM780" s="68"/>
      <c r="AN780" s="68"/>
    </row>
    <row r="781" spans="17:40">
      <c r="Q781" s="68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  <c r="AC781" s="68"/>
      <c r="AD781" s="68"/>
      <c r="AE781" s="68"/>
      <c r="AF781" s="68"/>
      <c r="AG781" s="68"/>
      <c r="AH781" s="68"/>
      <c r="AI781" s="68"/>
      <c r="AJ781" s="68"/>
      <c r="AK781" s="68"/>
      <c r="AL781" s="68"/>
      <c r="AM781" s="68"/>
      <c r="AN781" s="68"/>
    </row>
    <row r="782" spans="17:40">
      <c r="Q782" s="68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  <c r="AC782" s="68"/>
      <c r="AD782" s="68"/>
      <c r="AE782" s="68"/>
      <c r="AF782" s="68"/>
      <c r="AG782" s="68"/>
      <c r="AH782" s="68"/>
      <c r="AI782" s="68"/>
      <c r="AJ782" s="68"/>
      <c r="AK782" s="68"/>
      <c r="AL782" s="68"/>
      <c r="AM782" s="68"/>
      <c r="AN782" s="68"/>
    </row>
    <row r="783" spans="17:40">
      <c r="Q783" s="68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  <c r="AC783" s="68"/>
      <c r="AD783" s="68"/>
      <c r="AE783" s="68"/>
      <c r="AF783" s="68"/>
      <c r="AG783" s="68"/>
      <c r="AH783" s="68"/>
      <c r="AI783" s="68"/>
      <c r="AJ783" s="68"/>
      <c r="AK783" s="68"/>
      <c r="AL783" s="68"/>
      <c r="AM783" s="68"/>
      <c r="AN783" s="68"/>
    </row>
    <row r="784" spans="17:40">
      <c r="Q784" s="68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  <c r="AC784" s="68"/>
      <c r="AD784" s="68"/>
      <c r="AE784" s="68"/>
      <c r="AF784" s="68"/>
      <c r="AG784" s="68"/>
      <c r="AH784" s="68"/>
      <c r="AI784" s="68"/>
      <c r="AJ784" s="68"/>
      <c r="AK784" s="68"/>
      <c r="AL784" s="68"/>
      <c r="AM784" s="68"/>
      <c r="AN784" s="68"/>
    </row>
    <row r="785" spans="17:40">
      <c r="Q785" s="68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8"/>
    </row>
    <row r="786" spans="17:40"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  <c r="AC786" s="68"/>
      <c r="AD786" s="68"/>
      <c r="AE786" s="68"/>
      <c r="AF786" s="68"/>
      <c r="AG786" s="68"/>
      <c r="AH786" s="68"/>
      <c r="AI786" s="68"/>
      <c r="AJ786" s="68"/>
      <c r="AK786" s="68"/>
      <c r="AL786" s="68"/>
      <c r="AM786" s="68"/>
      <c r="AN786" s="68"/>
    </row>
    <row r="787" spans="17:40">
      <c r="Q787" s="68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  <c r="AC787" s="68"/>
      <c r="AD787" s="68"/>
      <c r="AE787" s="68"/>
      <c r="AF787" s="68"/>
      <c r="AG787" s="68"/>
      <c r="AH787" s="68"/>
      <c r="AI787" s="68"/>
      <c r="AJ787" s="68"/>
      <c r="AK787" s="68"/>
      <c r="AL787" s="68"/>
      <c r="AM787" s="68"/>
      <c r="AN787" s="68"/>
    </row>
    <row r="788" spans="17:40">
      <c r="Q788" s="68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  <c r="AC788" s="68"/>
      <c r="AD788" s="68"/>
      <c r="AE788" s="68"/>
      <c r="AF788" s="68"/>
      <c r="AG788" s="68"/>
      <c r="AH788" s="68"/>
      <c r="AI788" s="68"/>
      <c r="AJ788" s="68"/>
      <c r="AK788" s="68"/>
      <c r="AL788" s="68"/>
      <c r="AM788" s="68"/>
      <c r="AN788" s="68"/>
    </row>
    <row r="789" spans="17:40">
      <c r="Q789" s="68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  <c r="AC789" s="68"/>
      <c r="AD789" s="68"/>
      <c r="AE789" s="68"/>
      <c r="AF789" s="68"/>
      <c r="AG789" s="68"/>
      <c r="AH789" s="68"/>
      <c r="AI789" s="68"/>
      <c r="AJ789" s="68"/>
      <c r="AK789" s="68"/>
      <c r="AL789" s="68"/>
      <c r="AM789" s="68"/>
      <c r="AN789" s="68"/>
    </row>
    <row r="790" spans="17:40">
      <c r="Q790" s="68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  <c r="AC790" s="68"/>
      <c r="AD790" s="68"/>
      <c r="AE790" s="68"/>
      <c r="AF790" s="68"/>
      <c r="AG790" s="68"/>
      <c r="AH790" s="68"/>
      <c r="AI790" s="68"/>
      <c r="AJ790" s="68"/>
      <c r="AK790" s="68"/>
      <c r="AL790" s="68"/>
      <c r="AM790" s="68"/>
      <c r="AN790" s="68"/>
    </row>
    <row r="791" spans="17:40">
      <c r="Q791" s="68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</row>
    <row r="792" spans="17:40">
      <c r="Q792" s="68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  <c r="AC792" s="68"/>
      <c r="AD792" s="68"/>
      <c r="AE792" s="68"/>
      <c r="AF792" s="68"/>
      <c r="AG792" s="68"/>
      <c r="AH792" s="68"/>
      <c r="AI792" s="68"/>
      <c r="AJ792" s="68"/>
      <c r="AK792" s="68"/>
      <c r="AL792" s="68"/>
      <c r="AM792" s="68"/>
      <c r="AN792" s="68"/>
    </row>
    <row r="793" spans="17:40"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</row>
    <row r="794" spans="17:40">
      <c r="Q794" s="68"/>
      <c r="R794" s="68"/>
      <c r="S794" s="68"/>
      <c r="T794" s="68"/>
      <c r="U794" s="68"/>
      <c r="V794" s="68"/>
      <c r="W794" s="68"/>
      <c r="X794" s="68"/>
      <c r="Y794" s="68"/>
      <c r="Z794" s="68"/>
      <c r="AA794" s="68"/>
      <c r="AB794" s="68"/>
      <c r="AC794" s="68"/>
      <c r="AD794" s="68"/>
      <c r="AE794" s="68"/>
      <c r="AF794" s="68"/>
      <c r="AG794" s="68"/>
      <c r="AH794" s="68"/>
      <c r="AI794" s="68"/>
      <c r="AJ794" s="68"/>
      <c r="AK794" s="68"/>
      <c r="AL794" s="68"/>
      <c r="AM794" s="68"/>
      <c r="AN794" s="68"/>
    </row>
    <row r="795" spans="17:40">
      <c r="Q795" s="68"/>
      <c r="R795" s="68"/>
      <c r="S795" s="68"/>
      <c r="T795" s="68"/>
      <c r="U795" s="68"/>
      <c r="V795" s="68"/>
      <c r="W795" s="68"/>
      <c r="X795" s="68"/>
      <c r="Y795" s="68"/>
      <c r="Z795" s="68"/>
      <c r="AA795" s="68"/>
      <c r="AB795" s="68"/>
      <c r="AC795" s="68"/>
      <c r="AD795" s="68"/>
      <c r="AE795" s="68"/>
      <c r="AF795" s="68"/>
      <c r="AG795" s="68"/>
      <c r="AH795" s="68"/>
      <c r="AI795" s="68"/>
      <c r="AJ795" s="68"/>
      <c r="AK795" s="68"/>
      <c r="AL795" s="68"/>
      <c r="AM795" s="68"/>
      <c r="AN795" s="68"/>
    </row>
    <row r="796" spans="17:40">
      <c r="Q796" s="68"/>
      <c r="R796" s="68"/>
      <c r="S796" s="68"/>
      <c r="T796" s="68"/>
      <c r="U796" s="68"/>
      <c r="V796" s="68"/>
      <c r="W796" s="68"/>
      <c r="X796" s="68"/>
      <c r="Y796" s="68"/>
      <c r="Z796" s="68"/>
      <c r="AA796" s="68"/>
      <c r="AB796" s="68"/>
      <c r="AC796" s="68"/>
      <c r="AD796" s="68"/>
      <c r="AE796" s="68"/>
      <c r="AF796" s="68"/>
      <c r="AG796" s="68"/>
      <c r="AH796" s="68"/>
      <c r="AI796" s="68"/>
      <c r="AJ796" s="68"/>
      <c r="AK796" s="68"/>
      <c r="AL796" s="68"/>
      <c r="AM796" s="68"/>
      <c r="AN796" s="68"/>
    </row>
    <row r="797" spans="17:40">
      <c r="Q797" s="68"/>
      <c r="R797" s="68"/>
      <c r="S797" s="68"/>
      <c r="T797" s="68"/>
      <c r="U797" s="68"/>
      <c r="V797" s="68"/>
      <c r="W797" s="68"/>
      <c r="X797" s="68"/>
      <c r="Y797" s="68"/>
      <c r="Z797" s="68"/>
      <c r="AA797" s="68"/>
      <c r="AB797" s="68"/>
      <c r="AC797" s="68"/>
      <c r="AD797" s="68"/>
      <c r="AE797" s="68"/>
      <c r="AF797" s="68"/>
      <c r="AG797" s="68"/>
      <c r="AH797" s="68"/>
      <c r="AI797" s="68"/>
      <c r="AJ797" s="68"/>
      <c r="AK797" s="68"/>
      <c r="AL797" s="68"/>
      <c r="AM797" s="68"/>
      <c r="AN797" s="68"/>
    </row>
    <row r="798" spans="17:40">
      <c r="Q798" s="68"/>
      <c r="R798" s="68"/>
      <c r="S798" s="68"/>
      <c r="T798" s="68"/>
      <c r="U798" s="68"/>
      <c r="V798" s="68"/>
      <c r="W798" s="68"/>
      <c r="X798" s="68"/>
      <c r="Y798" s="68"/>
      <c r="Z798" s="68"/>
      <c r="AA798" s="68"/>
      <c r="AB798" s="68"/>
      <c r="AC798" s="68"/>
      <c r="AD798" s="68"/>
      <c r="AE798" s="68"/>
      <c r="AF798" s="68"/>
      <c r="AG798" s="68"/>
      <c r="AH798" s="68"/>
      <c r="AI798" s="68"/>
      <c r="AJ798" s="68"/>
      <c r="AK798" s="68"/>
      <c r="AL798" s="68"/>
      <c r="AM798" s="68"/>
      <c r="AN798" s="68"/>
    </row>
    <row r="799" spans="17:40">
      <c r="Q799" s="68"/>
      <c r="R799" s="68"/>
      <c r="S799" s="68"/>
      <c r="T799" s="68"/>
      <c r="U799" s="68"/>
      <c r="V799" s="68"/>
      <c r="W799" s="68"/>
      <c r="X799" s="68"/>
      <c r="Y799" s="68"/>
      <c r="Z799" s="68"/>
      <c r="AA799" s="68"/>
      <c r="AB799" s="68"/>
      <c r="AC799" s="68"/>
      <c r="AD799" s="68"/>
      <c r="AE799" s="68"/>
      <c r="AF799" s="68"/>
      <c r="AG799" s="68"/>
      <c r="AH799" s="68"/>
      <c r="AI799" s="68"/>
      <c r="AJ799" s="68"/>
      <c r="AK799" s="68"/>
      <c r="AL799" s="68"/>
      <c r="AM799" s="68"/>
      <c r="AN799" s="68"/>
    </row>
    <row r="800" spans="17:40">
      <c r="Q800" s="68"/>
      <c r="R800" s="68"/>
      <c r="S800" s="68"/>
      <c r="T800" s="68"/>
      <c r="U800" s="68"/>
      <c r="V800" s="68"/>
      <c r="W800" s="68"/>
      <c r="X800" s="68"/>
      <c r="Y800" s="68"/>
      <c r="Z800" s="68"/>
      <c r="AA800" s="68"/>
      <c r="AB800" s="68"/>
      <c r="AC800" s="68"/>
      <c r="AD800" s="68"/>
      <c r="AE800" s="68"/>
      <c r="AF800" s="68"/>
      <c r="AG800" s="68"/>
      <c r="AH800" s="68"/>
      <c r="AI800" s="68"/>
      <c r="AJ800" s="68"/>
      <c r="AK800" s="68"/>
      <c r="AL800" s="68"/>
      <c r="AM800" s="68"/>
      <c r="AN800" s="68"/>
    </row>
    <row r="801" spans="17:40">
      <c r="Q801" s="68"/>
      <c r="R801" s="68"/>
      <c r="S801" s="68"/>
      <c r="T801" s="68"/>
      <c r="U801" s="68"/>
      <c r="V801" s="68"/>
      <c r="W801" s="68"/>
      <c r="X801" s="68"/>
      <c r="Y801" s="68"/>
      <c r="Z801" s="68"/>
      <c r="AA801" s="68"/>
      <c r="AB801" s="68"/>
      <c r="AC801" s="68"/>
      <c r="AD801" s="68"/>
      <c r="AE801" s="68"/>
      <c r="AF801" s="68"/>
      <c r="AG801" s="68"/>
      <c r="AH801" s="68"/>
      <c r="AI801" s="68"/>
      <c r="AJ801" s="68"/>
      <c r="AK801" s="68"/>
      <c r="AL801" s="68"/>
      <c r="AM801" s="68"/>
      <c r="AN801" s="68"/>
    </row>
    <row r="802" spans="17:40">
      <c r="Q802" s="68"/>
      <c r="R802" s="68"/>
      <c r="S802" s="68"/>
      <c r="T802" s="68"/>
      <c r="U802" s="68"/>
      <c r="V802" s="68"/>
      <c r="W802" s="68"/>
      <c r="X802" s="68"/>
      <c r="Y802" s="68"/>
      <c r="Z802" s="68"/>
      <c r="AA802" s="68"/>
      <c r="AB802" s="68"/>
      <c r="AC802" s="68"/>
      <c r="AD802" s="68"/>
      <c r="AE802" s="68"/>
      <c r="AF802" s="68"/>
      <c r="AG802" s="68"/>
      <c r="AH802" s="68"/>
      <c r="AI802" s="68"/>
      <c r="AJ802" s="68"/>
      <c r="AK802" s="68"/>
      <c r="AL802" s="68"/>
      <c r="AM802" s="68"/>
      <c r="AN802" s="68"/>
    </row>
    <row r="803" spans="17:40">
      <c r="Q803" s="68"/>
      <c r="R803" s="68"/>
      <c r="S803" s="68"/>
      <c r="T803" s="68"/>
      <c r="U803" s="68"/>
      <c r="V803" s="68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</row>
    <row r="804" spans="17:40">
      <c r="Q804" s="68"/>
      <c r="R804" s="68"/>
      <c r="S804" s="68"/>
      <c r="T804" s="68"/>
      <c r="U804" s="68"/>
      <c r="V804" s="68"/>
      <c r="W804" s="68"/>
      <c r="X804" s="68"/>
      <c r="Y804" s="68"/>
      <c r="Z804" s="68"/>
      <c r="AA804" s="68"/>
      <c r="AB804" s="68"/>
      <c r="AC804" s="68"/>
      <c r="AD804" s="68"/>
      <c r="AE804" s="68"/>
      <c r="AF804" s="68"/>
      <c r="AG804" s="68"/>
      <c r="AH804" s="68"/>
      <c r="AI804" s="68"/>
      <c r="AJ804" s="68"/>
      <c r="AK804" s="68"/>
      <c r="AL804" s="68"/>
      <c r="AM804" s="68"/>
      <c r="AN804" s="68"/>
    </row>
    <row r="805" spans="17:40">
      <c r="Q805" s="68"/>
      <c r="R805" s="68"/>
      <c r="S805" s="68"/>
      <c r="T805" s="68"/>
      <c r="U805" s="68"/>
      <c r="V805" s="68"/>
      <c r="W805" s="68"/>
      <c r="X805" s="68"/>
      <c r="Y805" s="68"/>
      <c r="Z805" s="68"/>
      <c r="AA805" s="68"/>
      <c r="AB805" s="68"/>
      <c r="AC805" s="68"/>
      <c r="AD805" s="68"/>
      <c r="AE805" s="68"/>
      <c r="AF805" s="68"/>
      <c r="AG805" s="68"/>
      <c r="AH805" s="68"/>
      <c r="AI805" s="68"/>
      <c r="AJ805" s="68"/>
      <c r="AK805" s="68"/>
      <c r="AL805" s="68"/>
      <c r="AM805" s="68"/>
      <c r="AN805" s="68"/>
    </row>
    <row r="806" spans="17:40">
      <c r="Q806" s="68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  <c r="AC806" s="68"/>
      <c r="AD806" s="68"/>
      <c r="AE806" s="68"/>
      <c r="AF806" s="68"/>
      <c r="AG806" s="68"/>
      <c r="AH806" s="68"/>
      <c r="AI806" s="68"/>
      <c r="AJ806" s="68"/>
      <c r="AK806" s="68"/>
      <c r="AL806" s="68"/>
      <c r="AM806" s="68"/>
      <c r="AN806" s="68"/>
    </row>
    <row r="807" spans="17:40">
      <c r="Q807" s="68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  <c r="AC807" s="68"/>
      <c r="AD807" s="68"/>
      <c r="AE807" s="68"/>
      <c r="AF807" s="68"/>
      <c r="AG807" s="68"/>
      <c r="AH807" s="68"/>
      <c r="AI807" s="68"/>
      <c r="AJ807" s="68"/>
      <c r="AK807" s="68"/>
      <c r="AL807" s="68"/>
      <c r="AM807" s="68"/>
      <c r="AN807" s="68"/>
    </row>
    <row r="808" spans="17:40">
      <c r="Q808" s="68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  <c r="AC808" s="68"/>
      <c r="AD808" s="68"/>
      <c r="AE808" s="68"/>
      <c r="AF808" s="68"/>
      <c r="AG808" s="68"/>
      <c r="AH808" s="68"/>
      <c r="AI808" s="68"/>
      <c r="AJ808" s="68"/>
      <c r="AK808" s="68"/>
      <c r="AL808" s="68"/>
      <c r="AM808" s="68"/>
      <c r="AN808" s="68"/>
    </row>
    <row r="809" spans="17:40">
      <c r="Q809" s="68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  <c r="AC809" s="68"/>
      <c r="AD809" s="68"/>
      <c r="AE809" s="68"/>
      <c r="AF809" s="68"/>
      <c r="AG809" s="68"/>
      <c r="AH809" s="68"/>
      <c r="AI809" s="68"/>
      <c r="AJ809" s="68"/>
      <c r="AK809" s="68"/>
      <c r="AL809" s="68"/>
      <c r="AM809" s="68"/>
      <c r="AN809" s="68"/>
    </row>
    <row r="810" spans="17:40">
      <c r="Q810" s="68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  <c r="AC810" s="68"/>
      <c r="AD810" s="68"/>
      <c r="AE810" s="68"/>
      <c r="AF810" s="68"/>
      <c r="AG810" s="68"/>
      <c r="AH810" s="68"/>
      <c r="AI810" s="68"/>
      <c r="AJ810" s="68"/>
      <c r="AK810" s="68"/>
      <c r="AL810" s="68"/>
      <c r="AM810" s="68"/>
      <c r="AN810" s="68"/>
    </row>
    <row r="811" spans="17:40">
      <c r="Q811" s="68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  <c r="AC811" s="68"/>
      <c r="AD811" s="68"/>
      <c r="AE811" s="68"/>
      <c r="AF811" s="68"/>
      <c r="AG811" s="68"/>
      <c r="AH811" s="68"/>
      <c r="AI811" s="68"/>
      <c r="AJ811" s="68"/>
      <c r="AK811" s="68"/>
      <c r="AL811" s="68"/>
      <c r="AM811" s="68"/>
      <c r="AN811" s="68"/>
    </row>
    <row r="812" spans="17:40">
      <c r="Q812" s="68"/>
      <c r="R812" s="68"/>
      <c r="S812" s="68"/>
      <c r="T812" s="68"/>
      <c r="U812" s="68"/>
      <c r="V812" s="68"/>
      <c r="W812" s="68"/>
      <c r="X812" s="68"/>
      <c r="Y812" s="68"/>
      <c r="Z812" s="68"/>
      <c r="AA812" s="68"/>
      <c r="AB812" s="68"/>
      <c r="AC812" s="68"/>
      <c r="AD812" s="68"/>
      <c r="AE812" s="68"/>
      <c r="AF812" s="68"/>
      <c r="AG812" s="68"/>
      <c r="AH812" s="68"/>
      <c r="AI812" s="68"/>
      <c r="AJ812" s="68"/>
      <c r="AK812" s="68"/>
      <c r="AL812" s="68"/>
      <c r="AM812" s="68"/>
      <c r="AN812" s="68"/>
    </row>
    <row r="813" spans="17:40">
      <c r="Q813" s="68"/>
      <c r="R813" s="68"/>
      <c r="S813" s="68"/>
      <c r="T813" s="68"/>
      <c r="U813" s="68"/>
      <c r="V813" s="68"/>
      <c r="W813" s="68"/>
      <c r="X813" s="68"/>
      <c r="Y813" s="68"/>
      <c r="Z813" s="68"/>
      <c r="AA813" s="68"/>
      <c r="AB813" s="68"/>
      <c r="AC813" s="68"/>
      <c r="AD813" s="68"/>
      <c r="AE813" s="68"/>
      <c r="AF813" s="68"/>
      <c r="AG813" s="68"/>
      <c r="AH813" s="68"/>
      <c r="AI813" s="68"/>
      <c r="AJ813" s="68"/>
      <c r="AK813" s="68"/>
      <c r="AL813" s="68"/>
      <c r="AM813" s="68"/>
      <c r="AN813" s="68"/>
    </row>
    <row r="814" spans="17:40">
      <c r="Q814" s="68"/>
      <c r="R814" s="68"/>
      <c r="S814" s="68"/>
      <c r="T814" s="68"/>
      <c r="U814" s="68"/>
      <c r="V814" s="68"/>
      <c r="W814" s="68"/>
      <c r="X814" s="68"/>
      <c r="Y814" s="68"/>
      <c r="Z814" s="68"/>
      <c r="AA814" s="68"/>
      <c r="AB814" s="68"/>
      <c r="AC814" s="68"/>
      <c r="AD814" s="68"/>
      <c r="AE814" s="68"/>
      <c r="AF814" s="68"/>
      <c r="AG814" s="68"/>
      <c r="AH814" s="68"/>
      <c r="AI814" s="68"/>
      <c r="AJ814" s="68"/>
      <c r="AK814" s="68"/>
      <c r="AL814" s="68"/>
      <c r="AM814" s="68"/>
      <c r="AN814" s="68"/>
    </row>
    <row r="815" spans="17:40">
      <c r="Q815" s="68"/>
      <c r="R815" s="68"/>
      <c r="S815" s="68"/>
      <c r="T815" s="68"/>
      <c r="U815" s="68"/>
      <c r="V815" s="68"/>
      <c r="W815" s="68"/>
      <c r="X815" s="68"/>
      <c r="Y815" s="68"/>
      <c r="Z815" s="68"/>
      <c r="AA815" s="68"/>
      <c r="AB815" s="68"/>
      <c r="AC815" s="68"/>
      <c r="AD815" s="68"/>
      <c r="AE815" s="68"/>
      <c r="AF815" s="68"/>
      <c r="AG815" s="68"/>
      <c r="AH815" s="68"/>
      <c r="AI815" s="68"/>
      <c r="AJ815" s="68"/>
      <c r="AK815" s="68"/>
      <c r="AL815" s="68"/>
      <c r="AM815" s="68"/>
      <c r="AN815" s="68"/>
    </row>
    <row r="816" spans="17:40">
      <c r="Q816" s="68"/>
      <c r="R816" s="68"/>
      <c r="S816" s="68"/>
      <c r="T816" s="68"/>
      <c r="U816" s="68"/>
      <c r="V816" s="68"/>
      <c r="W816" s="68"/>
      <c r="X816" s="68"/>
      <c r="Y816" s="68"/>
      <c r="Z816" s="68"/>
      <c r="AA816" s="68"/>
      <c r="AB816" s="68"/>
      <c r="AC816" s="68"/>
      <c r="AD816" s="68"/>
      <c r="AE816" s="68"/>
      <c r="AF816" s="68"/>
      <c r="AG816" s="68"/>
      <c r="AH816" s="68"/>
      <c r="AI816" s="68"/>
      <c r="AJ816" s="68"/>
      <c r="AK816" s="68"/>
      <c r="AL816" s="68"/>
      <c r="AM816" s="68"/>
      <c r="AN816" s="68"/>
    </row>
    <row r="817" spans="17:40">
      <c r="Q817" s="68"/>
      <c r="R817" s="68"/>
      <c r="S817" s="68"/>
      <c r="T817" s="68"/>
      <c r="U817" s="68"/>
      <c r="V817" s="68"/>
      <c r="W817" s="68"/>
      <c r="X817" s="68"/>
      <c r="Y817" s="68"/>
      <c r="Z817" s="68"/>
      <c r="AA817" s="68"/>
      <c r="AB817" s="68"/>
      <c r="AC817" s="68"/>
      <c r="AD817" s="68"/>
      <c r="AE817" s="68"/>
      <c r="AF817" s="68"/>
      <c r="AG817" s="68"/>
      <c r="AH817" s="68"/>
      <c r="AI817" s="68"/>
      <c r="AJ817" s="68"/>
      <c r="AK817" s="68"/>
      <c r="AL817" s="68"/>
      <c r="AM817" s="68"/>
      <c r="AN817" s="68"/>
    </row>
    <row r="818" spans="17:40">
      <c r="Q818" s="68"/>
      <c r="R818" s="68"/>
      <c r="S818" s="68"/>
      <c r="T818" s="68"/>
      <c r="U818" s="68"/>
      <c r="V818" s="68"/>
      <c r="W818" s="68"/>
      <c r="X818" s="68"/>
      <c r="Y818" s="68"/>
      <c r="Z818" s="68"/>
      <c r="AA818" s="68"/>
      <c r="AB818" s="68"/>
      <c r="AC818" s="68"/>
      <c r="AD818" s="68"/>
      <c r="AE818" s="68"/>
      <c r="AF818" s="68"/>
      <c r="AG818" s="68"/>
      <c r="AH818" s="68"/>
      <c r="AI818" s="68"/>
      <c r="AJ818" s="68"/>
      <c r="AK818" s="68"/>
      <c r="AL818" s="68"/>
      <c r="AM818" s="68"/>
      <c r="AN818" s="68"/>
    </row>
    <row r="819" spans="17:40">
      <c r="Q819" s="68"/>
      <c r="R819" s="68"/>
      <c r="S819" s="68"/>
      <c r="T819" s="68"/>
      <c r="U819" s="68"/>
      <c r="V819" s="68"/>
      <c r="W819" s="68"/>
      <c r="X819" s="68"/>
      <c r="Y819" s="68"/>
      <c r="Z819" s="68"/>
      <c r="AA819" s="68"/>
      <c r="AB819" s="68"/>
      <c r="AC819" s="68"/>
      <c r="AD819" s="68"/>
      <c r="AE819" s="68"/>
      <c r="AF819" s="68"/>
      <c r="AG819" s="68"/>
      <c r="AH819" s="68"/>
      <c r="AI819" s="68"/>
      <c r="AJ819" s="68"/>
      <c r="AK819" s="68"/>
      <c r="AL819" s="68"/>
      <c r="AM819" s="68"/>
      <c r="AN819" s="68"/>
    </row>
    <row r="820" spans="17:40">
      <c r="Q820" s="68"/>
      <c r="R820" s="68"/>
      <c r="S820" s="68"/>
      <c r="T820" s="68"/>
      <c r="U820" s="68"/>
      <c r="V820" s="68"/>
      <c r="W820" s="68"/>
      <c r="X820" s="68"/>
      <c r="Y820" s="68"/>
      <c r="Z820" s="68"/>
      <c r="AA820" s="68"/>
      <c r="AB820" s="68"/>
      <c r="AC820" s="68"/>
      <c r="AD820" s="68"/>
      <c r="AE820" s="68"/>
      <c r="AF820" s="68"/>
      <c r="AG820" s="68"/>
      <c r="AH820" s="68"/>
      <c r="AI820" s="68"/>
      <c r="AJ820" s="68"/>
      <c r="AK820" s="68"/>
      <c r="AL820" s="68"/>
      <c r="AM820" s="68"/>
      <c r="AN820" s="68"/>
    </row>
    <row r="821" spans="17:40">
      <c r="Q821" s="68"/>
      <c r="R821" s="68"/>
      <c r="S821" s="68"/>
      <c r="T821" s="68"/>
      <c r="U821" s="68"/>
      <c r="V821" s="68"/>
      <c r="W821" s="68"/>
      <c r="X821" s="68"/>
      <c r="Y821" s="68"/>
      <c r="Z821" s="68"/>
      <c r="AA821" s="68"/>
      <c r="AB821" s="68"/>
      <c r="AC821" s="68"/>
      <c r="AD821" s="68"/>
      <c r="AE821" s="68"/>
      <c r="AF821" s="68"/>
      <c r="AG821" s="68"/>
      <c r="AH821" s="68"/>
      <c r="AI821" s="68"/>
      <c r="AJ821" s="68"/>
      <c r="AK821" s="68"/>
      <c r="AL821" s="68"/>
      <c r="AM821" s="68"/>
      <c r="AN821" s="68"/>
    </row>
    <row r="822" spans="17:40">
      <c r="Q822" s="68"/>
      <c r="R822" s="68"/>
      <c r="S822" s="68"/>
      <c r="T822" s="68"/>
      <c r="U822" s="68"/>
      <c r="V822" s="68"/>
      <c r="W822" s="68"/>
      <c r="X822" s="68"/>
      <c r="Y822" s="68"/>
      <c r="Z822" s="68"/>
      <c r="AA822" s="68"/>
      <c r="AB822" s="68"/>
      <c r="AC822" s="68"/>
      <c r="AD822" s="68"/>
      <c r="AE822" s="68"/>
      <c r="AF822" s="68"/>
      <c r="AG822" s="68"/>
      <c r="AH822" s="68"/>
      <c r="AI822" s="68"/>
      <c r="AJ822" s="68"/>
      <c r="AK822" s="68"/>
      <c r="AL822" s="68"/>
      <c r="AM822" s="68"/>
      <c r="AN822" s="68"/>
    </row>
    <row r="823" spans="17:40">
      <c r="Q823" s="68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  <c r="AC823" s="68"/>
      <c r="AD823" s="68"/>
      <c r="AE823" s="68"/>
      <c r="AF823" s="68"/>
      <c r="AG823" s="68"/>
      <c r="AH823" s="68"/>
      <c r="AI823" s="68"/>
      <c r="AJ823" s="68"/>
      <c r="AK823" s="68"/>
      <c r="AL823" s="68"/>
      <c r="AM823" s="68"/>
      <c r="AN823" s="68"/>
    </row>
    <row r="824" spans="17:40">
      <c r="Q824" s="68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  <c r="AC824" s="68"/>
      <c r="AD824" s="68"/>
      <c r="AE824" s="68"/>
      <c r="AF824" s="68"/>
      <c r="AG824" s="68"/>
      <c r="AH824" s="68"/>
      <c r="AI824" s="68"/>
      <c r="AJ824" s="68"/>
      <c r="AK824" s="68"/>
      <c r="AL824" s="68"/>
      <c r="AM824" s="68"/>
      <c r="AN824" s="68"/>
    </row>
    <row r="825" spans="17:40">
      <c r="Q825" s="68"/>
      <c r="R825" s="68"/>
      <c r="S825" s="68"/>
      <c r="T825" s="68"/>
      <c r="U825" s="68"/>
      <c r="V825" s="68"/>
      <c r="W825" s="68"/>
      <c r="X825" s="68"/>
      <c r="Y825" s="68"/>
      <c r="Z825" s="68"/>
      <c r="AA825" s="68"/>
      <c r="AB825" s="68"/>
      <c r="AC825" s="68"/>
      <c r="AD825" s="68"/>
      <c r="AE825" s="68"/>
      <c r="AF825" s="68"/>
      <c r="AG825" s="68"/>
      <c r="AH825" s="68"/>
      <c r="AI825" s="68"/>
      <c r="AJ825" s="68"/>
      <c r="AK825" s="68"/>
      <c r="AL825" s="68"/>
      <c r="AM825" s="68"/>
      <c r="AN825" s="68"/>
    </row>
    <row r="826" spans="17:40">
      <c r="Q826" s="68"/>
      <c r="R826" s="68"/>
      <c r="S826" s="68"/>
      <c r="T826" s="68"/>
      <c r="U826" s="68"/>
      <c r="V826" s="68"/>
      <c r="W826" s="68"/>
      <c r="X826" s="68"/>
      <c r="Y826" s="68"/>
      <c r="Z826" s="68"/>
      <c r="AA826" s="68"/>
      <c r="AB826" s="68"/>
      <c r="AC826" s="68"/>
      <c r="AD826" s="68"/>
      <c r="AE826" s="68"/>
      <c r="AF826" s="68"/>
      <c r="AG826" s="68"/>
      <c r="AH826" s="68"/>
      <c r="AI826" s="68"/>
      <c r="AJ826" s="68"/>
      <c r="AK826" s="68"/>
      <c r="AL826" s="68"/>
      <c r="AM826" s="68"/>
      <c r="AN826" s="68"/>
    </row>
    <row r="827" spans="17:40">
      <c r="Q827" s="68"/>
      <c r="R827" s="68"/>
      <c r="S827" s="68"/>
      <c r="T827" s="68"/>
      <c r="U827" s="68"/>
      <c r="V827" s="68"/>
      <c r="W827" s="68"/>
      <c r="X827" s="68"/>
      <c r="Y827" s="68"/>
      <c r="Z827" s="68"/>
      <c r="AA827" s="68"/>
      <c r="AB827" s="68"/>
      <c r="AC827" s="68"/>
      <c r="AD827" s="68"/>
      <c r="AE827" s="68"/>
      <c r="AF827" s="68"/>
      <c r="AG827" s="68"/>
      <c r="AH827" s="68"/>
      <c r="AI827" s="68"/>
      <c r="AJ827" s="68"/>
      <c r="AK827" s="68"/>
      <c r="AL827" s="68"/>
      <c r="AM827" s="68"/>
      <c r="AN827" s="68"/>
    </row>
    <row r="828" spans="17:40">
      <c r="Q828" s="68"/>
      <c r="R828" s="68"/>
      <c r="S828" s="68"/>
      <c r="T828" s="68"/>
      <c r="U828" s="68"/>
      <c r="V828" s="68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</row>
    <row r="829" spans="17:40">
      <c r="Q829" s="68"/>
      <c r="R829" s="68"/>
      <c r="S829" s="68"/>
      <c r="T829" s="68"/>
      <c r="U829" s="68"/>
      <c r="V829" s="68"/>
      <c r="W829" s="68"/>
      <c r="X829" s="68"/>
      <c r="Y829" s="68"/>
      <c r="Z829" s="68"/>
      <c r="AA829" s="68"/>
      <c r="AB829" s="68"/>
      <c r="AC829" s="68"/>
      <c r="AD829" s="68"/>
      <c r="AE829" s="68"/>
      <c r="AF829" s="68"/>
      <c r="AG829" s="68"/>
      <c r="AH829" s="68"/>
      <c r="AI829" s="68"/>
      <c r="AJ829" s="68"/>
      <c r="AK829" s="68"/>
      <c r="AL829" s="68"/>
      <c r="AM829" s="68"/>
      <c r="AN829" s="68"/>
    </row>
    <row r="830" spans="17:40">
      <c r="Q830" s="68"/>
      <c r="R830" s="68"/>
      <c r="S830" s="68"/>
      <c r="T830" s="68"/>
      <c r="U830" s="68"/>
      <c r="V830" s="68"/>
      <c r="W830" s="68"/>
      <c r="X830" s="68"/>
      <c r="Y830" s="68"/>
      <c r="Z830" s="68"/>
      <c r="AA830" s="68"/>
      <c r="AB830" s="68"/>
      <c r="AC830" s="68"/>
      <c r="AD830" s="68"/>
      <c r="AE830" s="68"/>
      <c r="AF830" s="68"/>
      <c r="AG830" s="68"/>
      <c r="AH830" s="68"/>
      <c r="AI830" s="68"/>
      <c r="AJ830" s="68"/>
      <c r="AK830" s="68"/>
      <c r="AL830" s="68"/>
      <c r="AM830" s="68"/>
      <c r="AN830" s="68"/>
    </row>
    <row r="831" spans="17:40">
      <c r="Q831" s="68"/>
      <c r="R831" s="68"/>
      <c r="S831" s="68"/>
      <c r="T831" s="68"/>
      <c r="U831" s="68"/>
      <c r="V831" s="68"/>
      <c r="W831" s="68"/>
      <c r="X831" s="68"/>
      <c r="Y831" s="68"/>
      <c r="Z831" s="68"/>
      <c r="AA831" s="68"/>
      <c r="AB831" s="68"/>
      <c r="AC831" s="68"/>
      <c r="AD831" s="68"/>
      <c r="AE831" s="68"/>
      <c r="AF831" s="68"/>
      <c r="AG831" s="68"/>
      <c r="AH831" s="68"/>
      <c r="AI831" s="68"/>
      <c r="AJ831" s="68"/>
      <c r="AK831" s="68"/>
      <c r="AL831" s="68"/>
      <c r="AM831" s="68"/>
      <c r="AN831" s="68"/>
    </row>
    <row r="832" spans="17:40">
      <c r="Q832" s="68"/>
      <c r="R832" s="68"/>
      <c r="S832" s="68"/>
      <c r="T832" s="68"/>
      <c r="U832" s="68"/>
      <c r="V832" s="68"/>
      <c r="W832" s="68"/>
      <c r="X832" s="68"/>
      <c r="Y832" s="68"/>
      <c r="Z832" s="68"/>
      <c r="AA832" s="68"/>
      <c r="AB832" s="68"/>
      <c r="AC832" s="68"/>
      <c r="AD832" s="68"/>
      <c r="AE832" s="68"/>
      <c r="AF832" s="68"/>
      <c r="AG832" s="68"/>
      <c r="AH832" s="68"/>
      <c r="AI832" s="68"/>
      <c r="AJ832" s="68"/>
      <c r="AK832" s="68"/>
      <c r="AL832" s="68"/>
      <c r="AM832" s="68"/>
      <c r="AN832" s="68"/>
    </row>
    <row r="833" spans="17:40">
      <c r="Q833" s="68"/>
      <c r="R833" s="68"/>
      <c r="S833" s="68"/>
      <c r="T833" s="68"/>
      <c r="U833" s="68"/>
      <c r="V833" s="68"/>
      <c r="W833" s="68"/>
      <c r="X833" s="68"/>
      <c r="Y833" s="68"/>
      <c r="Z833" s="68"/>
      <c r="AA833" s="68"/>
      <c r="AB833" s="68"/>
      <c r="AC833" s="68"/>
      <c r="AD833" s="68"/>
      <c r="AE833" s="68"/>
      <c r="AF833" s="68"/>
      <c r="AG833" s="68"/>
      <c r="AH833" s="68"/>
      <c r="AI833" s="68"/>
      <c r="AJ833" s="68"/>
      <c r="AK833" s="68"/>
      <c r="AL833" s="68"/>
      <c r="AM833" s="68"/>
      <c r="AN833" s="68"/>
    </row>
    <row r="834" spans="17:40">
      <c r="Q834" s="68"/>
      <c r="R834" s="68"/>
      <c r="S834" s="68"/>
      <c r="T834" s="68"/>
      <c r="U834" s="68"/>
      <c r="V834" s="68"/>
      <c r="W834" s="68"/>
      <c r="X834" s="68"/>
      <c r="Y834" s="68"/>
      <c r="Z834" s="68"/>
      <c r="AA834" s="68"/>
      <c r="AB834" s="68"/>
      <c r="AC834" s="68"/>
      <c r="AD834" s="68"/>
      <c r="AE834" s="68"/>
      <c r="AF834" s="68"/>
      <c r="AG834" s="68"/>
      <c r="AH834" s="68"/>
      <c r="AI834" s="68"/>
      <c r="AJ834" s="68"/>
      <c r="AK834" s="68"/>
      <c r="AL834" s="68"/>
      <c r="AM834" s="68"/>
      <c r="AN834" s="68"/>
    </row>
    <row r="835" spans="17:40">
      <c r="Q835" s="68"/>
      <c r="R835" s="68"/>
      <c r="S835" s="68"/>
      <c r="T835" s="68"/>
      <c r="U835" s="68"/>
      <c r="V835" s="68"/>
      <c r="W835" s="68"/>
      <c r="X835" s="68"/>
      <c r="Y835" s="68"/>
      <c r="Z835" s="68"/>
      <c r="AA835" s="68"/>
      <c r="AB835" s="68"/>
      <c r="AC835" s="68"/>
      <c r="AD835" s="68"/>
      <c r="AE835" s="68"/>
      <c r="AF835" s="68"/>
      <c r="AG835" s="68"/>
      <c r="AH835" s="68"/>
      <c r="AI835" s="68"/>
      <c r="AJ835" s="68"/>
      <c r="AK835" s="68"/>
      <c r="AL835" s="68"/>
      <c r="AM835" s="68"/>
      <c r="AN835" s="68"/>
    </row>
    <row r="836" spans="17:40">
      <c r="Q836" s="68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  <c r="AC836" s="68"/>
      <c r="AD836" s="68"/>
      <c r="AE836" s="68"/>
      <c r="AF836" s="68"/>
      <c r="AG836" s="68"/>
      <c r="AH836" s="68"/>
      <c r="AI836" s="68"/>
      <c r="AJ836" s="68"/>
      <c r="AK836" s="68"/>
      <c r="AL836" s="68"/>
      <c r="AM836" s="68"/>
      <c r="AN836" s="68"/>
    </row>
    <row r="837" spans="17:40">
      <c r="Q837" s="68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  <c r="AC837" s="68"/>
      <c r="AD837" s="68"/>
      <c r="AE837" s="68"/>
      <c r="AF837" s="68"/>
      <c r="AG837" s="68"/>
      <c r="AH837" s="68"/>
      <c r="AI837" s="68"/>
      <c r="AJ837" s="68"/>
      <c r="AK837" s="68"/>
      <c r="AL837" s="68"/>
      <c r="AM837" s="68"/>
      <c r="AN837" s="68"/>
    </row>
    <row r="838" spans="17:40">
      <c r="Q838" s="68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  <c r="AC838" s="68"/>
      <c r="AD838" s="68"/>
      <c r="AE838" s="68"/>
      <c r="AF838" s="68"/>
      <c r="AG838" s="68"/>
      <c r="AH838" s="68"/>
      <c r="AI838" s="68"/>
      <c r="AJ838" s="68"/>
      <c r="AK838" s="68"/>
      <c r="AL838" s="68"/>
      <c r="AM838" s="68"/>
      <c r="AN838" s="68"/>
    </row>
    <row r="839" spans="17:40">
      <c r="Q839" s="68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  <c r="AC839" s="68"/>
      <c r="AD839" s="68"/>
      <c r="AE839" s="68"/>
      <c r="AF839" s="68"/>
      <c r="AG839" s="68"/>
      <c r="AH839" s="68"/>
      <c r="AI839" s="68"/>
      <c r="AJ839" s="68"/>
      <c r="AK839" s="68"/>
      <c r="AL839" s="68"/>
      <c r="AM839" s="68"/>
      <c r="AN839" s="68"/>
    </row>
    <row r="840" spans="17:40">
      <c r="Q840" s="68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</row>
    <row r="841" spans="17:40">
      <c r="Q841" s="68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  <c r="AC841" s="68"/>
      <c r="AD841" s="68"/>
      <c r="AE841" s="68"/>
      <c r="AF841" s="68"/>
      <c r="AG841" s="68"/>
      <c r="AH841" s="68"/>
      <c r="AI841" s="68"/>
      <c r="AJ841" s="68"/>
      <c r="AK841" s="68"/>
      <c r="AL841" s="68"/>
      <c r="AM841" s="68"/>
      <c r="AN841" s="68"/>
    </row>
    <row r="842" spans="17:40">
      <c r="Q842" s="68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  <c r="AC842" s="68"/>
      <c r="AD842" s="68"/>
      <c r="AE842" s="68"/>
      <c r="AF842" s="68"/>
      <c r="AG842" s="68"/>
      <c r="AH842" s="68"/>
      <c r="AI842" s="68"/>
      <c r="AJ842" s="68"/>
      <c r="AK842" s="68"/>
      <c r="AL842" s="68"/>
      <c r="AM842" s="68"/>
      <c r="AN842" s="68"/>
    </row>
    <row r="843" spans="17:40">
      <c r="Q843" s="68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  <c r="AC843" s="68"/>
      <c r="AD843" s="68"/>
      <c r="AE843" s="68"/>
      <c r="AF843" s="68"/>
      <c r="AG843" s="68"/>
      <c r="AH843" s="68"/>
      <c r="AI843" s="68"/>
      <c r="AJ843" s="68"/>
      <c r="AK843" s="68"/>
      <c r="AL843" s="68"/>
      <c r="AM843" s="68"/>
      <c r="AN843" s="68"/>
    </row>
    <row r="844" spans="17:40">
      <c r="Q844" s="68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  <c r="AC844" s="68"/>
      <c r="AD844" s="68"/>
      <c r="AE844" s="68"/>
      <c r="AF844" s="68"/>
      <c r="AG844" s="68"/>
      <c r="AH844" s="68"/>
      <c r="AI844" s="68"/>
      <c r="AJ844" s="68"/>
      <c r="AK844" s="68"/>
      <c r="AL844" s="68"/>
      <c r="AM844" s="68"/>
      <c r="AN844" s="68"/>
    </row>
    <row r="845" spans="17:40">
      <c r="Q845" s="68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  <c r="AC845" s="68"/>
      <c r="AD845" s="68"/>
      <c r="AE845" s="68"/>
      <c r="AF845" s="68"/>
      <c r="AG845" s="68"/>
      <c r="AH845" s="68"/>
      <c r="AI845" s="68"/>
      <c r="AJ845" s="68"/>
      <c r="AK845" s="68"/>
      <c r="AL845" s="68"/>
      <c r="AM845" s="68"/>
      <c r="AN845" s="68"/>
    </row>
    <row r="846" spans="17:40">
      <c r="Q846" s="68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  <c r="AC846" s="68"/>
      <c r="AD846" s="68"/>
      <c r="AE846" s="68"/>
      <c r="AF846" s="68"/>
      <c r="AG846" s="68"/>
      <c r="AH846" s="68"/>
      <c r="AI846" s="68"/>
      <c r="AJ846" s="68"/>
      <c r="AK846" s="68"/>
      <c r="AL846" s="68"/>
      <c r="AM846" s="68"/>
      <c r="AN846" s="68"/>
    </row>
    <row r="847" spans="17:40">
      <c r="Q847" s="68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  <c r="AC847" s="68"/>
      <c r="AD847" s="68"/>
      <c r="AE847" s="68"/>
      <c r="AF847" s="68"/>
      <c r="AG847" s="68"/>
      <c r="AH847" s="68"/>
      <c r="AI847" s="68"/>
      <c r="AJ847" s="68"/>
      <c r="AK847" s="68"/>
      <c r="AL847" s="68"/>
      <c r="AM847" s="68"/>
      <c r="AN847" s="68"/>
    </row>
    <row r="848" spans="17:40">
      <c r="Q848" s="68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  <c r="AC848" s="68"/>
      <c r="AD848" s="68"/>
      <c r="AE848" s="68"/>
      <c r="AF848" s="68"/>
      <c r="AG848" s="68"/>
      <c r="AH848" s="68"/>
      <c r="AI848" s="68"/>
      <c r="AJ848" s="68"/>
      <c r="AK848" s="68"/>
      <c r="AL848" s="68"/>
      <c r="AM848" s="68"/>
      <c r="AN848" s="68"/>
    </row>
    <row r="849" spans="17:40">
      <c r="Q849" s="68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  <c r="AC849" s="68"/>
      <c r="AD849" s="68"/>
      <c r="AE849" s="68"/>
      <c r="AF849" s="68"/>
      <c r="AG849" s="68"/>
      <c r="AH849" s="68"/>
      <c r="AI849" s="68"/>
      <c r="AJ849" s="68"/>
      <c r="AK849" s="68"/>
      <c r="AL849" s="68"/>
      <c r="AM849" s="68"/>
      <c r="AN849" s="68"/>
    </row>
    <row r="850" spans="17:40">
      <c r="Q850" s="68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  <c r="AC850" s="68"/>
      <c r="AD850" s="68"/>
      <c r="AE850" s="68"/>
      <c r="AF850" s="68"/>
      <c r="AG850" s="68"/>
      <c r="AH850" s="68"/>
      <c r="AI850" s="68"/>
      <c r="AJ850" s="68"/>
      <c r="AK850" s="68"/>
      <c r="AL850" s="68"/>
      <c r="AM850" s="68"/>
      <c r="AN850" s="68"/>
    </row>
    <row r="851" spans="17:40">
      <c r="Q851" s="68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  <c r="AC851" s="68"/>
      <c r="AD851" s="68"/>
      <c r="AE851" s="68"/>
      <c r="AF851" s="68"/>
      <c r="AG851" s="68"/>
      <c r="AH851" s="68"/>
      <c r="AI851" s="68"/>
      <c r="AJ851" s="68"/>
      <c r="AK851" s="68"/>
      <c r="AL851" s="68"/>
      <c r="AM851" s="68"/>
      <c r="AN851" s="68"/>
    </row>
    <row r="852" spans="17:40">
      <c r="Q852" s="68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  <c r="AC852" s="68"/>
      <c r="AD852" s="68"/>
      <c r="AE852" s="68"/>
      <c r="AF852" s="68"/>
      <c r="AG852" s="68"/>
      <c r="AH852" s="68"/>
      <c r="AI852" s="68"/>
      <c r="AJ852" s="68"/>
      <c r="AK852" s="68"/>
      <c r="AL852" s="68"/>
      <c r="AM852" s="68"/>
      <c r="AN852" s="68"/>
    </row>
    <row r="853" spans="17:40">
      <c r="Q853" s="68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  <c r="AC853" s="68"/>
      <c r="AD853" s="68"/>
      <c r="AE853" s="68"/>
      <c r="AF853" s="68"/>
      <c r="AG853" s="68"/>
      <c r="AH853" s="68"/>
      <c r="AI853" s="68"/>
      <c r="AJ853" s="68"/>
      <c r="AK853" s="68"/>
      <c r="AL853" s="68"/>
      <c r="AM853" s="68"/>
      <c r="AN853" s="68"/>
    </row>
    <row r="854" spans="17:40">
      <c r="Q854" s="68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  <c r="AC854" s="68"/>
      <c r="AD854" s="68"/>
      <c r="AE854" s="68"/>
      <c r="AF854" s="68"/>
      <c r="AG854" s="68"/>
      <c r="AH854" s="68"/>
      <c r="AI854" s="68"/>
      <c r="AJ854" s="68"/>
      <c r="AK854" s="68"/>
      <c r="AL854" s="68"/>
      <c r="AM854" s="68"/>
      <c r="AN854" s="68"/>
    </row>
    <row r="855" spans="17:40">
      <c r="Q855" s="68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  <c r="AC855" s="68"/>
      <c r="AD855" s="68"/>
      <c r="AE855" s="68"/>
      <c r="AF855" s="68"/>
      <c r="AG855" s="68"/>
      <c r="AH855" s="68"/>
      <c r="AI855" s="68"/>
      <c r="AJ855" s="68"/>
      <c r="AK855" s="68"/>
      <c r="AL855" s="68"/>
      <c r="AM855" s="68"/>
      <c r="AN855" s="68"/>
    </row>
    <row r="856" spans="17:40">
      <c r="Q856" s="68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  <c r="AC856" s="68"/>
      <c r="AD856" s="68"/>
      <c r="AE856" s="68"/>
      <c r="AF856" s="68"/>
      <c r="AG856" s="68"/>
      <c r="AH856" s="68"/>
      <c r="AI856" s="68"/>
      <c r="AJ856" s="68"/>
      <c r="AK856" s="68"/>
      <c r="AL856" s="68"/>
      <c r="AM856" s="68"/>
      <c r="AN856" s="68"/>
    </row>
    <row r="857" spans="17:40">
      <c r="Q857" s="68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  <c r="AC857" s="68"/>
      <c r="AD857" s="68"/>
      <c r="AE857" s="68"/>
      <c r="AF857" s="68"/>
      <c r="AG857" s="68"/>
      <c r="AH857" s="68"/>
      <c r="AI857" s="68"/>
      <c r="AJ857" s="68"/>
      <c r="AK857" s="68"/>
      <c r="AL857" s="68"/>
      <c r="AM857" s="68"/>
      <c r="AN857" s="68"/>
    </row>
    <row r="858" spans="17:40">
      <c r="Q858" s="68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  <c r="AC858" s="68"/>
      <c r="AD858" s="68"/>
      <c r="AE858" s="68"/>
      <c r="AF858" s="68"/>
      <c r="AG858" s="68"/>
      <c r="AH858" s="68"/>
      <c r="AI858" s="68"/>
      <c r="AJ858" s="68"/>
      <c r="AK858" s="68"/>
      <c r="AL858" s="68"/>
      <c r="AM858" s="68"/>
      <c r="AN858" s="68"/>
    </row>
    <row r="859" spans="17:40">
      <c r="Q859" s="68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  <c r="AC859" s="68"/>
      <c r="AD859" s="68"/>
      <c r="AE859" s="68"/>
      <c r="AF859" s="68"/>
      <c r="AG859" s="68"/>
      <c r="AH859" s="68"/>
      <c r="AI859" s="68"/>
      <c r="AJ859" s="68"/>
      <c r="AK859" s="68"/>
      <c r="AL859" s="68"/>
      <c r="AM859" s="68"/>
      <c r="AN859" s="68"/>
    </row>
    <row r="860" spans="17:40"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  <c r="AC860" s="68"/>
      <c r="AD860" s="68"/>
      <c r="AE860" s="68"/>
      <c r="AF860" s="68"/>
      <c r="AG860" s="68"/>
      <c r="AH860" s="68"/>
      <c r="AI860" s="68"/>
      <c r="AJ860" s="68"/>
      <c r="AK860" s="68"/>
      <c r="AL860" s="68"/>
      <c r="AM860" s="68"/>
      <c r="AN860" s="68"/>
    </row>
    <row r="861" spans="17:40">
      <c r="Q861" s="68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  <c r="AC861" s="68"/>
      <c r="AD861" s="68"/>
      <c r="AE861" s="68"/>
      <c r="AF861" s="68"/>
      <c r="AG861" s="68"/>
      <c r="AH861" s="68"/>
      <c r="AI861" s="68"/>
      <c r="AJ861" s="68"/>
      <c r="AK861" s="68"/>
      <c r="AL861" s="68"/>
      <c r="AM861" s="68"/>
      <c r="AN861" s="68"/>
    </row>
    <row r="862" spans="17:40">
      <c r="Q862" s="68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  <c r="AC862" s="68"/>
      <c r="AD862" s="68"/>
      <c r="AE862" s="68"/>
      <c r="AF862" s="68"/>
      <c r="AG862" s="68"/>
      <c r="AH862" s="68"/>
      <c r="AI862" s="68"/>
      <c r="AJ862" s="68"/>
      <c r="AK862" s="68"/>
      <c r="AL862" s="68"/>
      <c r="AM862" s="68"/>
      <c r="AN862" s="68"/>
    </row>
    <row r="863" spans="17:40">
      <c r="Q863" s="68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  <c r="AC863" s="68"/>
      <c r="AD863" s="68"/>
      <c r="AE863" s="68"/>
      <c r="AF863" s="68"/>
      <c r="AG863" s="68"/>
      <c r="AH863" s="68"/>
      <c r="AI863" s="68"/>
      <c r="AJ863" s="68"/>
      <c r="AK863" s="68"/>
      <c r="AL863" s="68"/>
      <c r="AM863" s="68"/>
      <c r="AN863" s="68"/>
    </row>
    <row r="864" spans="17:40">
      <c r="Q864" s="68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  <c r="AC864" s="68"/>
      <c r="AD864" s="68"/>
      <c r="AE864" s="68"/>
      <c r="AF864" s="68"/>
      <c r="AG864" s="68"/>
      <c r="AH864" s="68"/>
      <c r="AI864" s="68"/>
      <c r="AJ864" s="68"/>
      <c r="AK864" s="68"/>
      <c r="AL864" s="68"/>
      <c r="AM864" s="68"/>
      <c r="AN864" s="68"/>
    </row>
    <row r="865" spans="17:40">
      <c r="Q865" s="68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</row>
    <row r="866" spans="17:40">
      <c r="Q866" s="68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  <c r="AC866" s="68"/>
      <c r="AD866" s="68"/>
      <c r="AE866" s="68"/>
      <c r="AF866" s="68"/>
      <c r="AG866" s="68"/>
      <c r="AH866" s="68"/>
      <c r="AI866" s="68"/>
      <c r="AJ866" s="68"/>
      <c r="AK866" s="68"/>
      <c r="AL866" s="68"/>
      <c r="AM866" s="68"/>
      <c r="AN866" s="68"/>
    </row>
    <row r="867" spans="17:40">
      <c r="Q867" s="68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  <c r="AC867" s="68"/>
      <c r="AD867" s="68"/>
      <c r="AE867" s="68"/>
      <c r="AF867" s="68"/>
      <c r="AG867" s="68"/>
      <c r="AH867" s="68"/>
      <c r="AI867" s="68"/>
      <c r="AJ867" s="68"/>
      <c r="AK867" s="68"/>
      <c r="AL867" s="68"/>
      <c r="AM867" s="68"/>
      <c r="AN867" s="68"/>
    </row>
    <row r="868" spans="17:40"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  <c r="AC868" s="68"/>
      <c r="AD868" s="68"/>
      <c r="AE868" s="68"/>
      <c r="AF868" s="68"/>
      <c r="AG868" s="68"/>
      <c r="AH868" s="68"/>
      <c r="AI868" s="68"/>
      <c r="AJ868" s="68"/>
      <c r="AK868" s="68"/>
      <c r="AL868" s="68"/>
      <c r="AM868" s="68"/>
      <c r="AN868" s="68"/>
    </row>
    <row r="869" spans="17:40">
      <c r="Q869" s="68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  <c r="AC869" s="68"/>
      <c r="AD869" s="68"/>
      <c r="AE869" s="68"/>
      <c r="AF869" s="68"/>
      <c r="AG869" s="68"/>
      <c r="AH869" s="68"/>
      <c r="AI869" s="68"/>
      <c r="AJ869" s="68"/>
      <c r="AK869" s="68"/>
      <c r="AL869" s="68"/>
      <c r="AM869" s="68"/>
      <c r="AN869" s="68"/>
    </row>
    <row r="870" spans="17:40">
      <c r="Q870" s="68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  <c r="AC870" s="68"/>
      <c r="AD870" s="68"/>
      <c r="AE870" s="68"/>
      <c r="AF870" s="68"/>
      <c r="AG870" s="68"/>
      <c r="AH870" s="68"/>
      <c r="AI870" s="68"/>
      <c r="AJ870" s="68"/>
      <c r="AK870" s="68"/>
      <c r="AL870" s="68"/>
      <c r="AM870" s="68"/>
      <c r="AN870" s="68"/>
    </row>
    <row r="871" spans="17:40">
      <c r="Q871" s="68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  <c r="AC871" s="68"/>
      <c r="AD871" s="68"/>
      <c r="AE871" s="68"/>
      <c r="AF871" s="68"/>
      <c r="AG871" s="68"/>
      <c r="AH871" s="68"/>
      <c r="AI871" s="68"/>
      <c r="AJ871" s="68"/>
      <c r="AK871" s="68"/>
      <c r="AL871" s="68"/>
      <c r="AM871" s="68"/>
      <c r="AN871" s="68"/>
    </row>
    <row r="872" spans="17:40">
      <c r="Q872" s="68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  <c r="AC872" s="68"/>
      <c r="AD872" s="68"/>
      <c r="AE872" s="68"/>
      <c r="AF872" s="68"/>
      <c r="AG872" s="68"/>
      <c r="AH872" s="68"/>
      <c r="AI872" s="68"/>
      <c r="AJ872" s="68"/>
      <c r="AK872" s="68"/>
      <c r="AL872" s="68"/>
      <c r="AM872" s="68"/>
      <c r="AN872" s="68"/>
    </row>
    <row r="873" spans="17:40">
      <c r="Q873" s="68"/>
      <c r="R873" s="68"/>
      <c r="S873" s="68"/>
      <c r="T873" s="68"/>
      <c r="U873" s="68"/>
      <c r="V873" s="68"/>
      <c r="W873" s="68"/>
      <c r="X873" s="68"/>
      <c r="Y873" s="68"/>
      <c r="Z873" s="68"/>
      <c r="AA873" s="68"/>
      <c r="AB873" s="68"/>
      <c r="AC873" s="68"/>
      <c r="AD873" s="68"/>
      <c r="AE873" s="68"/>
      <c r="AF873" s="68"/>
      <c r="AG873" s="68"/>
      <c r="AH873" s="68"/>
      <c r="AI873" s="68"/>
      <c r="AJ873" s="68"/>
      <c r="AK873" s="68"/>
      <c r="AL873" s="68"/>
      <c r="AM873" s="68"/>
      <c r="AN873" s="68"/>
    </row>
    <row r="874" spans="17:40">
      <c r="Q874" s="68"/>
      <c r="R874" s="68"/>
      <c r="S874" s="68"/>
      <c r="T874" s="68"/>
      <c r="U874" s="68"/>
      <c r="V874" s="68"/>
      <c r="W874" s="68"/>
      <c r="X874" s="68"/>
      <c r="Y874" s="68"/>
      <c r="Z874" s="68"/>
      <c r="AA874" s="68"/>
      <c r="AB874" s="68"/>
      <c r="AC874" s="68"/>
      <c r="AD874" s="68"/>
      <c r="AE874" s="68"/>
      <c r="AF874" s="68"/>
      <c r="AG874" s="68"/>
      <c r="AH874" s="68"/>
      <c r="AI874" s="68"/>
      <c r="AJ874" s="68"/>
      <c r="AK874" s="68"/>
      <c r="AL874" s="68"/>
      <c r="AM874" s="68"/>
      <c r="AN874" s="68"/>
    </row>
    <row r="875" spans="17:40">
      <c r="Q875" s="68"/>
      <c r="R875" s="68"/>
      <c r="S875" s="68"/>
      <c r="T875" s="68"/>
      <c r="U875" s="68"/>
      <c r="V875" s="68"/>
      <c r="W875" s="68"/>
      <c r="X875" s="68"/>
      <c r="Y875" s="68"/>
      <c r="Z875" s="68"/>
      <c r="AA875" s="68"/>
      <c r="AB875" s="68"/>
      <c r="AC875" s="68"/>
      <c r="AD875" s="68"/>
      <c r="AE875" s="68"/>
      <c r="AF875" s="68"/>
      <c r="AG875" s="68"/>
      <c r="AH875" s="68"/>
      <c r="AI875" s="68"/>
      <c r="AJ875" s="68"/>
      <c r="AK875" s="68"/>
      <c r="AL875" s="68"/>
      <c r="AM875" s="68"/>
      <c r="AN875" s="68"/>
    </row>
    <row r="876" spans="17:40">
      <c r="Q876" s="68"/>
      <c r="R876" s="68"/>
      <c r="S876" s="68"/>
      <c r="T876" s="68"/>
      <c r="U876" s="68"/>
      <c r="V876" s="68"/>
      <c r="W876" s="68"/>
      <c r="X876" s="68"/>
      <c r="Y876" s="68"/>
      <c r="Z876" s="68"/>
      <c r="AA876" s="68"/>
      <c r="AB876" s="68"/>
      <c r="AC876" s="68"/>
      <c r="AD876" s="68"/>
      <c r="AE876" s="68"/>
      <c r="AF876" s="68"/>
      <c r="AG876" s="68"/>
      <c r="AH876" s="68"/>
      <c r="AI876" s="68"/>
      <c r="AJ876" s="68"/>
      <c r="AK876" s="68"/>
      <c r="AL876" s="68"/>
      <c r="AM876" s="68"/>
      <c r="AN876" s="68"/>
    </row>
    <row r="877" spans="17:40">
      <c r="Q877" s="68"/>
      <c r="R877" s="68"/>
      <c r="S877" s="68"/>
      <c r="T877" s="68"/>
      <c r="U877" s="68"/>
      <c r="V877" s="68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</row>
    <row r="878" spans="17:40">
      <c r="Q878" s="68"/>
      <c r="R878" s="68"/>
      <c r="S878" s="68"/>
      <c r="T878" s="68"/>
      <c r="U878" s="68"/>
      <c r="V878" s="68"/>
      <c r="W878" s="68"/>
      <c r="X878" s="68"/>
      <c r="Y878" s="68"/>
      <c r="Z878" s="68"/>
      <c r="AA878" s="68"/>
      <c r="AB878" s="68"/>
      <c r="AC878" s="68"/>
      <c r="AD878" s="68"/>
      <c r="AE878" s="68"/>
      <c r="AF878" s="68"/>
      <c r="AG878" s="68"/>
      <c r="AH878" s="68"/>
      <c r="AI878" s="68"/>
      <c r="AJ878" s="68"/>
      <c r="AK878" s="68"/>
      <c r="AL878" s="68"/>
      <c r="AM878" s="68"/>
      <c r="AN878" s="68"/>
    </row>
    <row r="879" spans="17:40">
      <c r="Q879" s="68"/>
      <c r="R879" s="68"/>
      <c r="S879" s="68"/>
      <c r="T879" s="68"/>
      <c r="U879" s="68"/>
      <c r="V879" s="68"/>
      <c r="W879" s="68"/>
      <c r="X879" s="68"/>
      <c r="Y879" s="68"/>
      <c r="Z879" s="68"/>
      <c r="AA879" s="68"/>
      <c r="AB879" s="68"/>
      <c r="AC879" s="68"/>
      <c r="AD879" s="68"/>
      <c r="AE879" s="68"/>
      <c r="AF879" s="68"/>
      <c r="AG879" s="68"/>
      <c r="AH879" s="68"/>
      <c r="AI879" s="68"/>
      <c r="AJ879" s="68"/>
      <c r="AK879" s="68"/>
      <c r="AL879" s="68"/>
      <c r="AM879" s="68"/>
      <c r="AN879" s="68"/>
    </row>
    <row r="880" spans="17:40">
      <c r="Q880" s="68"/>
      <c r="R880" s="68"/>
      <c r="S880" s="68"/>
      <c r="T880" s="68"/>
      <c r="U880" s="68"/>
      <c r="V880" s="68"/>
      <c r="W880" s="68"/>
      <c r="X880" s="68"/>
      <c r="Y880" s="68"/>
      <c r="Z880" s="68"/>
      <c r="AA880" s="68"/>
      <c r="AB880" s="68"/>
      <c r="AC880" s="68"/>
      <c r="AD880" s="68"/>
      <c r="AE880" s="68"/>
      <c r="AF880" s="68"/>
      <c r="AG880" s="68"/>
      <c r="AH880" s="68"/>
      <c r="AI880" s="68"/>
      <c r="AJ880" s="68"/>
      <c r="AK880" s="68"/>
      <c r="AL880" s="68"/>
      <c r="AM880" s="68"/>
      <c r="AN880" s="68"/>
    </row>
    <row r="881" spans="17:40">
      <c r="Q881" s="68"/>
      <c r="R881" s="68"/>
      <c r="S881" s="68"/>
      <c r="T881" s="68"/>
      <c r="U881" s="68"/>
      <c r="V881" s="68"/>
      <c r="W881" s="68"/>
      <c r="X881" s="68"/>
      <c r="Y881" s="68"/>
      <c r="Z881" s="68"/>
      <c r="AA881" s="68"/>
      <c r="AB881" s="68"/>
      <c r="AC881" s="68"/>
      <c r="AD881" s="68"/>
      <c r="AE881" s="68"/>
      <c r="AF881" s="68"/>
      <c r="AG881" s="68"/>
      <c r="AH881" s="68"/>
      <c r="AI881" s="68"/>
      <c r="AJ881" s="68"/>
      <c r="AK881" s="68"/>
      <c r="AL881" s="68"/>
      <c r="AM881" s="68"/>
      <c r="AN881" s="68"/>
    </row>
    <row r="882" spans="17:40">
      <c r="Q882" s="68"/>
      <c r="R882" s="68"/>
      <c r="S882" s="68"/>
      <c r="T882" s="68"/>
      <c r="U882" s="68"/>
      <c r="V882" s="68"/>
      <c r="W882" s="68"/>
      <c r="X882" s="68"/>
      <c r="Y882" s="68"/>
      <c r="Z882" s="68"/>
      <c r="AA882" s="68"/>
      <c r="AB882" s="68"/>
      <c r="AC882" s="68"/>
      <c r="AD882" s="68"/>
      <c r="AE882" s="68"/>
      <c r="AF882" s="68"/>
      <c r="AG882" s="68"/>
      <c r="AH882" s="68"/>
      <c r="AI882" s="68"/>
      <c r="AJ882" s="68"/>
      <c r="AK882" s="68"/>
      <c r="AL882" s="68"/>
      <c r="AM882" s="68"/>
      <c r="AN882" s="68"/>
    </row>
    <row r="883" spans="17:40">
      <c r="Q883" s="68"/>
      <c r="R883" s="68"/>
      <c r="S883" s="68"/>
      <c r="T883" s="68"/>
      <c r="U883" s="68"/>
      <c r="V883" s="68"/>
      <c r="W883" s="68"/>
      <c r="X883" s="68"/>
      <c r="Y883" s="68"/>
      <c r="Z883" s="68"/>
      <c r="AA883" s="68"/>
      <c r="AB883" s="68"/>
      <c r="AC883" s="68"/>
      <c r="AD883" s="68"/>
      <c r="AE883" s="68"/>
      <c r="AF883" s="68"/>
      <c r="AG883" s="68"/>
      <c r="AH883" s="68"/>
      <c r="AI883" s="68"/>
      <c r="AJ883" s="68"/>
      <c r="AK883" s="68"/>
      <c r="AL883" s="68"/>
      <c r="AM883" s="68"/>
      <c r="AN883" s="68"/>
    </row>
    <row r="884" spans="17:40">
      <c r="Q884" s="68"/>
      <c r="R884" s="68"/>
      <c r="S884" s="68"/>
      <c r="T884" s="68"/>
      <c r="U884" s="68"/>
      <c r="V884" s="68"/>
      <c r="W884" s="68"/>
      <c r="X884" s="68"/>
      <c r="Y884" s="68"/>
      <c r="Z884" s="68"/>
      <c r="AA884" s="68"/>
      <c r="AB884" s="68"/>
      <c r="AC884" s="68"/>
      <c r="AD884" s="68"/>
      <c r="AE884" s="68"/>
      <c r="AF884" s="68"/>
      <c r="AG884" s="68"/>
      <c r="AH884" s="68"/>
      <c r="AI884" s="68"/>
      <c r="AJ884" s="68"/>
      <c r="AK884" s="68"/>
      <c r="AL884" s="68"/>
      <c r="AM884" s="68"/>
      <c r="AN884" s="68"/>
    </row>
    <row r="885" spans="17:40">
      <c r="Q885" s="68"/>
      <c r="R885" s="68"/>
      <c r="S885" s="68"/>
      <c r="T885" s="68"/>
      <c r="U885" s="68"/>
      <c r="V885" s="68"/>
      <c r="W885" s="68"/>
      <c r="X885" s="68"/>
      <c r="Y885" s="68"/>
      <c r="Z885" s="68"/>
      <c r="AA885" s="68"/>
      <c r="AB885" s="68"/>
      <c r="AC885" s="68"/>
      <c r="AD885" s="68"/>
      <c r="AE885" s="68"/>
      <c r="AF885" s="68"/>
      <c r="AG885" s="68"/>
      <c r="AH885" s="68"/>
      <c r="AI885" s="68"/>
      <c r="AJ885" s="68"/>
      <c r="AK885" s="68"/>
      <c r="AL885" s="68"/>
      <c r="AM885" s="68"/>
      <c r="AN885" s="68"/>
    </row>
    <row r="886" spans="17:40">
      <c r="Q886" s="68"/>
      <c r="R886" s="68"/>
      <c r="S886" s="68"/>
      <c r="T886" s="68"/>
      <c r="U886" s="68"/>
      <c r="V886" s="68"/>
      <c r="W886" s="68"/>
      <c r="X886" s="68"/>
      <c r="Y886" s="68"/>
      <c r="Z886" s="68"/>
      <c r="AA886" s="68"/>
      <c r="AB886" s="68"/>
      <c r="AC886" s="68"/>
      <c r="AD886" s="68"/>
      <c r="AE886" s="68"/>
      <c r="AF886" s="68"/>
      <c r="AG886" s="68"/>
      <c r="AH886" s="68"/>
      <c r="AI886" s="68"/>
      <c r="AJ886" s="68"/>
      <c r="AK886" s="68"/>
      <c r="AL886" s="68"/>
      <c r="AM886" s="68"/>
      <c r="AN886" s="68"/>
    </row>
    <row r="887" spans="17:40">
      <c r="Q887" s="68"/>
      <c r="R887" s="68"/>
      <c r="S887" s="68"/>
      <c r="T887" s="68"/>
      <c r="U887" s="68"/>
      <c r="V887" s="68"/>
      <c r="W887" s="68"/>
      <c r="X887" s="68"/>
      <c r="Y887" s="68"/>
      <c r="Z887" s="68"/>
      <c r="AA887" s="68"/>
      <c r="AB887" s="68"/>
      <c r="AC887" s="68"/>
      <c r="AD887" s="68"/>
      <c r="AE887" s="68"/>
      <c r="AF887" s="68"/>
      <c r="AG887" s="68"/>
      <c r="AH887" s="68"/>
      <c r="AI887" s="68"/>
      <c r="AJ887" s="68"/>
      <c r="AK887" s="68"/>
      <c r="AL887" s="68"/>
      <c r="AM887" s="68"/>
      <c r="AN887" s="68"/>
    </row>
    <row r="888" spans="17:40">
      <c r="Q888" s="68"/>
      <c r="R888" s="68"/>
      <c r="S888" s="68"/>
      <c r="T888" s="68"/>
      <c r="U888" s="68"/>
      <c r="V888" s="68"/>
      <c r="W888" s="68"/>
      <c r="X888" s="68"/>
      <c r="Y888" s="68"/>
      <c r="Z888" s="68"/>
      <c r="AA888" s="68"/>
      <c r="AB888" s="68"/>
      <c r="AC888" s="68"/>
      <c r="AD888" s="68"/>
      <c r="AE888" s="68"/>
      <c r="AF888" s="68"/>
      <c r="AG888" s="68"/>
      <c r="AH888" s="68"/>
      <c r="AI888" s="68"/>
      <c r="AJ888" s="68"/>
      <c r="AK888" s="68"/>
      <c r="AL888" s="68"/>
      <c r="AM888" s="68"/>
      <c r="AN888" s="68"/>
    </row>
    <row r="889" spans="17:40">
      <c r="Q889" s="68"/>
      <c r="R889" s="68"/>
      <c r="S889" s="68"/>
      <c r="T889" s="68"/>
      <c r="U889" s="68"/>
      <c r="V889" s="68"/>
      <c r="W889" s="68"/>
      <c r="X889" s="68"/>
      <c r="Y889" s="68"/>
      <c r="Z889" s="68"/>
      <c r="AA889" s="68"/>
      <c r="AB889" s="68"/>
      <c r="AC889" s="68"/>
      <c r="AD889" s="68"/>
      <c r="AE889" s="68"/>
      <c r="AF889" s="68"/>
      <c r="AG889" s="68"/>
      <c r="AH889" s="68"/>
      <c r="AI889" s="68"/>
      <c r="AJ889" s="68"/>
      <c r="AK889" s="68"/>
      <c r="AL889" s="68"/>
      <c r="AM889" s="68"/>
      <c r="AN889" s="68"/>
    </row>
    <row r="890" spans="17:40">
      <c r="Q890" s="68"/>
      <c r="R890" s="68"/>
      <c r="S890" s="68"/>
      <c r="T890" s="68"/>
      <c r="U890" s="68"/>
      <c r="V890" s="68"/>
      <c r="W890" s="68"/>
      <c r="X890" s="68"/>
      <c r="Y890" s="68"/>
      <c r="Z890" s="68"/>
      <c r="AA890" s="68"/>
      <c r="AB890" s="68"/>
      <c r="AC890" s="68"/>
      <c r="AD890" s="68"/>
      <c r="AE890" s="68"/>
      <c r="AF890" s="68"/>
      <c r="AG890" s="68"/>
      <c r="AH890" s="68"/>
      <c r="AI890" s="68"/>
      <c r="AJ890" s="68"/>
      <c r="AK890" s="68"/>
      <c r="AL890" s="68"/>
      <c r="AM890" s="68"/>
      <c r="AN890" s="68"/>
    </row>
    <row r="891" spans="17:40">
      <c r="Q891" s="68"/>
      <c r="R891" s="68"/>
      <c r="S891" s="68"/>
      <c r="T891" s="68"/>
      <c r="U891" s="68"/>
      <c r="V891" s="68"/>
      <c r="W891" s="68"/>
      <c r="X891" s="68"/>
      <c r="Y891" s="68"/>
      <c r="Z891" s="68"/>
      <c r="AA891" s="68"/>
      <c r="AB891" s="68"/>
      <c r="AC891" s="68"/>
      <c r="AD891" s="68"/>
      <c r="AE891" s="68"/>
      <c r="AF891" s="68"/>
      <c r="AG891" s="68"/>
      <c r="AH891" s="68"/>
      <c r="AI891" s="68"/>
      <c r="AJ891" s="68"/>
      <c r="AK891" s="68"/>
      <c r="AL891" s="68"/>
      <c r="AM891" s="68"/>
      <c r="AN891" s="68"/>
    </row>
    <row r="892" spans="17:40">
      <c r="Q892" s="68"/>
      <c r="R892" s="68"/>
      <c r="S892" s="68"/>
      <c r="T892" s="68"/>
      <c r="U892" s="68"/>
      <c r="V892" s="68"/>
      <c r="W892" s="68"/>
      <c r="X892" s="68"/>
      <c r="Y892" s="68"/>
      <c r="Z892" s="68"/>
      <c r="AA892" s="68"/>
      <c r="AB892" s="68"/>
      <c r="AC892" s="68"/>
      <c r="AD892" s="68"/>
      <c r="AE892" s="68"/>
      <c r="AF892" s="68"/>
      <c r="AG892" s="68"/>
      <c r="AH892" s="68"/>
      <c r="AI892" s="68"/>
      <c r="AJ892" s="68"/>
      <c r="AK892" s="68"/>
      <c r="AL892" s="68"/>
      <c r="AM892" s="68"/>
      <c r="AN892" s="68"/>
    </row>
    <row r="893" spans="17:40">
      <c r="Q893" s="68"/>
      <c r="R893" s="68"/>
      <c r="S893" s="68"/>
      <c r="T893" s="68"/>
      <c r="U893" s="68"/>
      <c r="V893" s="68"/>
      <c r="W893" s="68"/>
      <c r="X893" s="68"/>
      <c r="Y893" s="68"/>
      <c r="Z893" s="68"/>
      <c r="AA893" s="68"/>
      <c r="AB893" s="68"/>
      <c r="AC893" s="68"/>
      <c r="AD893" s="68"/>
      <c r="AE893" s="68"/>
      <c r="AF893" s="68"/>
      <c r="AG893" s="68"/>
      <c r="AH893" s="68"/>
      <c r="AI893" s="68"/>
      <c r="AJ893" s="68"/>
      <c r="AK893" s="68"/>
      <c r="AL893" s="68"/>
      <c r="AM893" s="68"/>
      <c r="AN893" s="68"/>
    </row>
    <row r="894" spans="17:40">
      <c r="Q894" s="68"/>
      <c r="R894" s="68"/>
      <c r="S894" s="68"/>
      <c r="T894" s="68"/>
      <c r="U894" s="68"/>
      <c r="V894" s="68"/>
      <c r="W894" s="68"/>
      <c r="X894" s="68"/>
      <c r="Y894" s="68"/>
      <c r="Z894" s="68"/>
      <c r="AA894" s="68"/>
      <c r="AB894" s="68"/>
      <c r="AC894" s="68"/>
      <c r="AD894" s="68"/>
      <c r="AE894" s="68"/>
      <c r="AF894" s="68"/>
      <c r="AG894" s="68"/>
      <c r="AH894" s="68"/>
      <c r="AI894" s="68"/>
      <c r="AJ894" s="68"/>
      <c r="AK894" s="68"/>
      <c r="AL894" s="68"/>
      <c r="AM894" s="68"/>
      <c r="AN894" s="68"/>
    </row>
    <row r="895" spans="17:40">
      <c r="Q895" s="68"/>
      <c r="R895" s="68"/>
      <c r="S895" s="68"/>
      <c r="T895" s="68"/>
      <c r="U895" s="68"/>
      <c r="V895" s="68"/>
      <c r="W895" s="68"/>
      <c r="X895" s="68"/>
      <c r="Y895" s="68"/>
      <c r="Z895" s="68"/>
      <c r="AA895" s="68"/>
      <c r="AB895" s="68"/>
      <c r="AC895" s="68"/>
      <c r="AD895" s="68"/>
      <c r="AE895" s="68"/>
      <c r="AF895" s="68"/>
      <c r="AG895" s="68"/>
      <c r="AH895" s="68"/>
      <c r="AI895" s="68"/>
      <c r="AJ895" s="68"/>
      <c r="AK895" s="68"/>
      <c r="AL895" s="68"/>
      <c r="AM895" s="68"/>
      <c r="AN895" s="68"/>
    </row>
    <row r="896" spans="17:40">
      <c r="Q896" s="68"/>
      <c r="R896" s="68"/>
      <c r="S896" s="68"/>
      <c r="T896" s="68"/>
      <c r="U896" s="68"/>
      <c r="V896" s="68"/>
      <c r="W896" s="68"/>
      <c r="X896" s="68"/>
      <c r="Y896" s="68"/>
      <c r="Z896" s="68"/>
      <c r="AA896" s="68"/>
      <c r="AB896" s="68"/>
      <c r="AC896" s="68"/>
      <c r="AD896" s="68"/>
      <c r="AE896" s="68"/>
      <c r="AF896" s="68"/>
      <c r="AG896" s="68"/>
      <c r="AH896" s="68"/>
      <c r="AI896" s="68"/>
      <c r="AJ896" s="68"/>
      <c r="AK896" s="68"/>
      <c r="AL896" s="68"/>
      <c r="AM896" s="68"/>
      <c r="AN896" s="68"/>
    </row>
    <row r="897" spans="17:40">
      <c r="Q897" s="68"/>
      <c r="R897" s="68"/>
      <c r="S897" s="68"/>
      <c r="T897" s="68"/>
      <c r="U897" s="68"/>
      <c r="V897" s="68"/>
      <c r="W897" s="68"/>
      <c r="X897" s="68"/>
      <c r="Y897" s="68"/>
      <c r="Z897" s="68"/>
      <c r="AA897" s="68"/>
      <c r="AB897" s="68"/>
      <c r="AC897" s="68"/>
      <c r="AD897" s="68"/>
      <c r="AE897" s="68"/>
      <c r="AF897" s="68"/>
      <c r="AG897" s="68"/>
      <c r="AH897" s="68"/>
      <c r="AI897" s="68"/>
      <c r="AJ897" s="68"/>
      <c r="AK897" s="68"/>
      <c r="AL897" s="68"/>
      <c r="AM897" s="68"/>
      <c r="AN897" s="68"/>
    </row>
    <row r="898" spans="17:40">
      <c r="Q898" s="68"/>
      <c r="R898" s="68"/>
      <c r="S898" s="68"/>
      <c r="T898" s="68"/>
      <c r="U898" s="68"/>
      <c r="V898" s="68"/>
      <c r="W898" s="68"/>
      <c r="X898" s="68"/>
      <c r="Y898" s="68"/>
      <c r="Z898" s="68"/>
      <c r="AA898" s="68"/>
      <c r="AB898" s="68"/>
      <c r="AC898" s="68"/>
      <c r="AD898" s="68"/>
      <c r="AE898" s="68"/>
      <c r="AF898" s="68"/>
      <c r="AG898" s="68"/>
      <c r="AH898" s="68"/>
      <c r="AI898" s="68"/>
      <c r="AJ898" s="68"/>
      <c r="AK898" s="68"/>
      <c r="AL898" s="68"/>
      <c r="AM898" s="68"/>
      <c r="AN898" s="68"/>
    </row>
    <row r="899" spans="17:40">
      <c r="Q899" s="68"/>
      <c r="R899" s="68"/>
      <c r="S899" s="68"/>
      <c r="T899" s="68"/>
      <c r="U899" s="68"/>
      <c r="V899" s="68"/>
      <c r="W899" s="68"/>
      <c r="X899" s="68"/>
      <c r="Y899" s="68"/>
      <c r="Z899" s="68"/>
      <c r="AA899" s="68"/>
      <c r="AB899" s="68"/>
      <c r="AC899" s="68"/>
      <c r="AD899" s="68"/>
      <c r="AE899" s="68"/>
      <c r="AF899" s="68"/>
      <c r="AG899" s="68"/>
      <c r="AH899" s="68"/>
      <c r="AI899" s="68"/>
      <c r="AJ899" s="68"/>
      <c r="AK899" s="68"/>
      <c r="AL899" s="68"/>
      <c r="AM899" s="68"/>
      <c r="AN899" s="68"/>
    </row>
    <row r="900" spans="17:40">
      <c r="Q900" s="68"/>
      <c r="R900" s="68"/>
      <c r="S900" s="68"/>
      <c r="T900" s="68"/>
      <c r="U900" s="68"/>
      <c r="V900" s="68"/>
      <c r="W900" s="68"/>
      <c r="X900" s="68"/>
      <c r="Y900" s="68"/>
      <c r="Z900" s="68"/>
      <c r="AA900" s="68"/>
      <c r="AB900" s="68"/>
      <c r="AC900" s="68"/>
      <c r="AD900" s="68"/>
      <c r="AE900" s="68"/>
      <c r="AF900" s="68"/>
      <c r="AG900" s="68"/>
      <c r="AH900" s="68"/>
      <c r="AI900" s="68"/>
      <c r="AJ900" s="68"/>
      <c r="AK900" s="68"/>
      <c r="AL900" s="68"/>
      <c r="AM900" s="68"/>
      <c r="AN900" s="68"/>
    </row>
    <row r="901" spans="17:40">
      <c r="Q901" s="68"/>
      <c r="R901" s="68"/>
      <c r="S901" s="68"/>
      <c r="T901" s="68"/>
      <c r="U901" s="68"/>
      <c r="V901" s="68"/>
      <c r="W901" s="68"/>
      <c r="X901" s="68"/>
      <c r="Y901" s="68"/>
      <c r="Z901" s="68"/>
      <c r="AA901" s="68"/>
      <c r="AB901" s="68"/>
      <c r="AC901" s="68"/>
      <c r="AD901" s="68"/>
      <c r="AE901" s="68"/>
      <c r="AF901" s="68"/>
      <c r="AG901" s="68"/>
      <c r="AH901" s="68"/>
      <c r="AI901" s="68"/>
      <c r="AJ901" s="68"/>
      <c r="AK901" s="68"/>
      <c r="AL901" s="68"/>
      <c r="AM901" s="68"/>
      <c r="AN901" s="68"/>
    </row>
    <row r="902" spans="17:40">
      <c r="Q902" s="68"/>
      <c r="R902" s="68"/>
      <c r="S902" s="68"/>
      <c r="T902" s="68"/>
      <c r="U902" s="68"/>
      <c r="V902" s="68"/>
      <c r="W902" s="68"/>
      <c r="X902" s="68"/>
      <c r="Y902" s="68"/>
      <c r="Z902" s="68"/>
      <c r="AA902" s="68"/>
      <c r="AB902" s="68"/>
      <c r="AC902" s="68"/>
      <c r="AD902" s="68"/>
      <c r="AE902" s="68"/>
      <c r="AF902" s="68"/>
      <c r="AG902" s="68"/>
      <c r="AH902" s="68"/>
      <c r="AI902" s="68"/>
      <c r="AJ902" s="68"/>
      <c r="AK902" s="68"/>
      <c r="AL902" s="68"/>
      <c r="AM902" s="68"/>
      <c r="AN902" s="68"/>
    </row>
    <row r="903" spans="17:40">
      <c r="Q903" s="68"/>
      <c r="R903" s="68"/>
      <c r="S903" s="68"/>
      <c r="T903" s="68"/>
      <c r="U903" s="68"/>
      <c r="V903" s="68"/>
      <c r="W903" s="68"/>
      <c r="X903" s="68"/>
      <c r="Y903" s="68"/>
      <c r="Z903" s="68"/>
      <c r="AA903" s="68"/>
      <c r="AB903" s="68"/>
      <c r="AC903" s="68"/>
      <c r="AD903" s="68"/>
      <c r="AE903" s="68"/>
      <c r="AF903" s="68"/>
      <c r="AG903" s="68"/>
      <c r="AH903" s="68"/>
      <c r="AI903" s="68"/>
      <c r="AJ903" s="68"/>
      <c r="AK903" s="68"/>
      <c r="AL903" s="68"/>
      <c r="AM903" s="68"/>
      <c r="AN903" s="68"/>
    </row>
    <row r="904" spans="17:40">
      <c r="Q904" s="68"/>
      <c r="R904" s="68"/>
      <c r="S904" s="68"/>
      <c r="T904" s="68"/>
      <c r="U904" s="68"/>
      <c r="V904" s="68"/>
      <c r="W904" s="68"/>
      <c r="X904" s="68"/>
      <c r="Y904" s="68"/>
      <c r="Z904" s="68"/>
      <c r="AA904" s="68"/>
      <c r="AB904" s="68"/>
      <c r="AC904" s="68"/>
      <c r="AD904" s="68"/>
      <c r="AE904" s="68"/>
      <c r="AF904" s="68"/>
      <c r="AG904" s="68"/>
      <c r="AH904" s="68"/>
      <c r="AI904" s="68"/>
      <c r="AJ904" s="68"/>
      <c r="AK904" s="68"/>
      <c r="AL904" s="68"/>
      <c r="AM904" s="68"/>
      <c r="AN904" s="68"/>
    </row>
    <row r="905" spans="17:40">
      <c r="Q905" s="68"/>
      <c r="R905" s="68"/>
      <c r="S905" s="68"/>
      <c r="T905" s="68"/>
      <c r="U905" s="68"/>
      <c r="V905" s="68"/>
      <c r="W905" s="68"/>
      <c r="X905" s="68"/>
      <c r="Y905" s="68"/>
      <c r="Z905" s="68"/>
      <c r="AA905" s="68"/>
      <c r="AB905" s="68"/>
      <c r="AC905" s="68"/>
      <c r="AD905" s="68"/>
      <c r="AE905" s="68"/>
      <c r="AF905" s="68"/>
      <c r="AG905" s="68"/>
      <c r="AH905" s="68"/>
      <c r="AI905" s="68"/>
      <c r="AJ905" s="68"/>
      <c r="AK905" s="68"/>
      <c r="AL905" s="68"/>
      <c r="AM905" s="68"/>
      <c r="AN905" s="68"/>
    </row>
    <row r="906" spans="17:40">
      <c r="Q906" s="68"/>
      <c r="R906" s="68"/>
      <c r="S906" s="68"/>
      <c r="T906" s="68"/>
      <c r="U906" s="68"/>
      <c r="V906" s="68"/>
      <c r="W906" s="68"/>
      <c r="X906" s="68"/>
      <c r="Y906" s="68"/>
      <c r="Z906" s="68"/>
      <c r="AA906" s="68"/>
      <c r="AB906" s="68"/>
      <c r="AC906" s="68"/>
      <c r="AD906" s="68"/>
      <c r="AE906" s="68"/>
      <c r="AF906" s="68"/>
      <c r="AG906" s="68"/>
      <c r="AH906" s="68"/>
      <c r="AI906" s="68"/>
      <c r="AJ906" s="68"/>
      <c r="AK906" s="68"/>
      <c r="AL906" s="68"/>
      <c r="AM906" s="68"/>
      <c r="AN906" s="68"/>
    </row>
    <row r="907" spans="17:40">
      <c r="Q907" s="68"/>
      <c r="R907" s="68"/>
      <c r="S907" s="68"/>
      <c r="T907" s="68"/>
      <c r="U907" s="68"/>
      <c r="V907" s="68"/>
      <c r="W907" s="68"/>
      <c r="X907" s="68"/>
      <c r="Y907" s="68"/>
      <c r="Z907" s="68"/>
      <c r="AA907" s="68"/>
      <c r="AB907" s="68"/>
      <c r="AC907" s="68"/>
      <c r="AD907" s="68"/>
      <c r="AE907" s="68"/>
      <c r="AF907" s="68"/>
      <c r="AG907" s="68"/>
      <c r="AH907" s="68"/>
      <c r="AI907" s="68"/>
      <c r="AJ907" s="68"/>
      <c r="AK907" s="68"/>
      <c r="AL907" s="68"/>
      <c r="AM907" s="68"/>
      <c r="AN907" s="68"/>
    </row>
    <row r="908" spans="17:40">
      <c r="Q908" s="68"/>
      <c r="R908" s="68"/>
      <c r="S908" s="68"/>
      <c r="T908" s="68"/>
      <c r="U908" s="68"/>
      <c r="V908" s="68"/>
      <c r="W908" s="68"/>
      <c r="X908" s="68"/>
      <c r="Y908" s="68"/>
      <c r="Z908" s="68"/>
      <c r="AA908" s="68"/>
      <c r="AB908" s="68"/>
      <c r="AC908" s="68"/>
      <c r="AD908" s="68"/>
      <c r="AE908" s="68"/>
      <c r="AF908" s="68"/>
      <c r="AG908" s="68"/>
      <c r="AH908" s="68"/>
      <c r="AI908" s="68"/>
      <c r="AJ908" s="68"/>
      <c r="AK908" s="68"/>
      <c r="AL908" s="68"/>
      <c r="AM908" s="68"/>
      <c r="AN908" s="68"/>
    </row>
    <row r="909" spans="17:40"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8"/>
      <c r="AB909" s="68"/>
      <c r="AC909" s="68"/>
      <c r="AD909" s="68"/>
      <c r="AE909" s="68"/>
      <c r="AF909" s="68"/>
      <c r="AG909" s="68"/>
      <c r="AH909" s="68"/>
      <c r="AI909" s="68"/>
      <c r="AJ909" s="68"/>
      <c r="AK909" s="68"/>
      <c r="AL909" s="68"/>
      <c r="AM909" s="68"/>
      <c r="AN909" s="68"/>
    </row>
    <row r="910" spans="17:40">
      <c r="Q910" s="68"/>
      <c r="R910" s="68"/>
      <c r="S910" s="68"/>
      <c r="T910" s="68"/>
      <c r="U910" s="68"/>
      <c r="V910" s="68"/>
      <c r="W910" s="68"/>
      <c r="X910" s="68"/>
      <c r="Y910" s="68"/>
      <c r="Z910" s="68"/>
      <c r="AA910" s="68"/>
      <c r="AB910" s="68"/>
      <c r="AC910" s="68"/>
      <c r="AD910" s="68"/>
      <c r="AE910" s="68"/>
      <c r="AF910" s="68"/>
      <c r="AG910" s="68"/>
      <c r="AH910" s="68"/>
      <c r="AI910" s="68"/>
      <c r="AJ910" s="68"/>
      <c r="AK910" s="68"/>
      <c r="AL910" s="68"/>
      <c r="AM910" s="68"/>
      <c r="AN910" s="68"/>
    </row>
    <row r="911" spans="17:40">
      <c r="Q911" s="68"/>
      <c r="R911" s="68"/>
      <c r="S911" s="68"/>
      <c r="T911" s="68"/>
      <c r="U911" s="68"/>
      <c r="V911" s="68"/>
      <c r="W911" s="68"/>
      <c r="X911" s="68"/>
      <c r="Y911" s="68"/>
      <c r="Z911" s="68"/>
      <c r="AA911" s="68"/>
      <c r="AB911" s="68"/>
      <c r="AC911" s="68"/>
      <c r="AD911" s="68"/>
      <c r="AE911" s="68"/>
      <c r="AF911" s="68"/>
      <c r="AG911" s="68"/>
      <c r="AH911" s="68"/>
      <c r="AI911" s="68"/>
      <c r="AJ911" s="68"/>
      <c r="AK911" s="68"/>
      <c r="AL911" s="68"/>
      <c r="AM911" s="68"/>
      <c r="AN911" s="68"/>
    </row>
    <row r="912" spans="17:40">
      <c r="Q912" s="68"/>
      <c r="R912" s="68"/>
      <c r="S912" s="68"/>
      <c r="T912" s="68"/>
      <c r="U912" s="68"/>
      <c r="V912" s="68"/>
      <c r="W912" s="68"/>
      <c r="X912" s="68"/>
      <c r="Y912" s="68"/>
      <c r="Z912" s="68"/>
      <c r="AA912" s="68"/>
      <c r="AB912" s="68"/>
      <c r="AC912" s="68"/>
      <c r="AD912" s="68"/>
      <c r="AE912" s="68"/>
      <c r="AF912" s="68"/>
      <c r="AG912" s="68"/>
      <c r="AH912" s="68"/>
      <c r="AI912" s="68"/>
      <c r="AJ912" s="68"/>
      <c r="AK912" s="68"/>
      <c r="AL912" s="68"/>
      <c r="AM912" s="68"/>
      <c r="AN912" s="68"/>
    </row>
    <row r="913" spans="17:40">
      <c r="Q913" s="68"/>
      <c r="R913" s="68"/>
      <c r="S913" s="68"/>
      <c r="T913" s="68"/>
      <c r="U913" s="68"/>
      <c r="V913" s="68"/>
      <c r="W913" s="68"/>
      <c r="X913" s="68"/>
      <c r="Y913" s="68"/>
      <c r="Z913" s="68"/>
      <c r="AA913" s="68"/>
      <c r="AB913" s="68"/>
      <c r="AC913" s="68"/>
      <c r="AD913" s="68"/>
      <c r="AE913" s="68"/>
      <c r="AF913" s="68"/>
      <c r="AG913" s="68"/>
      <c r="AH913" s="68"/>
      <c r="AI913" s="68"/>
      <c r="AJ913" s="68"/>
      <c r="AK913" s="68"/>
      <c r="AL913" s="68"/>
      <c r="AM913" s="68"/>
      <c r="AN913" s="68"/>
    </row>
    <row r="914" spans="17:40">
      <c r="Q914" s="68"/>
      <c r="R914" s="68"/>
      <c r="S914" s="68"/>
      <c r="T914" s="68"/>
      <c r="U914" s="68"/>
      <c r="V914" s="68"/>
      <c r="W914" s="68"/>
      <c r="X914" s="68"/>
      <c r="Y914" s="68"/>
      <c r="Z914" s="68"/>
      <c r="AA914" s="68"/>
      <c r="AB914" s="68"/>
      <c r="AC914" s="68"/>
      <c r="AD914" s="68"/>
      <c r="AE914" s="68"/>
      <c r="AF914" s="68"/>
      <c r="AG914" s="68"/>
      <c r="AH914" s="68"/>
      <c r="AI914" s="68"/>
      <c r="AJ914" s="68"/>
      <c r="AK914" s="68"/>
      <c r="AL914" s="68"/>
      <c r="AM914" s="68"/>
      <c r="AN914" s="68"/>
    </row>
    <row r="915" spans="17:40">
      <c r="Q915" s="68"/>
      <c r="R915" s="68"/>
      <c r="S915" s="68"/>
      <c r="T915" s="68"/>
      <c r="U915" s="68"/>
      <c r="V915" s="68"/>
      <c r="W915" s="68"/>
      <c r="X915" s="68"/>
      <c r="Y915" s="68"/>
      <c r="Z915" s="68"/>
      <c r="AA915" s="68"/>
      <c r="AB915" s="68"/>
      <c r="AC915" s="68"/>
      <c r="AD915" s="68"/>
      <c r="AE915" s="68"/>
      <c r="AF915" s="68"/>
      <c r="AG915" s="68"/>
      <c r="AH915" s="68"/>
      <c r="AI915" s="68"/>
      <c r="AJ915" s="68"/>
      <c r="AK915" s="68"/>
      <c r="AL915" s="68"/>
      <c r="AM915" s="68"/>
      <c r="AN915" s="68"/>
    </row>
    <row r="916" spans="17:40">
      <c r="Q916" s="68"/>
      <c r="R916" s="68"/>
      <c r="S916" s="68"/>
      <c r="T916" s="68"/>
      <c r="U916" s="68"/>
      <c r="V916" s="68"/>
      <c r="W916" s="68"/>
      <c r="X916" s="68"/>
      <c r="Y916" s="68"/>
      <c r="Z916" s="68"/>
      <c r="AA916" s="68"/>
      <c r="AB916" s="68"/>
      <c r="AC916" s="68"/>
      <c r="AD916" s="68"/>
      <c r="AE916" s="68"/>
      <c r="AF916" s="68"/>
      <c r="AG916" s="68"/>
      <c r="AH916" s="68"/>
      <c r="AI916" s="68"/>
      <c r="AJ916" s="68"/>
      <c r="AK916" s="68"/>
      <c r="AL916" s="68"/>
      <c r="AM916" s="68"/>
      <c r="AN916" s="68"/>
    </row>
    <row r="917" spans="17:40">
      <c r="Q917" s="68"/>
      <c r="R917" s="68"/>
      <c r="S917" s="68"/>
      <c r="T917" s="68"/>
      <c r="U917" s="68"/>
      <c r="V917" s="68"/>
      <c r="W917" s="68"/>
      <c r="X917" s="68"/>
      <c r="Y917" s="68"/>
      <c r="Z917" s="68"/>
      <c r="AA917" s="68"/>
      <c r="AB917" s="68"/>
      <c r="AC917" s="68"/>
      <c r="AD917" s="68"/>
      <c r="AE917" s="68"/>
      <c r="AF917" s="68"/>
      <c r="AG917" s="68"/>
      <c r="AH917" s="68"/>
      <c r="AI917" s="68"/>
      <c r="AJ917" s="68"/>
      <c r="AK917" s="68"/>
      <c r="AL917" s="68"/>
      <c r="AM917" s="68"/>
      <c r="AN917" s="68"/>
    </row>
    <row r="918" spans="17:40">
      <c r="Q918" s="68"/>
      <c r="R918" s="68"/>
      <c r="S918" s="68"/>
      <c r="T918" s="68"/>
      <c r="U918" s="68"/>
      <c r="V918" s="68"/>
      <c r="W918" s="68"/>
      <c r="X918" s="68"/>
      <c r="Y918" s="68"/>
      <c r="Z918" s="68"/>
      <c r="AA918" s="68"/>
      <c r="AB918" s="68"/>
      <c r="AC918" s="68"/>
      <c r="AD918" s="68"/>
      <c r="AE918" s="68"/>
      <c r="AF918" s="68"/>
      <c r="AG918" s="68"/>
      <c r="AH918" s="68"/>
      <c r="AI918" s="68"/>
      <c r="AJ918" s="68"/>
      <c r="AK918" s="68"/>
      <c r="AL918" s="68"/>
      <c r="AM918" s="68"/>
      <c r="AN918" s="68"/>
    </row>
    <row r="919" spans="17:40">
      <c r="Q919" s="68"/>
      <c r="R919" s="68"/>
      <c r="S919" s="68"/>
      <c r="T919" s="68"/>
      <c r="U919" s="68"/>
      <c r="V919" s="68"/>
      <c r="W919" s="68"/>
      <c r="X919" s="68"/>
      <c r="Y919" s="68"/>
      <c r="Z919" s="68"/>
      <c r="AA919" s="68"/>
      <c r="AB919" s="68"/>
      <c r="AC919" s="68"/>
      <c r="AD919" s="68"/>
      <c r="AE919" s="68"/>
      <c r="AF919" s="68"/>
      <c r="AG919" s="68"/>
      <c r="AH919" s="68"/>
      <c r="AI919" s="68"/>
      <c r="AJ919" s="68"/>
      <c r="AK919" s="68"/>
      <c r="AL919" s="68"/>
      <c r="AM919" s="68"/>
      <c r="AN919" s="68"/>
    </row>
    <row r="920" spans="17:40">
      <c r="Q920" s="68"/>
      <c r="R920" s="68"/>
      <c r="S920" s="68"/>
      <c r="T920" s="68"/>
      <c r="U920" s="68"/>
      <c r="V920" s="68"/>
      <c r="W920" s="68"/>
      <c r="X920" s="68"/>
      <c r="Y920" s="68"/>
      <c r="Z920" s="68"/>
      <c r="AA920" s="68"/>
      <c r="AB920" s="68"/>
      <c r="AC920" s="68"/>
      <c r="AD920" s="68"/>
      <c r="AE920" s="68"/>
      <c r="AF920" s="68"/>
      <c r="AG920" s="68"/>
      <c r="AH920" s="68"/>
      <c r="AI920" s="68"/>
      <c r="AJ920" s="68"/>
      <c r="AK920" s="68"/>
      <c r="AL920" s="68"/>
      <c r="AM920" s="68"/>
      <c r="AN920" s="68"/>
    </row>
    <row r="921" spans="17:40">
      <c r="Q921" s="68"/>
      <c r="R921" s="68"/>
      <c r="S921" s="68"/>
      <c r="T921" s="68"/>
      <c r="U921" s="68"/>
      <c r="V921" s="68"/>
      <c r="W921" s="68"/>
      <c r="X921" s="68"/>
      <c r="Y921" s="68"/>
      <c r="Z921" s="68"/>
      <c r="AA921" s="68"/>
      <c r="AB921" s="68"/>
      <c r="AC921" s="68"/>
      <c r="AD921" s="68"/>
      <c r="AE921" s="68"/>
      <c r="AF921" s="68"/>
      <c r="AG921" s="68"/>
      <c r="AH921" s="68"/>
      <c r="AI921" s="68"/>
      <c r="AJ921" s="68"/>
      <c r="AK921" s="68"/>
      <c r="AL921" s="68"/>
      <c r="AM921" s="68"/>
      <c r="AN921" s="68"/>
    </row>
    <row r="922" spans="17:40">
      <c r="Q922" s="68"/>
      <c r="R922" s="68"/>
      <c r="S922" s="68"/>
      <c r="T922" s="68"/>
      <c r="U922" s="68"/>
      <c r="V922" s="68"/>
      <c r="W922" s="68"/>
      <c r="X922" s="68"/>
      <c r="Y922" s="68"/>
      <c r="Z922" s="68"/>
      <c r="AA922" s="68"/>
      <c r="AB922" s="68"/>
      <c r="AC922" s="68"/>
      <c r="AD922" s="68"/>
      <c r="AE922" s="68"/>
      <c r="AF922" s="68"/>
      <c r="AG922" s="68"/>
      <c r="AH922" s="68"/>
      <c r="AI922" s="68"/>
      <c r="AJ922" s="68"/>
      <c r="AK922" s="68"/>
      <c r="AL922" s="68"/>
      <c r="AM922" s="68"/>
      <c r="AN922" s="68"/>
    </row>
    <row r="923" spans="17:40">
      <c r="Q923" s="68"/>
      <c r="R923" s="68"/>
      <c r="S923" s="68"/>
      <c r="T923" s="68"/>
      <c r="U923" s="68"/>
      <c r="V923" s="68"/>
      <c r="W923" s="68"/>
      <c r="X923" s="68"/>
      <c r="Y923" s="68"/>
      <c r="Z923" s="68"/>
      <c r="AA923" s="68"/>
      <c r="AB923" s="68"/>
      <c r="AC923" s="68"/>
      <c r="AD923" s="68"/>
      <c r="AE923" s="68"/>
      <c r="AF923" s="68"/>
      <c r="AG923" s="68"/>
      <c r="AH923" s="68"/>
      <c r="AI923" s="68"/>
      <c r="AJ923" s="68"/>
      <c r="AK923" s="68"/>
      <c r="AL923" s="68"/>
      <c r="AM923" s="68"/>
      <c r="AN923" s="68"/>
    </row>
    <row r="924" spans="17:40">
      <c r="Q924" s="68"/>
      <c r="R924" s="68"/>
      <c r="S924" s="68"/>
      <c r="T924" s="68"/>
      <c r="U924" s="68"/>
      <c r="V924" s="68"/>
      <c r="W924" s="68"/>
      <c r="X924" s="68"/>
      <c r="Y924" s="68"/>
      <c r="Z924" s="68"/>
      <c r="AA924" s="68"/>
      <c r="AB924" s="68"/>
      <c r="AC924" s="68"/>
      <c r="AD924" s="68"/>
      <c r="AE924" s="68"/>
      <c r="AF924" s="68"/>
      <c r="AG924" s="68"/>
      <c r="AH924" s="68"/>
      <c r="AI924" s="68"/>
      <c r="AJ924" s="68"/>
      <c r="AK924" s="68"/>
      <c r="AL924" s="68"/>
      <c r="AM924" s="68"/>
      <c r="AN924" s="68"/>
    </row>
    <row r="925" spans="17:40">
      <c r="Q925" s="68"/>
      <c r="R925" s="68"/>
      <c r="S925" s="68"/>
      <c r="T925" s="68"/>
      <c r="U925" s="68"/>
      <c r="V925" s="68"/>
      <c r="W925" s="68"/>
      <c r="X925" s="68"/>
      <c r="Y925" s="68"/>
      <c r="Z925" s="68"/>
      <c r="AA925" s="68"/>
      <c r="AB925" s="68"/>
      <c r="AC925" s="68"/>
      <c r="AD925" s="68"/>
      <c r="AE925" s="68"/>
      <c r="AF925" s="68"/>
      <c r="AG925" s="68"/>
      <c r="AH925" s="68"/>
      <c r="AI925" s="68"/>
      <c r="AJ925" s="68"/>
      <c r="AK925" s="68"/>
      <c r="AL925" s="68"/>
      <c r="AM925" s="68"/>
      <c r="AN925" s="68"/>
    </row>
    <row r="926" spans="17:40">
      <c r="Q926" s="68"/>
      <c r="R926" s="68"/>
      <c r="S926" s="68"/>
      <c r="T926" s="68"/>
      <c r="U926" s="68"/>
      <c r="V926" s="68"/>
      <c r="W926" s="68"/>
      <c r="X926" s="68"/>
      <c r="Y926" s="68"/>
      <c r="Z926" s="68"/>
      <c r="AA926" s="68"/>
      <c r="AB926" s="68"/>
      <c r="AC926" s="68"/>
      <c r="AD926" s="68"/>
      <c r="AE926" s="68"/>
      <c r="AF926" s="68"/>
      <c r="AG926" s="68"/>
      <c r="AH926" s="68"/>
      <c r="AI926" s="68"/>
      <c r="AJ926" s="68"/>
      <c r="AK926" s="68"/>
      <c r="AL926" s="68"/>
      <c r="AM926" s="68"/>
      <c r="AN926" s="68"/>
    </row>
    <row r="927" spans="17:40">
      <c r="Q927" s="68"/>
      <c r="R927" s="68"/>
      <c r="S927" s="68"/>
      <c r="T927" s="68"/>
      <c r="U927" s="68"/>
      <c r="V927" s="68"/>
      <c r="W927" s="68"/>
      <c r="X927" s="68"/>
      <c r="Y927" s="68"/>
      <c r="Z927" s="68"/>
      <c r="AA927" s="68"/>
      <c r="AB927" s="68"/>
      <c r="AC927" s="68"/>
      <c r="AD927" s="68"/>
      <c r="AE927" s="68"/>
      <c r="AF927" s="68"/>
      <c r="AG927" s="68"/>
      <c r="AH927" s="68"/>
      <c r="AI927" s="68"/>
      <c r="AJ927" s="68"/>
      <c r="AK927" s="68"/>
      <c r="AL927" s="68"/>
      <c r="AM927" s="68"/>
      <c r="AN927" s="68"/>
    </row>
    <row r="928" spans="17:40">
      <c r="Q928" s="68"/>
      <c r="R928" s="68"/>
      <c r="S928" s="68"/>
      <c r="T928" s="68"/>
      <c r="U928" s="68"/>
      <c r="V928" s="68"/>
      <c r="W928" s="68"/>
      <c r="X928" s="68"/>
      <c r="Y928" s="68"/>
      <c r="Z928" s="68"/>
      <c r="AA928" s="68"/>
      <c r="AB928" s="68"/>
      <c r="AC928" s="68"/>
      <c r="AD928" s="68"/>
      <c r="AE928" s="68"/>
      <c r="AF928" s="68"/>
      <c r="AG928" s="68"/>
      <c r="AH928" s="68"/>
      <c r="AI928" s="68"/>
      <c r="AJ928" s="68"/>
      <c r="AK928" s="68"/>
      <c r="AL928" s="68"/>
      <c r="AM928" s="68"/>
      <c r="AN928" s="68"/>
    </row>
    <row r="929" spans="17:40">
      <c r="Q929" s="68"/>
      <c r="R929" s="68"/>
      <c r="S929" s="68"/>
      <c r="T929" s="68"/>
      <c r="U929" s="68"/>
      <c r="V929" s="68"/>
      <c r="W929" s="68"/>
      <c r="X929" s="68"/>
      <c r="Y929" s="68"/>
      <c r="Z929" s="68"/>
      <c r="AA929" s="68"/>
      <c r="AB929" s="68"/>
      <c r="AC929" s="68"/>
      <c r="AD929" s="68"/>
      <c r="AE929" s="68"/>
      <c r="AF929" s="68"/>
      <c r="AG929" s="68"/>
      <c r="AH929" s="68"/>
      <c r="AI929" s="68"/>
      <c r="AJ929" s="68"/>
      <c r="AK929" s="68"/>
      <c r="AL929" s="68"/>
      <c r="AM929" s="68"/>
      <c r="AN929" s="68"/>
    </row>
    <row r="930" spans="17:40">
      <c r="Q930" s="68"/>
      <c r="R930" s="68"/>
      <c r="S930" s="68"/>
      <c r="T930" s="68"/>
      <c r="U930" s="68"/>
      <c r="V930" s="68"/>
      <c r="W930" s="68"/>
      <c r="X930" s="68"/>
      <c r="Y930" s="68"/>
      <c r="Z930" s="68"/>
      <c r="AA930" s="68"/>
      <c r="AB930" s="68"/>
      <c r="AC930" s="68"/>
      <c r="AD930" s="68"/>
      <c r="AE930" s="68"/>
      <c r="AF930" s="68"/>
      <c r="AG930" s="68"/>
      <c r="AH930" s="68"/>
      <c r="AI930" s="68"/>
      <c r="AJ930" s="68"/>
      <c r="AK930" s="68"/>
      <c r="AL930" s="68"/>
      <c r="AM930" s="68"/>
      <c r="AN930" s="68"/>
    </row>
    <row r="931" spans="17:40">
      <c r="Q931" s="68"/>
      <c r="R931" s="68"/>
      <c r="S931" s="68"/>
      <c r="T931" s="68"/>
      <c r="U931" s="68"/>
      <c r="V931" s="68"/>
      <c r="W931" s="68"/>
      <c r="X931" s="68"/>
      <c r="Y931" s="68"/>
      <c r="Z931" s="68"/>
      <c r="AA931" s="68"/>
      <c r="AB931" s="68"/>
      <c r="AC931" s="68"/>
      <c r="AD931" s="68"/>
      <c r="AE931" s="68"/>
      <c r="AF931" s="68"/>
      <c r="AG931" s="68"/>
      <c r="AH931" s="68"/>
      <c r="AI931" s="68"/>
      <c r="AJ931" s="68"/>
      <c r="AK931" s="68"/>
      <c r="AL931" s="68"/>
      <c r="AM931" s="68"/>
      <c r="AN931" s="68"/>
    </row>
    <row r="932" spans="17:40">
      <c r="Q932" s="68"/>
      <c r="R932" s="68"/>
      <c r="S932" s="68"/>
      <c r="T932" s="68"/>
      <c r="U932" s="68"/>
      <c r="V932" s="68"/>
      <c r="W932" s="68"/>
      <c r="X932" s="68"/>
      <c r="Y932" s="68"/>
      <c r="Z932" s="68"/>
      <c r="AA932" s="68"/>
      <c r="AB932" s="68"/>
      <c r="AC932" s="68"/>
      <c r="AD932" s="68"/>
      <c r="AE932" s="68"/>
      <c r="AF932" s="68"/>
      <c r="AG932" s="68"/>
      <c r="AH932" s="68"/>
      <c r="AI932" s="68"/>
      <c r="AJ932" s="68"/>
      <c r="AK932" s="68"/>
      <c r="AL932" s="68"/>
      <c r="AM932" s="68"/>
      <c r="AN932" s="68"/>
    </row>
    <row r="933" spans="17:40">
      <c r="Q933" s="68"/>
      <c r="R933" s="68"/>
      <c r="S933" s="68"/>
      <c r="T933" s="68"/>
      <c r="U933" s="68"/>
      <c r="V933" s="68"/>
      <c r="W933" s="68"/>
      <c r="X933" s="68"/>
      <c r="Y933" s="68"/>
      <c r="Z933" s="68"/>
      <c r="AA933" s="68"/>
      <c r="AB933" s="68"/>
      <c r="AC933" s="68"/>
      <c r="AD933" s="68"/>
      <c r="AE933" s="68"/>
      <c r="AF933" s="68"/>
      <c r="AG933" s="68"/>
      <c r="AH933" s="68"/>
      <c r="AI933" s="68"/>
      <c r="AJ933" s="68"/>
      <c r="AK933" s="68"/>
      <c r="AL933" s="68"/>
      <c r="AM933" s="68"/>
      <c r="AN933" s="68"/>
    </row>
    <row r="934" spans="17:40">
      <c r="Q934" s="68"/>
      <c r="R934" s="68"/>
      <c r="S934" s="68"/>
      <c r="T934" s="68"/>
      <c r="U934" s="68"/>
      <c r="V934" s="68"/>
      <c r="W934" s="68"/>
      <c r="X934" s="68"/>
      <c r="Y934" s="68"/>
      <c r="Z934" s="68"/>
      <c r="AA934" s="68"/>
      <c r="AB934" s="68"/>
      <c r="AC934" s="68"/>
      <c r="AD934" s="68"/>
      <c r="AE934" s="68"/>
      <c r="AF934" s="68"/>
      <c r="AG934" s="68"/>
      <c r="AH934" s="68"/>
      <c r="AI934" s="68"/>
      <c r="AJ934" s="68"/>
      <c r="AK934" s="68"/>
      <c r="AL934" s="68"/>
      <c r="AM934" s="68"/>
      <c r="AN934" s="68"/>
    </row>
    <row r="935" spans="17:40">
      <c r="Q935" s="68"/>
      <c r="R935" s="68"/>
      <c r="S935" s="68"/>
      <c r="T935" s="68"/>
      <c r="U935" s="68"/>
      <c r="V935" s="68"/>
      <c r="W935" s="68"/>
      <c r="X935" s="68"/>
      <c r="Y935" s="68"/>
      <c r="Z935" s="68"/>
      <c r="AA935" s="68"/>
      <c r="AB935" s="68"/>
      <c r="AC935" s="68"/>
      <c r="AD935" s="68"/>
      <c r="AE935" s="68"/>
      <c r="AF935" s="68"/>
      <c r="AG935" s="68"/>
      <c r="AH935" s="68"/>
      <c r="AI935" s="68"/>
      <c r="AJ935" s="68"/>
      <c r="AK935" s="68"/>
      <c r="AL935" s="68"/>
      <c r="AM935" s="68"/>
      <c r="AN935" s="68"/>
    </row>
    <row r="936" spans="17:40">
      <c r="Q936" s="68"/>
      <c r="R936" s="68"/>
      <c r="S936" s="68"/>
      <c r="T936" s="68"/>
      <c r="U936" s="68"/>
      <c r="V936" s="68"/>
      <c r="W936" s="68"/>
      <c r="X936" s="68"/>
      <c r="Y936" s="68"/>
      <c r="Z936" s="68"/>
      <c r="AA936" s="68"/>
      <c r="AB936" s="68"/>
      <c r="AC936" s="68"/>
      <c r="AD936" s="68"/>
      <c r="AE936" s="68"/>
      <c r="AF936" s="68"/>
      <c r="AG936" s="68"/>
      <c r="AH936" s="68"/>
      <c r="AI936" s="68"/>
      <c r="AJ936" s="68"/>
      <c r="AK936" s="68"/>
      <c r="AL936" s="68"/>
      <c r="AM936" s="68"/>
      <c r="AN936" s="68"/>
    </row>
    <row r="937" spans="17:40">
      <c r="Q937" s="68"/>
      <c r="R937" s="68"/>
      <c r="S937" s="68"/>
      <c r="T937" s="68"/>
      <c r="U937" s="68"/>
      <c r="V937" s="68"/>
      <c r="W937" s="68"/>
      <c r="X937" s="68"/>
      <c r="Y937" s="68"/>
      <c r="Z937" s="68"/>
      <c r="AA937" s="68"/>
      <c r="AB937" s="68"/>
      <c r="AC937" s="68"/>
      <c r="AD937" s="68"/>
      <c r="AE937" s="68"/>
      <c r="AF937" s="68"/>
      <c r="AG937" s="68"/>
      <c r="AH937" s="68"/>
      <c r="AI937" s="68"/>
      <c r="AJ937" s="68"/>
      <c r="AK937" s="68"/>
      <c r="AL937" s="68"/>
      <c r="AM937" s="68"/>
      <c r="AN937" s="68"/>
    </row>
    <row r="938" spans="17:40">
      <c r="Q938" s="68"/>
      <c r="R938" s="68"/>
      <c r="S938" s="68"/>
      <c r="T938" s="68"/>
      <c r="U938" s="68"/>
      <c r="V938" s="68"/>
      <c r="W938" s="68"/>
      <c r="X938" s="68"/>
      <c r="Y938" s="68"/>
      <c r="Z938" s="68"/>
      <c r="AA938" s="68"/>
      <c r="AB938" s="68"/>
      <c r="AC938" s="68"/>
      <c r="AD938" s="68"/>
      <c r="AE938" s="68"/>
      <c r="AF938" s="68"/>
      <c r="AG938" s="68"/>
      <c r="AH938" s="68"/>
      <c r="AI938" s="68"/>
      <c r="AJ938" s="68"/>
      <c r="AK938" s="68"/>
      <c r="AL938" s="68"/>
      <c r="AM938" s="68"/>
      <c r="AN938" s="68"/>
    </row>
    <row r="939" spans="17:40">
      <c r="Q939" s="68"/>
      <c r="R939" s="68"/>
      <c r="S939" s="68"/>
      <c r="T939" s="68"/>
      <c r="U939" s="68"/>
      <c r="V939" s="68"/>
      <c r="W939" s="68"/>
      <c r="X939" s="68"/>
      <c r="Y939" s="68"/>
      <c r="Z939" s="68"/>
      <c r="AA939" s="68"/>
      <c r="AB939" s="68"/>
      <c r="AC939" s="68"/>
      <c r="AD939" s="68"/>
      <c r="AE939" s="68"/>
      <c r="AF939" s="68"/>
      <c r="AG939" s="68"/>
      <c r="AH939" s="68"/>
      <c r="AI939" s="68"/>
      <c r="AJ939" s="68"/>
      <c r="AK939" s="68"/>
      <c r="AL939" s="68"/>
      <c r="AM939" s="68"/>
      <c r="AN939" s="68"/>
    </row>
    <row r="940" spans="17:40">
      <c r="Q940" s="68"/>
      <c r="R940" s="68"/>
      <c r="S940" s="68"/>
      <c r="T940" s="68"/>
      <c r="U940" s="68"/>
      <c r="V940" s="68"/>
      <c r="W940" s="68"/>
      <c r="X940" s="68"/>
      <c r="Y940" s="68"/>
      <c r="Z940" s="68"/>
      <c r="AA940" s="68"/>
      <c r="AB940" s="68"/>
      <c r="AC940" s="68"/>
      <c r="AD940" s="68"/>
      <c r="AE940" s="68"/>
      <c r="AF940" s="68"/>
      <c r="AG940" s="68"/>
      <c r="AH940" s="68"/>
      <c r="AI940" s="68"/>
      <c r="AJ940" s="68"/>
      <c r="AK940" s="68"/>
      <c r="AL940" s="68"/>
      <c r="AM940" s="68"/>
      <c r="AN940" s="68"/>
    </row>
    <row r="941" spans="17:40">
      <c r="Q941" s="68"/>
      <c r="R941" s="68"/>
      <c r="S941" s="68"/>
      <c r="T941" s="68"/>
      <c r="U941" s="68"/>
      <c r="V941" s="68"/>
      <c r="W941" s="68"/>
      <c r="X941" s="68"/>
      <c r="Y941" s="68"/>
      <c r="Z941" s="68"/>
      <c r="AA941" s="68"/>
      <c r="AB941" s="68"/>
      <c r="AC941" s="68"/>
      <c r="AD941" s="68"/>
      <c r="AE941" s="68"/>
      <c r="AF941" s="68"/>
      <c r="AG941" s="68"/>
      <c r="AH941" s="68"/>
      <c r="AI941" s="68"/>
      <c r="AJ941" s="68"/>
      <c r="AK941" s="68"/>
      <c r="AL941" s="68"/>
      <c r="AM941" s="68"/>
      <c r="AN941" s="68"/>
    </row>
    <row r="942" spans="17:40"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8"/>
      <c r="AB942" s="68"/>
      <c r="AC942" s="68"/>
      <c r="AD942" s="68"/>
      <c r="AE942" s="68"/>
      <c r="AF942" s="68"/>
      <c r="AG942" s="68"/>
      <c r="AH942" s="68"/>
      <c r="AI942" s="68"/>
      <c r="AJ942" s="68"/>
      <c r="AK942" s="68"/>
      <c r="AL942" s="68"/>
      <c r="AM942" s="68"/>
      <c r="AN942" s="68"/>
    </row>
    <row r="943" spans="17:40">
      <c r="Q943" s="68"/>
      <c r="R943" s="68"/>
      <c r="S943" s="68"/>
      <c r="T943" s="68"/>
      <c r="U943" s="68"/>
      <c r="V943" s="68"/>
      <c r="W943" s="68"/>
      <c r="X943" s="68"/>
      <c r="Y943" s="68"/>
      <c r="Z943" s="68"/>
      <c r="AA943" s="68"/>
      <c r="AB943" s="68"/>
      <c r="AC943" s="68"/>
      <c r="AD943" s="68"/>
      <c r="AE943" s="68"/>
      <c r="AF943" s="68"/>
      <c r="AG943" s="68"/>
      <c r="AH943" s="68"/>
      <c r="AI943" s="68"/>
      <c r="AJ943" s="68"/>
      <c r="AK943" s="68"/>
      <c r="AL943" s="68"/>
      <c r="AM943" s="68"/>
      <c r="AN943" s="68"/>
    </row>
    <row r="944" spans="17:40">
      <c r="Q944" s="68"/>
      <c r="R944" s="68"/>
      <c r="S944" s="68"/>
      <c r="T944" s="68"/>
      <c r="U944" s="68"/>
      <c r="V944" s="68"/>
      <c r="W944" s="68"/>
      <c r="X944" s="68"/>
      <c r="Y944" s="68"/>
      <c r="Z944" s="68"/>
      <c r="AA944" s="68"/>
      <c r="AB944" s="68"/>
      <c r="AC944" s="68"/>
      <c r="AD944" s="68"/>
      <c r="AE944" s="68"/>
      <c r="AF944" s="68"/>
      <c r="AG944" s="68"/>
      <c r="AH944" s="68"/>
      <c r="AI944" s="68"/>
      <c r="AJ944" s="68"/>
      <c r="AK944" s="68"/>
      <c r="AL944" s="68"/>
      <c r="AM944" s="68"/>
      <c r="AN944" s="68"/>
    </row>
    <row r="945" spans="17:40">
      <c r="Q945" s="68"/>
      <c r="R945" s="68"/>
      <c r="S945" s="68"/>
      <c r="T945" s="68"/>
      <c r="U945" s="68"/>
      <c r="V945" s="68"/>
      <c r="W945" s="68"/>
      <c r="X945" s="68"/>
      <c r="Y945" s="68"/>
      <c r="Z945" s="68"/>
      <c r="AA945" s="68"/>
      <c r="AB945" s="68"/>
      <c r="AC945" s="68"/>
      <c r="AD945" s="68"/>
      <c r="AE945" s="68"/>
      <c r="AF945" s="68"/>
      <c r="AG945" s="68"/>
      <c r="AH945" s="68"/>
      <c r="AI945" s="68"/>
      <c r="AJ945" s="68"/>
      <c r="AK945" s="68"/>
      <c r="AL945" s="68"/>
      <c r="AM945" s="68"/>
      <c r="AN945" s="68"/>
    </row>
    <row r="946" spans="17:40">
      <c r="Q946" s="68"/>
      <c r="R946" s="68"/>
      <c r="S946" s="68"/>
      <c r="T946" s="68"/>
      <c r="U946" s="68"/>
      <c r="V946" s="68"/>
      <c r="W946" s="68"/>
      <c r="X946" s="68"/>
      <c r="Y946" s="68"/>
      <c r="Z946" s="68"/>
      <c r="AA946" s="68"/>
      <c r="AB946" s="68"/>
      <c r="AC946" s="68"/>
      <c r="AD946" s="68"/>
      <c r="AE946" s="68"/>
      <c r="AF946" s="68"/>
      <c r="AG946" s="68"/>
      <c r="AH946" s="68"/>
      <c r="AI946" s="68"/>
      <c r="AJ946" s="68"/>
      <c r="AK946" s="68"/>
      <c r="AL946" s="68"/>
      <c r="AM946" s="68"/>
      <c r="AN946" s="68"/>
    </row>
    <row r="947" spans="17:40">
      <c r="Q947" s="68"/>
      <c r="R947" s="68"/>
      <c r="S947" s="68"/>
      <c r="T947" s="68"/>
      <c r="U947" s="68"/>
      <c r="V947" s="68"/>
      <c r="W947" s="68"/>
      <c r="X947" s="68"/>
      <c r="Y947" s="68"/>
      <c r="Z947" s="68"/>
      <c r="AA947" s="68"/>
      <c r="AB947" s="68"/>
      <c r="AC947" s="68"/>
      <c r="AD947" s="68"/>
      <c r="AE947" s="68"/>
      <c r="AF947" s="68"/>
      <c r="AG947" s="68"/>
      <c r="AH947" s="68"/>
      <c r="AI947" s="68"/>
      <c r="AJ947" s="68"/>
      <c r="AK947" s="68"/>
      <c r="AL947" s="68"/>
      <c r="AM947" s="68"/>
      <c r="AN947" s="68"/>
    </row>
    <row r="948" spans="17:40">
      <c r="Q948" s="68"/>
      <c r="R948" s="68"/>
      <c r="S948" s="68"/>
      <c r="T948" s="68"/>
      <c r="U948" s="68"/>
      <c r="V948" s="68"/>
      <c r="W948" s="68"/>
      <c r="X948" s="68"/>
      <c r="Y948" s="68"/>
      <c r="Z948" s="68"/>
      <c r="AA948" s="68"/>
      <c r="AB948" s="68"/>
      <c r="AC948" s="68"/>
      <c r="AD948" s="68"/>
      <c r="AE948" s="68"/>
      <c r="AF948" s="68"/>
      <c r="AG948" s="68"/>
      <c r="AH948" s="68"/>
      <c r="AI948" s="68"/>
      <c r="AJ948" s="68"/>
      <c r="AK948" s="68"/>
      <c r="AL948" s="68"/>
      <c r="AM948" s="68"/>
      <c r="AN948" s="68"/>
    </row>
    <row r="949" spans="17:40">
      <c r="Q949" s="68"/>
      <c r="R949" s="68"/>
      <c r="S949" s="68"/>
      <c r="T949" s="68"/>
      <c r="U949" s="68"/>
      <c r="V949" s="68"/>
      <c r="W949" s="68"/>
      <c r="X949" s="68"/>
      <c r="Y949" s="68"/>
      <c r="Z949" s="68"/>
      <c r="AA949" s="68"/>
      <c r="AB949" s="68"/>
      <c r="AC949" s="68"/>
      <c r="AD949" s="68"/>
      <c r="AE949" s="68"/>
      <c r="AF949" s="68"/>
      <c r="AG949" s="68"/>
      <c r="AH949" s="68"/>
      <c r="AI949" s="68"/>
      <c r="AJ949" s="68"/>
      <c r="AK949" s="68"/>
      <c r="AL949" s="68"/>
      <c r="AM949" s="68"/>
      <c r="AN949" s="68"/>
    </row>
    <row r="950" spans="17:40"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8"/>
      <c r="AB950" s="68"/>
      <c r="AC950" s="68"/>
      <c r="AD950" s="68"/>
      <c r="AE950" s="68"/>
      <c r="AF950" s="68"/>
      <c r="AG950" s="68"/>
      <c r="AH950" s="68"/>
      <c r="AI950" s="68"/>
      <c r="AJ950" s="68"/>
      <c r="AK950" s="68"/>
      <c r="AL950" s="68"/>
      <c r="AM950" s="68"/>
      <c r="AN950" s="68"/>
    </row>
    <row r="951" spans="17:40">
      <c r="Q951" s="68"/>
      <c r="R951" s="68"/>
      <c r="S951" s="68"/>
      <c r="T951" s="68"/>
      <c r="U951" s="68"/>
      <c r="V951" s="68"/>
      <c r="W951" s="68"/>
      <c r="X951" s="68"/>
      <c r="Y951" s="68"/>
      <c r="Z951" s="68"/>
      <c r="AA951" s="68"/>
      <c r="AB951" s="68"/>
      <c r="AC951" s="68"/>
      <c r="AD951" s="68"/>
      <c r="AE951" s="68"/>
      <c r="AF951" s="68"/>
      <c r="AG951" s="68"/>
      <c r="AH951" s="68"/>
      <c r="AI951" s="68"/>
      <c r="AJ951" s="68"/>
      <c r="AK951" s="68"/>
      <c r="AL951" s="68"/>
      <c r="AM951" s="68"/>
      <c r="AN951" s="68"/>
    </row>
    <row r="952" spans="17:40">
      <c r="Q952" s="68"/>
      <c r="R952" s="68"/>
      <c r="S952" s="68"/>
      <c r="T952" s="68"/>
      <c r="U952" s="68"/>
      <c r="V952" s="68"/>
      <c r="W952" s="68"/>
      <c r="X952" s="68"/>
      <c r="Y952" s="68"/>
      <c r="Z952" s="68"/>
      <c r="AA952" s="68"/>
      <c r="AB952" s="68"/>
      <c r="AC952" s="68"/>
      <c r="AD952" s="68"/>
      <c r="AE952" s="68"/>
      <c r="AF952" s="68"/>
      <c r="AG952" s="68"/>
      <c r="AH952" s="68"/>
      <c r="AI952" s="68"/>
      <c r="AJ952" s="68"/>
      <c r="AK952" s="68"/>
      <c r="AL952" s="68"/>
      <c r="AM952" s="68"/>
      <c r="AN952" s="68"/>
    </row>
    <row r="953" spans="17:40">
      <c r="Q953" s="68"/>
      <c r="R953" s="68"/>
      <c r="S953" s="68"/>
      <c r="T953" s="68"/>
      <c r="U953" s="68"/>
      <c r="V953" s="68"/>
      <c r="W953" s="68"/>
      <c r="X953" s="68"/>
      <c r="Y953" s="68"/>
      <c r="Z953" s="68"/>
      <c r="AA953" s="68"/>
      <c r="AB953" s="68"/>
      <c r="AC953" s="68"/>
      <c r="AD953" s="68"/>
      <c r="AE953" s="68"/>
      <c r="AF953" s="68"/>
      <c r="AG953" s="68"/>
      <c r="AH953" s="68"/>
      <c r="AI953" s="68"/>
      <c r="AJ953" s="68"/>
      <c r="AK953" s="68"/>
      <c r="AL953" s="68"/>
      <c r="AM953" s="68"/>
      <c r="AN953" s="68"/>
    </row>
    <row r="954" spans="17:40">
      <c r="Q954" s="68"/>
      <c r="R954" s="68"/>
      <c r="S954" s="68"/>
      <c r="T954" s="68"/>
      <c r="U954" s="68"/>
      <c r="V954" s="68"/>
      <c r="W954" s="68"/>
      <c r="X954" s="68"/>
      <c r="Y954" s="68"/>
      <c r="Z954" s="68"/>
      <c r="AA954" s="68"/>
      <c r="AB954" s="68"/>
      <c r="AC954" s="68"/>
      <c r="AD954" s="68"/>
      <c r="AE954" s="68"/>
      <c r="AF954" s="68"/>
      <c r="AG954" s="68"/>
      <c r="AH954" s="68"/>
      <c r="AI954" s="68"/>
      <c r="AJ954" s="68"/>
      <c r="AK954" s="68"/>
      <c r="AL954" s="68"/>
      <c r="AM954" s="68"/>
      <c r="AN954" s="68"/>
    </row>
    <row r="955" spans="17:40">
      <c r="Q955" s="68"/>
      <c r="R955" s="68"/>
      <c r="S955" s="68"/>
      <c r="T955" s="68"/>
      <c r="U955" s="68"/>
      <c r="V955" s="68"/>
      <c r="W955" s="68"/>
      <c r="X955" s="68"/>
      <c r="Y955" s="68"/>
      <c r="Z955" s="68"/>
      <c r="AA955" s="68"/>
      <c r="AB955" s="68"/>
      <c r="AC955" s="68"/>
      <c r="AD955" s="68"/>
      <c r="AE955" s="68"/>
      <c r="AF955" s="68"/>
      <c r="AG955" s="68"/>
      <c r="AH955" s="68"/>
      <c r="AI955" s="68"/>
      <c r="AJ955" s="68"/>
      <c r="AK955" s="68"/>
      <c r="AL955" s="68"/>
      <c r="AM955" s="68"/>
      <c r="AN955" s="68"/>
    </row>
    <row r="956" spans="17:40">
      <c r="Q956" s="68"/>
      <c r="R956" s="68"/>
      <c r="S956" s="68"/>
      <c r="T956" s="68"/>
      <c r="U956" s="68"/>
      <c r="V956" s="68"/>
      <c r="W956" s="68"/>
      <c r="X956" s="68"/>
      <c r="Y956" s="68"/>
      <c r="Z956" s="68"/>
      <c r="AA956" s="68"/>
      <c r="AB956" s="68"/>
      <c r="AC956" s="68"/>
      <c r="AD956" s="68"/>
      <c r="AE956" s="68"/>
      <c r="AF956" s="68"/>
      <c r="AG956" s="68"/>
      <c r="AH956" s="68"/>
      <c r="AI956" s="68"/>
      <c r="AJ956" s="68"/>
      <c r="AK956" s="68"/>
      <c r="AL956" s="68"/>
      <c r="AM956" s="68"/>
      <c r="AN956" s="68"/>
    </row>
    <row r="957" spans="17:40">
      <c r="Q957" s="68"/>
      <c r="R957" s="68"/>
      <c r="S957" s="68"/>
      <c r="T957" s="68"/>
      <c r="U957" s="68"/>
      <c r="V957" s="68"/>
      <c r="W957" s="68"/>
      <c r="X957" s="68"/>
      <c r="Y957" s="68"/>
      <c r="Z957" s="68"/>
      <c r="AA957" s="68"/>
      <c r="AB957" s="68"/>
      <c r="AC957" s="68"/>
      <c r="AD957" s="68"/>
      <c r="AE957" s="68"/>
      <c r="AF957" s="68"/>
      <c r="AG957" s="68"/>
      <c r="AH957" s="68"/>
      <c r="AI957" s="68"/>
      <c r="AJ957" s="68"/>
      <c r="AK957" s="68"/>
      <c r="AL957" s="68"/>
      <c r="AM957" s="68"/>
      <c r="AN957" s="68"/>
    </row>
    <row r="958" spans="17:40">
      <c r="Q958" s="68"/>
      <c r="R958" s="68"/>
      <c r="S958" s="68"/>
      <c r="T958" s="68"/>
      <c r="U958" s="68"/>
      <c r="V958" s="68"/>
      <c r="W958" s="68"/>
      <c r="X958" s="68"/>
      <c r="Y958" s="68"/>
      <c r="Z958" s="68"/>
      <c r="AA958" s="68"/>
      <c r="AB958" s="68"/>
      <c r="AC958" s="68"/>
      <c r="AD958" s="68"/>
      <c r="AE958" s="68"/>
      <c r="AF958" s="68"/>
      <c r="AG958" s="68"/>
      <c r="AH958" s="68"/>
      <c r="AI958" s="68"/>
      <c r="AJ958" s="68"/>
      <c r="AK958" s="68"/>
      <c r="AL958" s="68"/>
      <c r="AM958" s="68"/>
      <c r="AN958" s="68"/>
    </row>
    <row r="959" spans="17:40">
      <c r="Q959" s="68"/>
      <c r="R959" s="68"/>
      <c r="S959" s="68"/>
      <c r="T959" s="68"/>
      <c r="U959" s="68"/>
      <c r="V959" s="68"/>
      <c r="W959" s="68"/>
      <c r="X959" s="68"/>
      <c r="Y959" s="68"/>
      <c r="Z959" s="68"/>
      <c r="AA959" s="68"/>
      <c r="AB959" s="68"/>
      <c r="AC959" s="68"/>
      <c r="AD959" s="68"/>
      <c r="AE959" s="68"/>
      <c r="AF959" s="68"/>
      <c r="AG959" s="68"/>
      <c r="AH959" s="68"/>
      <c r="AI959" s="68"/>
      <c r="AJ959" s="68"/>
      <c r="AK959" s="68"/>
      <c r="AL959" s="68"/>
      <c r="AM959" s="68"/>
      <c r="AN959" s="68"/>
    </row>
    <row r="960" spans="17:40">
      <c r="Q960" s="68"/>
      <c r="R960" s="68"/>
      <c r="S960" s="68"/>
      <c r="T960" s="68"/>
      <c r="U960" s="68"/>
      <c r="V960" s="68"/>
      <c r="W960" s="68"/>
      <c r="X960" s="68"/>
      <c r="Y960" s="68"/>
      <c r="Z960" s="68"/>
      <c r="AA960" s="68"/>
      <c r="AB960" s="68"/>
      <c r="AC960" s="68"/>
      <c r="AD960" s="68"/>
      <c r="AE960" s="68"/>
      <c r="AF960" s="68"/>
      <c r="AG960" s="68"/>
      <c r="AH960" s="68"/>
      <c r="AI960" s="68"/>
      <c r="AJ960" s="68"/>
      <c r="AK960" s="68"/>
      <c r="AL960" s="68"/>
      <c r="AM960" s="68"/>
      <c r="AN960" s="68"/>
    </row>
    <row r="961" spans="17:40">
      <c r="Q961" s="68"/>
      <c r="R961" s="68"/>
      <c r="S961" s="68"/>
      <c r="T961" s="68"/>
      <c r="U961" s="68"/>
      <c r="V961" s="68"/>
      <c r="W961" s="68"/>
      <c r="X961" s="68"/>
      <c r="Y961" s="68"/>
      <c r="Z961" s="68"/>
      <c r="AA961" s="68"/>
      <c r="AB961" s="68"/>
      <c r="AC961" s="68"/>
      <c r="AD961" s="68"/>
      <c r="AE961" s="68"/>
      <c r="AF961" s="68"/>
      <c r="AG961" s="68"/>
      <c r="AH961" s="68"/>
      <c r="AI961" s="68"/>
      <c r="AJ961" s="68"/>
      <c r="AK961" s="68"/>
      <c r="AL961" s="68"/>
      <c r="AM961" s="68"/>
      <c r="AN961" s="68"/>
    </row>
    <row r="962" spans="17:40">
      <c r="Q962" s="68"/>
      <c r="R962" s="68"/>
      <c r="S962" s="68"/>
      <c r="T962" s="68"/>
      <c r="U962" s="68"/>
      <c r="V962" s="68"/>
      <c r="W962" s="68"/>
      <c r="X962" s="68"/>
      <c r="Y962" s="68"/>
      <c r="Z962" s="68"/>
      <c r="AA962" s="68"/>
      <c r="AB962" s="68"/>
      <c r="AC962" s="68"/>
      <c r="AD962" s="68"/>
      <c r="AE962" s="68"/>
      <c r="AF962" s="68"/>
      <c r="AG962" s="68"/>
      <c r="AH962" s="68"/>
      <c r="AI962" s="68"/>
      <c r="AJ962" s="68"/>
      <c r="AK962" s="68"/>
      <c r="AL962" s="68"/>
      <c r="AM962" s="68"/>
      <c r="AN962" s="68"/>
    </row>
    <row r="963" spans="17:40">
      <c r="Q963" s="68"/>
      <c r="R963" s="68"/>
      <c r="S963" s="68"/>
      <c r="T963" s="68"/>
      <c r="U963" s="68"/>
      <c r="V963" s="68"/>
      <c r="W963" s="68"/>
      <c r="X963" s="68"/>
      <c r="Y963" s="68"/>
      <c r="Z963" s="68"/>
      <c r="AA963" s="68"/>
      <c r="AB963" s="68"/>
      <c r="AC963" s="68"/>
      <c r="AD963" s="68"/>
      <c r="AE963" s="68"/>
      <c r="AF963" s="68"/>
      <c r="AG963" s="68"/>
      <c r="AH963" s="68"/>
      <c r="AI963" s="68"/>
      <c r="AJ963" s="68"/>
      <c r="AK963" s="68"/>
      <c r="AL963" s="68"/>
      <c r="AM963" s="68"/>
      <c r="AN963" s="68"/>
    </row>
    <row r="964" spans="17:40">
      <c r="Q964" s="68"/>
      <c r="R964" s="68"/>
      <c r="S964" s="68"/>
      <c r="T964" s="68"/>
      <c r="U964" s="68"/>
      <c r="V964" s="68"/>
      <c r="W964" s="68"/>
      <c r="X964" s="68"/>
      <c r="Y964" s="68"/>
      <c r="Z964" s="68"/>
      <c r="AA964" s="68"/>
      <c r="AB964" s="68"/>
      <c r="AC964" s="68"/>
      <c r="AD964" s="68"/>
      <c r="AE964" s="68"/>
      <c r="AF964" s="68"/>
      <c r="AG964" s="68"/>
      <c r="AH964" s="68"/>
      <c r="AI964" s="68"/>
      <c r="AJ964" s="68"/>
      <c r="AK964" s="68"/>
      <c r="AL964" s="68"/>
      <c r="AM964" s="68"/>
      <c r="AN964" s="68"/>
    </row>
    <row r="965" spans="17:40">
      <c r="Q965" s="68"/>
      <c r="R965" s="68"/>
      <c r="S965" s="68"/>
      <c r="T965" s="68"/>
      <c r="U965" s="68"/>
      <c r="V965" s="68"/>
      <c r="W965" s="68"/>
      <c r="X965" s="68"/>
      <c r="Y965" s="68"/>
      <c r="Z965" s="68"/>
      <c r="AA965" s="68"/>
      <c r="AB965" s="68"/>
      <c r="AC965" s="68"/>
      <c r="AD965" s="68"/>
      <c r="AE965" s="68"/>
      <c r="AF965" s="68"/>
      <c r="AG965" s="68"/>
      <c r="AH965" s="68"/>
      <c r="AI965" s="68"/>
      <c r="AJ965" s="68"/>
      <c r="AK965" s="68"/>
      <c r="AL965" s="68"/>
      <c r="AM965" s="68"/>
      <c r="AN965" s="68"/>
    </row>
    <row r="966" spans="17:40">
      <c r="Q966" s="68"/>
      <c r="R966" s="68"/>
      <c r="S966" s="68"/>
      <c r="T966" s="68"/>
      <c r="U966" s="68"/>
      <c r="V966" s="68"/>
      <c r="W966" s="68"/>
      <c r="X966" s="68"/>
      <c r="Y966" s="68"/>
      <c r="Z966" s="68"/>
      <c r="AA966" s="68"/>
      <c r="AB966" s="68"/>
      <c r="AC966" s="68"/>
      <c r="AD966" s="68"/>
      <c r="AE966" s="68"/>
      <c r="AF966" s="68"/>
      <c r="AG966" s="68"/>
      <c r="AH966" s="68"/>
      <c r="AI966" s="68"/>
      <c r="AJ966" s="68"/>
      <c r="AK966" s="68"/>
      <c r="AL966" s="68"/>
      <c r="AM966" s="68"/>
      <c r="AN966" s="68"/>
    </row>
    <row r="967" spans="17:40">
      <c r="Q967" s="68"/>
      <c r="R967" s="68"/>
      <c r="S967" s="68"/>
      <c r="T967" s="68"/>
      <c r="U967" s="68"/>
      <c r="V967" s="68"/>
      <c r="W967" s="68"/>
      <c r="X967" s="68"/>
      <c r="Y967" s="68"/>
      <c r="Z967" s="68"/>
      <c r="AA967" s="68"/>
      <c r="AB967" s="68"/>
      <c r="AC967" s="68"/>
      <c r="AD967" s="68"/>
      <c r="AE967" s="68"/>
      <c r="AF967" s="68"/>
      <c r="AG967" s="68"/>
      <c r="AH967" s="68"/>
      <c r="AI967" s="68"/>
      <c r="AJ967" s="68"/>
      <c r="AK967" s="68"/>
      <c r="AL967" s="68"/>
      <c r="AM967" s="68"/>
      <c r="AN967" s="68"/>
    </row>
    <row r="968" spans="17:40">
      <c r="Q968" s="68"/>
      <c r="R968" s="68"/>
      <c r="S968" s="68"/>
      <c r="T968" s="68"/>
      <c r="U968" s="68"/>
      <c r="V968" s="68"/>
      <c r="W968" s="68"/>
      <c r="X968" s="68"/>
      <c r="Y968" s="68"/>
      <c r="Z968" s="68"/>
      <c r="AA968" s="68"/>
      <c r="AB968" s="68"/>
      <c r="AC968" s="68"/>
      <c r="AD968" s="68"/>
      <c r="AE968" s="68"/>
      <c r="AF968" s="68"/>
      <c r="AG968" s="68"/>
      <c r="AH968" s="68"/>
      <c r="AI968" s="68"/>
      <c r="AJ968" s="68"/>
      <c r="AK968" s="68"/>
      <c r="AL968" s="68"/>
      <c r="AM968" s="68"/>
      <c r="AN968" s="68"/>
    </row>
    <row r="969" spans="17:40">
      <c r="Q969" s="68"/>
      <c r="R969" s="68"/>
      <c r="S969" s="68"/>
      <c r="T969" s="68"/>
      <c r="U969" s="68"/>
      <c r="V969" s="68"/>
      <c r="W969" s="68"/>
      <c r="X969" s="68"/>
      <c r="Y969" s="68"/>
      <c r="Z969" s="68"/>
      <c r="AA969" s="68"/>
      <c r="AB969" s="68"/>
      <c r="AC969" s="68"/>
      <c r="AD969" s="68"/>
      <c r="AE969" s="68"/>
      <c r="AF969" s="68"/>
      <c r="AG969" s="68"/>
      <c r="AH969" s="68"/>
      <c r="AI969" s="68"/>
      <c r="AJ969" s="68"/>
      <c r="AK969" s="68"/>
      <c r="AL969" s="68"/>
      <c r="AM969" s="68"/>
      <c r="AN969" s="68"/>
    </row>
    <row r="970" spans="17:40">
      <c r="Q970" s="68"/>
      <c r="R970" s="68"/>
      <c r="S970" s="68"/>
      <c r="T970" s="68"/>
      <c r="U970" s="68"/>
      <c r="V970" s="68"/>
      <c r="W970" s="68"/>
      <c r="X970" s="68"/>
      <c r="Y970" s="68"/>
      <c r="Z970" s="68"/>
      <c r="AA970" s="68"/>
      <c r="AB970" s="68"/>
      <c r="AC970" s="68"/>
      <c r="AD970" s="68"/>
      <c r="AE970" s="68"/>
      <c r="AF970" s="68"/>
      <c r="AG970" s="68"/>
      <c r="AH970" s="68"/>
      <c r="AI970" s="68"/>
      <c r="AJ970" s="68"/>
      <c r="AK970" s="68"/>
      <c r="AL970" s="68"/>
      <c r="AM970" s="68"/>
      <c r="AN970" s="68"/>
    </row>
    <row r="971" spans="17:40">
      <c r="Q971" s="68"/>
      <c r="R971" s="68"/>
      <c r="S971" s="68"/>
      <c r="T971" s="68"/>
      <c r="U971" s="68"/>
      <c r="V971" s="68"/>
      <c r="W971" s="68"/>
      <c r="X971" s="68"/>
      <c r="Y971" s="68"/>
      <c r="Z971" s="68"/>
      <c r="AA971" s="68"/>
      <c r="AB971" s="68"/>
      <c r="AC971" s="68"/>
      <c r="AD971" s="68"/>
      <c r="AE971" s="68"/>
      <c r="AF971" s="68"/>
      <c r="AG971" s="68"/>
      <c r="AH971" s="68"/>
      <c r="AI971" s="68"/>
      <c r="AJ971" s="68"/>
      <c r="AK971" s="68"/>
      <c r="AL971" s="68"/>
      <c r="AM971" s="68"/>
      <c r="AN971" s="68"/>
    </row>
    <row r="972" spans="17:40">
      <c r="Q972" s="68"/>
      <c r="R972" s="68"/>
      <c r="S972" s="68"/>
      <c r="T972" s="68"/>
      <c r="U972" s="68"/>
      <c r="V972" s="68"/>
      <c r="W972" s="68"/>
      <c r="X972" s="68"/>
      <c r="Y972" s="68"/>
      <c r="Z972" s="68"/>
      <c r="AA972" s="68"/>
      <c r="AB972" s="68"/>
      <c r="AC972" s="68"/>
      <c r="AD972" s="68"/>
      <c r="AE972" s="68"/>
      <c r="AF972" s="68"/>
      <c r="AG972" s="68"/>
      <c r="AH972" s="68"/>
      <c r="AI972" s="68"/>
      <c r="AJ972" s="68"/>
      <c r="AK972" s="68"/>
      <c r="AL972" s="68"/>
      <c r="AM972" s="68"/>
      <c r="AN972" s="68"/>
    </row>
    <row r="973" spans="17:40">
      <c r="Q973" s="68"/>
      <c r="R973" s="68"/>
      <c r="S973" s="68"/>
      <c r="T973" s="68"/>
      <c r="U973" s="68"/>
      <c r="V973" s="68"/>
      <c r="W973" s="68"/>
      <c r="X973" s="68"/>
      <c r="Y973" s="68"/>
      <c r="Z973" s="68"/>
      <c r="AA973" s="68"/>
      <c r="AB973" s="68"/>
      <c r="AC973" s="68"/>
      <c r="AD973" s="68"/>
      <c r="AE973" s="68"/>
      <c r="AF973" s="68"/>
      <c r="AG973" s="68"/>
      <c r="AH973" s="68"/>
      <c r="AI973" s="68"/>
      <c r="AJ973" s="68"/>
      <c r="AK973" s="68"/>
      <c r="AL973" s="68"/>
      <c r="AM973" s="68"/>
      <c r="AN973" s="68"/>
    </row>
    <row r="974" spans="17:40">
      <c r="Q974" s="68"/>
      <c r="R974" s="68"/>
      <c r="S974" s="68"/>
      <c r="T974" s="68"/>
      <c r="U974" s="68"/>
      <c r="V974" s="68"/>
      <c r="W974" s="68"/>
      <c r="X974" s="68"/>
      <c r="Y974" s="68"/>
      <c r="Z974" s="68"/>
      <c r="AA974" s="68"/>
      <c r="AB974" s="68"/>
      <c r="AC974" s="68"/>
      <c r="AD974" s="68"/>
      <c r="AE974" s="68"/>
      <c r="AF974" s="68"/>
      <c r="AG974" s="68"/>
      <c r="AH974" s="68"/>
      <c r="AI974" s="68"/>
      <c r="AJ974" s="68"/>
      <c r="AK974" s="68"/>
      <c r="AL974" s="68"/>
      <c r="AM974" s="68"/>
      <c r="AN974" s="68"/>
    </row>
    <row r="975" spans="17:40">
      <c r="Q975" s="68"/>
      <c r="R975" s="68"/>
      <c r="S975" s="68"/>
      <c r="T975" s="68"/>
      <c r="U975" s="68"/>
      <c r="V975" s="68"/>
      <c r="W975" s="68"/>
      <c r="X975" s="68"/>
      <c r="Y975" s="68"/>
      <c r="Z975" s="68"/>
      <c r="AA975" s="68"/>
      <c r="AB975" s="68"/>
      <c r="AC975" s="68"/>
      <c r="AD975" s="68"/>
      <c r="AE975" s="68"/>
      <c r="AF975" s="68"/>
      <c r="AG975" s="68"/>
      <c r="AH975" s="68"/>
      <c r="AI975" s="68"/>
      <c r="AJ975" s="68"/>
      <c r="AK975" s="68"/>
      <c r="AL975" s="68"/>
      <c r="AM975" s="68"/>
      <c r="AN975" s="68"/>
    </row>
    <row r="976" spans="17:40">
      <c r="Q976" s="68"/>
      <c r="R976" s="68"/>
      <c r="S976" s="68"/>
      <c r="T976" s="68"/>
      <c r="U976" s="68"/>
      <c r="V976" s="68"/>
      <c r="W976" s="68"/>
      <c r="X976" s="68"/>
      <c r="Y976" s="68"/>
      <c r="Z976" s="68"/>
      <c r="AA976" s="68"/>
      <c r="AB976" s="68"/>
      <c r="AC976" s="68"/>
      <c r="AD976" s="68"/>
      <c r="AE976" s="68"/>
      <c r="AF976" s="68"/>
      <c r="AG976" s="68"/>
      <c r="AH976" s="68"/>
      <c r="AI976" s="68"/>
      <c r="AJ976" s="68"/>
      <c r="AK976" s="68"/>
      <c r="AL976" s="68"/>
      <c r="AM976" s="68"/>
      <c r="AN976" s="68"/>
    </row>
    <row r="977" spans="17:40">
      <c r="Q977" s="68"/>
      <c r="R977" s="68"/>
      <c r="S977" s="68"/>
      <c r="T977" s="68"/>
      <c r="U977" s="68"/>
      <c r="V977" s="68"/>
      <c r="W977" s="68"/>
      <c r="X977" s="68"/>
      <c r="Y977" s="68"/>
      <c r="Z977" s="68"/>
      <c r="AA977" s="68"/>
      <c r="AB977" s="68"/>
      <c r="AC977" s="68"/>
      <c r="AD977" s="68"/>
      <c r="AE977" s="68"/>
      <c r="AF977" s="68"/>
      <c r="AG977" s="68"/>
      <c r="AH977" s="68"/>
      <c r="AI977" s="68"/>
      <c r="AJ977" s="68"/>
      <c r="AK977" s="68"/>
      <c r="AL977" s="68"/>
      <c r="AM977" s="68"/>
      <c r="AN977" s="68"/>
    </row>
    <row r="978" spans="17:40">
      <c r="Q978" s="68"/>
      <c r="R978" s="68"/>
      <c r="S978" s="68"/>
      <c r="T978" s="68"/>
      <c r="U978" s="68"/>
      <c r="V978" s="68"/>
      <c r="W978" s="68"/>
      <c r="X978" s="68"/>
      <c r="Y978" s="68"/>
      <c r="Z978" s="68"/>
      <c r="AA978" s="68"/>
      <c r="AB978" s="68"/>
      <c r="AC978" s="68"/>
      <c r="AD978" s="68"/>
      <c r="AE978" s="68"/>
      <c r="AF978" s="68"/>
      <c r="AG978" s="68"/>
      <c r="AH978" s="68"/>
      <c r="AI978" s="68"/>
      <c r="AJ978" s="68"/>
      <c r="AK978" s="68"/>
      <c r="AL978" s="68"/>
      <c r="AM978" s="68"/>
      <c r="AN978" s="68"/>
    </row>
    <row r="979" spans="17:40">
      <c r="Q979" s="68"/>
      <c r="R979" s="68"/>
      <c r="S979" s="68"/>
      <c r="T979" s="68"/>
      <c r="U979" s="68"/>
      <c r="V979" s="68"/>
      <c r="W979" s="68"/>
      <c r="X979" s="68"/>
      <c r="Y979" s="68"/>
      <c r="Z979" s="68"/>
      <c r="AA979" s="68"/>
      <c r="AB979" s="68"/>
      <c r="AC979" s="68"/>
      <c r="AD979" s="68"/>
      <c r="AE979" s="68"/>
      <c r="AF979" s="68"/>
      <c r="AG979" s="68"/>
      <c r="AH979" s="68"/>
      <c r="AI979" s="68"/>
      <c r="AJ979" s="68"/>
      <c r="AK979" s="68"/>
      <c r="AL979" s="68"/>
      <c r="AM979" s="68"/>
      <c r="AN979" s="68"/>
    </row>
    <row r="980" spans="17:40">
      <c r="Q980" s="68"/>
      <c r="R980" s="68"/>
      <c r="S980" s="68"/>
      <c r="T980" s="68"/>
      <c r="U980" s="68"/>
      <c r="V980" s="68"/>
      <c r="W980" s="68"/>
      <c r="X980" s="68"/>
      <c r="Y980" s="68"/>
      <c r="Z980" s="68"/>
      <c r="AA980" s="68"/>
      <c r="AB980" s="68"/>
      <c r="AC980" s="68"/>
      <c r="AD980" s="68"/>
      <c r="AE980" s="68"/>
      <c r="AF980" s="68"/>
      <c r="AG980" s="68"/>
      <c r="AH980" s="68"/>
      <c r="AI980" s="68"/>
      <c r="AJ980" s="68"/>
      <c r="AK980" s="68"/>
      <c r="AL980" s="68"/>
      <c r="AM980" s="68"/>
      <c r="AN980" s="68"/>
    </row>
    <row r="981" spans="17:40">
      <c r="Q981" s="68"/>
      <c r="R981" s="68"/>
      <c r="S981" s="68"/>
      <c r="T981" s="68"/>
      <c r="U981" s="68"/>
      <c r="V981" s="68"/>
      <c r="W981" s="68"/>
      <c r="X981" s="68"/>
      <c r="Y981" s="68"/>
      <c r="Z981" s="68"/>
      <c r="AA981" s="68"/>
      <c r="AB981" s="68"/>
      <c r="AC981" s="68"/>
      <c r="AD981" s="68"/>
      <c r="AE981" s="68"/>
      <c r="AF981" s="68"/>
      <c r="AG981" s="68"/>
      <c r="AH981" s="68"/>
      <c r="AI981" s="68"/>
      <c r="AJ981" s="68"/>
      <c r="AK981" s="68"/>
      <c r="AL981" s="68"/>
      <c r="AM981" s="68"/>
      <c r="AN981" s="68"/>
    </row>
    <row r="982" spans="17:40">
      <c r="Q982" s="68"/>
      <c r="R982" s="68"/>
      <c r="S982" s="68"/>
      <c r="T982" s="68"/>
      <c r="U982" s="68"/>
      <c r="V982" s="68"/>
      <c r="W982" s="68"/>
      <c r="X982" s="68"/>
      <c r="Y982" s="68"/>
      <c r="Z982" s="68"/>
      <c r="AA982" s="68"/>
      <c r="AB982" s="68"/>
      <c r="AC982" s="68"/>
      <c r="AD982" s="68"/>
      <c r="AE982" s="68"/>
      <c r="AF982" s="68"/>
      <c r="AG982" s="68"/>
      <c r="AH982" s="68"/>
      <c r="AI982" s="68"/>
      <c r="AJ982" s="68"/>
      <c r="AK982" s="68"/>
      <c r="AL982" s="68"/>
      <c r="AM982" s="68"/>
      <c r="AN982" s="68"/>
    </row>
    <row r="983" spans="17:40"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8"/>
      <c r="AB983" s="68"/>
      <c r="AC983" s="68"/>
      <c r="AD983" s="68"/>
      <c r="AE983" s="68"/>
      <c r="AF983" s="68"/>
      <c r="AG983" s="68"/>
      <c r="AH983" s="68"/>
      <c r="AI983" s="68"/>
      <c r="AJ983" s="68"/>
      <c r="AK983" s="68"/>
      <c r="AL983" s="68"/>
      <c r="AM983" s="68"/>
      <c r="AN983" s="68"/>
    </row>
    <row r="984" spans="17:40"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</row>
    <row r="985" spans="17:40">
      <c r="Q985" s="68"/>
      <c r="R985" s="68"/>
      <c r="S985" s="68"/>
      <c r="T985" s="68"/>
      <c r="U985" s="68"/>
      <c r="V985" s="68"/>
      <c r="W985" s="68"/>
      <c r="X985" s="68"/>
      <c r="Y985" s="68"/>
      <c r="Z985" s="68"/>
      <c r="AA985" s="68"/>
      <c r="AB985" s="68"/>
      <c r="AC985" s="68"/>
      <c r="AD985" s="68"/>
      <c r="AE985" s="68"/>
      <c r="AF985" s="68"/>
      <c r="AG985" s="68"/>
      <c r="AH985" s="68"/>
      <c r="AI985" s="68"/>
      <c r="AJ985" s="68"/>
      <c r="AK985" s="68"/>
      <c r="AL985" s="68"/>
      <c r="AM985" s="68"/>
      <c r="AN985" s="68"/>
    </row>
    <row r="986" spans="17:40">
      <c r="Q986" s="68"/>
      <c r="R986" s="68"/>
      <c r="S986" s="68"/>
      <c r="T986" s="68"/>
      <c r="U986" s="68"/>
      <c r="V986" s="68"/>
      <c r="W986" s="68"/>
      <c r="X986" s="68"/>
      <c r="Y986" s="68"/>
      <c r="Z986" s="68"/>
      <c r="AA986" s="68"/>
      <c r="AB986" s="68"/>
      <c r="AC986" s="68"/>
      <c r="AD986" s="68"/>
      <c r="AE986" s="68"/>
      <c r="AF986" s="68"/>
      <c r="AG986" s="68"/>
      <c r="AH986" s="68"/>
      <c r="AI986" s="68"/>
      <c r="AJ986" s="68"/>
      <c r="AK986" s="68"/>
      <c r="AL986" s="68"/>
      <c r="AM986" s="68"/>
      <c r="AN986" s="68"/>
    </row>
    <row r="987" spans="17:40">
      <c r="Q987" s="68"/>
      <c r="R987" s="68"/>
      <c r="S987" s="68"/>
      <c r="T987" s="68"/>
      <c r="U987" s="68"/>
      <c r="V987" s="68"/>
      <c r="W987" s="68"/>
      <c r="X987" s="68"/>
      <c r="Y987" s="68"/>
      <c r="Z987" s="68"/>
      <c r="AA987" s="68"/>
      <c r="AB987" s="68"/>
      <c r="AC987" s="68"/>
      <c r="AD987" s="68"/>
      <c r="AE987" s="68"/>
      <c r="AF987" s="68"/>
      <c r="AG987" s="68"/>
      <c r="AH987" s="68"/>
      <c r="AI987" s="68"/>
      <c r="AJ987" s="68"/>
      <c r="AK987" s="68"/>
      <c r="AL987" s="68"/>
      <c r="AM987" s="68"/>
      <c r="AN987" s="68"/>
    </row>
    <row r="988" spans="17:40">
      <c r="Q988" s="68"/>
      <c r="R988" s="68"/>
      <c r="S988" s="68"/>
      <c r="T988" s="68"/>
      <c r="U988" s="68"/>
      <c r="V988" s="68"/>
      <c r="W988" s="68"/>
      <c r="X988" s="68"/>
      <c r="Y988" s="68"/>
      <c r="Z988" s="68"/>
      <c r="AA988" s="68"/>
      <c r="AB988" s="68"/>
      <c r="AC988" s="68"/>
      <c r="AD988" s="68"/>
      <c r="AE988" s="68"/>
      <c r="AF988" s="68"/>
      <c r="AG988" s="68"/>
      <c r="AH988" s="68"/>
      <c r="AI988" s="68"/>
      <c r="AJ988" s="68"/>
      <c r="AK988" s="68"/>
      <c r="AL988" s="68"/>
      <c r="AM988" s="68"/>
      <c r="AN988" s="68"/>
    </row>
    <row r="989" spans="17:40">
      <c r="Q989" s="68"/>
      <c r="R989" s="68"/>
      <c r="S989" s="68"/>
      <c r="T989" s="68"/>
      <c r="U989" s="68"/>
      <c r="V989" s="68"/>
      <c r="W989" s="68"/>
      <c r="X989" s="68"/>
      <c r="Y989" s="68"/>
      <c r="Z989" s="68"/>
      <c r="AA989" s="68"/>
      <c r="AB989" s="68"/>
      <c r="AC989" s="68"/>
      <c r="AD989" s="68"/>
      <c r="AE989" s="68"/>
      <c r="AF989" s="68"/>
      <c r="AG989" s="68"/>
      <c r="AH989" s="68"/>
      <c r="AI989" s="68"/>
      <c r="AJ989" s="68"/>
      <c r="AK989" s="68"/>
      <c r="AL989" s="68"/>
      <c r="AM989" s="68"/>
      <c r="AN989" s="68"/>
    </row>
    <row r="990" spans="17:40">
      <c r="Q990" s="68"/>
      <c r="R990" s="68"/>
      <c r="S990" s="68"/>
      <c r="T990" s="68"/>
      <c r="U990" s="68"/>
      <c r="V990" s="68"/>
      <c r="W990" s="68"/>
      <c r="X990" s="68"/>
      <c r="Y990" s="68"/>
      <c r="Z990" s="68"/>
      <c r="AA990" s="68"/>
      <c r="AB990" s="68"/>
      <c r="AC990" s="68"/>
      <c r="AD990" s="68"/>
      <c r="AE990" s="68"/>
      <c r="AF990" s="68"/>
      <c r="AG990" s="68"/>
      <c r="AH990" s="68"/>
      <c r="AI990" s="68"/>
      <c r="AJ990" s="68"/>
      <c r="AK990" s="68"/>
      <c r="AL990" s="68"/>
      <c r="AM990" s="68"/>
      <c r="AN990" s="68"/>
    </row>
    <row r="991" spans="17:40"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8"/>
      <c r="AB991" s="68"/>
      <c r="AC991" s="68"/>
      <c r="AD991" s="68"/>
      <c r="AE991" s="68"/>
      <c r="AF991" s="68"/>
      <c r="AG991" s="68"/>
      <c r="AH991" s="68"/>
      <c r="AI991" s="68"/>
      <c r="AJ991" s="68"/>
      <c r="AK991" s="68"/>
      <c r="AL991" s="68"/>
      <c r="AM991" s="68"/>
      <c r="AN991" s="68"/>
    </row>
    <row r="992" spans="17:40">
      <c r="Q992" s="68"/>
      <c r="R992" s="68"/>
      <c r="S992" s="68"/>
      <c r="T992" s="68"/>
      <c r="U992" s="68"/>
      <c r="V992" s="68"/>
      <c r="W992" s="68"/>
      <c r="X992" s="68"/>
      <c r="Y992" s="68"/>
      <c r="Z992" s="68"/>
      <c r="AA992" s="68"/>
      <c r="AB992" s="68"/>
      <c r="AC992" s="68"/>
      <c r="AD992" s="68"/>
      <c r="AE992" s="68"/>
      <c r="AF992" s="68"/>
      <c r="AG992" s="68"/>
      <c r="AH992" s="68"/>
      <c r="AI992" s="68"/>
      <c r="AJ992" s="68"/>
      <c r="AK992" s="68"/>
      <c r="AL992" s="68"/>
      <c r="AM992" s="68"/>
      <c r="AN992" s="68"/>
    </row>
    <row r="993" spans="17:40">
      <c r="Q993" s="68"/>
      <c r="R993" s="68"/>
      <c r="S993" s="68"/>
      <c r="T993" s="68"/>
      <c r="U993" s="68"/>
      <c r="V993" s="68"/>
      <c r="W993" s="68"/>
      <c r="X993" s="68"/>
      <c r="Y993" s="68"/>
      <c r="Z993" s="68"/>
      <c r="AA993" s="68"/>
      <c r="AB993" s="68"/>
      <c r="AC993" s="68"/>
      <c r="AD993" s="68"/>
      <c r="AE993" s="68"/>
      <c r="AF993" s="68"/>
      <c r="AG993" s="68"/>
      <c r="AH993" s="68"/>
      <c r="AI993" s="68"/>
      <c r="AJ993" s="68"/>
      <c r="AK993" s="68"/>
      <c r="AL993" s="68"/>
      <c r="AM993" s="68"/>
      <c r="AN993" s="68"/>
    </row>
    <row r="994" spans="17:40">
      <c r="Q994" s="68"/>
      <c r="R994" s="68"/>
      <c r="S994" s="68"/>
      <c r="T994" s="68"/>
      <c r="U994" s="68"/>
      <c r="V994" s="68"/>
      <c r="W994" s="68"/>
      <c r="X994" s="68"/>
      <c r="Y994" s="68"/>
      <c r="Z994" s="68"/>
      <c r="AA994" s="68"/>
      <c r="AB994" s="68"/>
      <c r="AC994" s="68"/>
      <c r="AD994" s="68"/>
      <c r="AE994" s="68"/>
      <c r="AF994" s="68"/>
      <c r="AG994" s="68"/>
      <c r="AH994" s="68"/>
      <c r="AI994" s="68"/>
      <c r="AJ994" s="68"/>
      <c r="AK994" s="68"/>
      <c r="AL994" s="68"/>
      <c r="AM994" s="68"/>
      <c r="AN994" s="68"/>
    </row>
    <row r="995" spans="17:40">
      <c r="Q995" s="68"/>
      <c r="R995" s="68"/>
      <c r="S995" s="68"/>
      <c r="T995" s="68"/>
      <c r="U995" s="68"/>
      <c r="V995" s="68"/>
      <c r="W995" s="68"/>
      <c r="X995" s="68"/>
      <c r="Y995" s="68"/>
      <c r="Z995" s="68"/>
      <c r="AA995" s="68"/>
      <c r="AB995" s="68"/>
      <c r="AC995" s="68"/>
      <c r="AD995" s="68"/>
      <c r="AE995" s="68"/>
      <c r="AF995" s="68"/>
      <c r="AG995" s="68"/>
      <c r="AH995" s="68"/>
      <c r="AI995" s="68"/>
      <c r="AJ995" s="68"/>
      <c r="AK995" s="68"/>
      <c r="AL995" s="68"/>
      <c r="AM995" s="68"/>
      <c r="AN995" s="68"/>
    </row>
    <row r="996" spans="17:40">
      <c r="Q996" s="68"/>
      <c r="R996" s="68"/>
      <c r="S996" s="68"/>
      <c r="T996" s="68"/>
      <c r="U996" s="68"/>
      <c r="V996" s="68"/>
      <c r="W996" s="68"/>
      <c r="X996" s="68"/>
      <c r="Y996" s="68"/>
      <c r="Z996" s="68"/>
      <c r="AA996" s="68"/>
      <c r="AB996" s="68"/>
      <c r="AC996" s="68"/>
      <c r="AD996" s="68"/>
      <c r="AE996" s="68"/>
      <c r="AF996" s="68"/>
      <c r="AG996" s="68"/>
      <c r="AH996" s="68"/>
      <c r="AI996" s="68"/>
      <c r="AJ996" s="68"/>
      <c r="AK996" s="68"/>
      <c r="AL996" s="68"/>
      <c r="AM996" s="68"/>
      <c r="AN996" s="68"/>
    </row>
    <row r="997" spans="17:40">
      <c r="Q997" s="68"/>
      <c r="R997" s="68"/>
      <c r="S997" s="68"/>
      <c r="T997" s="68"/>
      <c r="U997" s="68"/>
      <c r="V997" s="68"/>
      <c r="W997" s="68"/>
      <c r="X997" s="68"/>
      <c r="Y997" s="68"/>
      <c r="Z997" s="68"/>
      <c r="AA997" s="68"/>
      <c r="AB997" s="68"/>
      <c r="AC997" s="68"/>
      <c r="AD997" s="68"/>
      <c r="AE997" s="68"/>
      <c r="AF997" s="68"/>
      <c r="AG997" s="68"/>
      <c r="AH997" s="68"/>
      <c r="AI997" s="68"/>
      <c r="AJ997" s="68"/>
      <c r="AK997" s="68"/>
      <c r="AL997" s="68"/>
      <c r="AM997" s="68"/>
      <c r="AN997" s="68"/>
    </row>
    <row r="998" spans="17:40">
      <c r="Q998" s="68"/>
      <c r="R998" s="68"/>
      <c r="S998" s="68"/>
      <c r="T998" s="68"/>
      <c r="U998" s="68"/>
      <c r="V998" s="68"/>
      <c r="W998" s="68"/>
      <c r="X998" s="68"/>
      <c r="Y998" s="68"/>
      <c r="Z998" s="68"/>
      <c r="AA998" s="68"/>
      <c r="AB998" s="68"/>
      <c r="AC998" s="68"/>
      <c r="AD998" s="68"/>
      <c r="AE998" s="68"/>
      <c r="AF998" s="68"/>
      <c r="AG998" s="68"/>
      <c r="AH998" s="68"/>
      <c r="AI998" s="68"/>
      <c r="AJ998" s="68"/>
      <c r="AK998" s="68"/>
      <c r="AL998" s="68"/>
      <c r="AM998" s="68"/>
      <c r="AN998" s="68"/>
    </row>
    <row r="999" spans="17:40">
      <c r="Q999" s="68"/>
      <c r="R999" s="68"/>
      <c r="S999" s="68"/>
      <c r="T999" s="68"/>
      <c r="U999" s="68"/>
      <c r="V999" s="68"/>
      <c r="W999" s="68"/>
      <c r="X999" s="68"/>
      <c r="Y999" s="68"/>
      <c r="Z999" s="68"/>
      <c r="AA999" s="68"/>
      <c r="AB999" s="68"/>
      <c r="AC999" s="68"/>
      <c r="AD999" s="68"/>
      <c r="AE999" s="68"/>
      <c r="AF999" s="68"/>
      <c r="AG999" s="68"/>
      <c r="AH999" s="68"/>
      <c r="AI999" s="68"/>
      <c r="AJ999" s="68"/>
      <c r="AK999" s="68"/>
      <c r="AL999" s="68"/>
      <c r="AM999" s="68"/>
      <c r="AN999" s="68"/>
    </row>
    <row r="1000" spans="17:40"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  <c r="AA1000" s="68"/>
      <c r="AB1000" s="68"/>
      <c r="AC1000" s="68"/>
      <c r="AD1000" s="68"/>
      <c r="AE1000" s="68"/>
      <c r="AF1000" s="68"/>
      <c r="AG1000" s="68"/>
      <c r="AH1000" s="68"/>
      <c r="AI1000" s="68"/>
      <c r="AJ1000" s="68"/>
      <c r="AK1000" s="68"/>
      <c r="AL1000" s="68"/>
      <c r="AM1000" s="68"/>
      <c r="AN1000" s="68"/>
    </row>
    <row r="1001" spans="17:40">
      <c r="Q1001" s="68"/>
      <c r="R1001" s="68"/>
      <c r="S1001" s="68"/>
      <c r="T1001" s="68"/>
      <c r="U1001" s="68"/>
      <c r="V1001" s="68"/>
      <c r="W1001" s="68"/>
      <c r="X1001" s="68"/>
      <c r="Y1001" s="68"/>
      <c r="Z1001" s="68"/>
      <c r="AA1001" s="68"/>
      <c r="AB1001" s="68"/>
      <c r="AC1001" s="68"/>
      <c r="AD1001" s="68"/>
      <c r="AE1001" s="68"/>
      <c r="AF1001" s="68"/>
      <c r="AG1001" s="68"/>
      <c r="AH1001" s="68"/>
      <c r="AI1001" s="68"/>
      <c r="AJ1001" s="68"/>
      <c r="AK1001" s="68"/>
      <c r="AL1001" s="68"/>
      <c r="AM1001" s="68"/>
      <c r="AN1001" s="68"/>
    </row>
    <row r="1002" spans="17:40">
      <c r="Q1002" s="68"/>
      <c r="R1002" s="68"/>
      <c r="S1002" s="68"/>
      <c r="T1002" s="68"/>
      <c r="U1002" s="68"/>
      <c r="V1002" s="68"/>
      <c r="W1002" s="68"/>
      <c r="X1002" s="68"/>
      <c r="Y1002" s="68"/>
      <c r="Z1002" s="68"/>
      <c r="AA1002" s="68"/>
      <c r="AB1002" s="68"/>
      <c r="AC1002" s="68"/>
      <c r="AD1002" s="68"/>
      <c r="AE1002" s="68"/>
      <c r="AF1002" s="68"/>
      <c r="AG1002" s="68"/>
      <c r="AH1002" s="68"/>
      <c r="AI1002" s="68"/>
      <c r="AJ1002" s="68"/>
      <c r="AK1002" s="68"/>
      <c r="AL1002" s="68"/>
      <c r="AM1002" s="68"/>
      <c r="AN1002" s="68"/>
    </row>
    <row r="1003" spans="17:40">
      <c r="Q1003" s="68"/>
      <c r="R1003" s="68"/>
      <c r="S1003" s="68"/>
      <c r="T1003" s="68"/>
      <c r="U1003" s="68"/>
      <c r="V1003" s="68"/>
      <c r="W1003" s="68"/>
      <c r="X1003" s="68"/>
      <c r="Y1003" s="68"/>
      <c r="Z1003" s="68"/>
      <c r="AA1003" s="68"/>
      <c r="AB1003" s="68"/>
      <c r="AC1003" s="68"/>
      <c r="AD1003" s="68"/>
      <c r="AE1003" s="68"/>
      <c r="AF1003" s="68"/>
      <c r="AG1003" s="68"/>
      <c r="AH1003" s="68"/>
      <c r="AI1003" s="68"/>
      <c r="AJ1003" s="68"/>
      <c r="AK1003" s="68"/>
      <c r="AL1003" s="68"/>
      <c r="AM1003" s="68"/>
      <c r="AN1003" s="68"/>
    </row>
    <row r="1004" spans="17:40">
      <c r="Q1004" s="68"/>
      <c r="R1004" s="68"/>
      <c r="S1004" s="68"/>
      <c r="T1004" s="68"/>
      <c r="U1004" s="68"/>
      <c r="V1004" s="68"/>
      <c r="W1004" s="68"/>
      <c r="X1004" s="68"/>
      <c r="Y1004" s="68"/>
      <c r="Z1004" s="68"/>
      <c r="AA1004" s="68"/>
      <c r="AB1004" s="68"/>
      <c r="AC1004" s="68"/>
      <c r="AD1004" s="68"/>
      <c r="AE1004" s="68"/>
      <c r="AF1004" s="68"/>
      <c r="AG1004" s="68"/>
      <c r="AH1004" s="68"/>
      <c r="AI1004" s="68"/>
      <c r="AJ1004" s="68"/>
      <c r="AK1004" s="68"/>
      <c r="AL1004" s="68"/>
      <c r="AM1004" s="68"/>
      <c r="AN1004" s="68"/>
    </row>
    <row r="1005" spans="17:40">
      <c r="Q1005" s="68"/>
      <c r="R1005" s="68"/>
      <c r="S1005" s="68"/>
      <c r="T1005" s="68"/>
      <c r="U1005" s="68"/>
      <c r="V1005" s="68"/>
      <c r="W1005" s="68"/>
      <c r="X1005" s="68"/>
      <c r="Y1005" s="68"/>
      <c r="Z1005" s="68"/>
      <c r="AA1005" s="68"/>
      <c r="AB1005" s="68"/>
      <c r="AC1005" s="68"/>
      <c r="AD1005" s="68"/>
      <c r="AE1005" s="68"/>
      <c r="AF1005" s="68"/>
      <c r="AG1005" s="68"/>
      <c r="AH1005" s="68"/>
      <c r="AI1005" s="68"/>
      <c r="AJ1005" s="68"/>
      <c r="AK1005" s="68"/>
      <c r="AL1005" s="68"/>
      <c r="AM1005" s="68"/>
      <c r="AN1005" s="68"/>
    </row>
    <row r="1006" spans="17:40">
      <c r="Q1006" s="68"/>
      <c r="R1006" s="68"/>
      <c r="S1006" s="68"/>
      <c r="T1006" s="68"/>
      <c r="U1006" s="68"/>
      <c r="V1006" s="68"/>
      <c r="W1006" s="68"/>
      <c r="X1006" s="68"/>
      <c r="Y1006" s="68"/>
      <c r="Z1006" s="68"/>
      <c r="AA1006" s="68"/>
      <c r="AB1006" s="68"/>
      <c r="AC1006" s="68"/>
      <c r="AD1006" s="68"/>
      <c r="AE1006" s="68"/>
      <c r="AF1006" s="68"/>
      <c r="AG1006" s="68"/>
      <c r="AH1006" s="68"/>
      <c r="AI1006" s="68"/>
      <c r="AJ1006" s="68"/>
      <c r="AK1006" s="68"/>
      <c r="AL1006" s="68"/>
      <c r="AM1006" s="68"/>
      <c r="AN1006" s="68"/>
    </row>
    <row r="1007" spans="17:40">
      <c r="Q1007" s="68"/>
      <c r="R1007" s="68"/>
      <c r="S1007" s="68"/>
      <c r="T1007" s="68"/>
      <c r="U1007" s="68"/>
      <c r="V1007" s="68"/>
      <c r="W1007" s="68"/>
      <c r="X1007" s="68"/>
      <c r="Y1007" s="68"/>
      <c r="Z1007" s="68"/>
      <c r="AA1007" s="68"/>
      <c r="AB1007" s="68"/>
      <c r="AC1007" s="68"/>
      <c r="AD1007" s="68"/>
      <c r="AE1007" s="68"/>
      <c r="AF1007" s="68"/>
      <c r="AG1007" s="68"/>
      <c r="AH1007" s="68"/>
      <c r="AI1007" s="68"/>
      <c r="AJ1007" s="68"/>
      <c r="AK1007" s="68"/>
      <c r="AL1007" s="68"/>
      <c r="AM1007" s="68"/>
      <c r="AN1007" s="68"/>
    </row>
    <row r="1008" spans="17:40">
      <c r="Q1008" s="68"/>
      <c r="R1008" s="68"/>
      <c r="S1008" s="68"/>
      <c r="T1008" s="68"/>
      <c r="U1008" s="68"/>
      <c r="V1008" s="68"/>
      <c r="W1008" s="68"/>
      <c r="X1008" s="68"/>
      <c r="Y1008" s="68"/>
      <c r="Z1008" s="68"/>
      <c r="AA1008" s="68"/>
      <c r="AB1008" s="68"/>
      <c r="AC1008" s="68"/>
      <c r="AD1008" s="68"/>
      <c r="AE1008" s="68"/>
      <c r="AF1008" s="68"/>
      <c r="AG1008" s="68"/>
      <c r="AH1008" s="68"/>
      <c r="AI1008" s="68"/>
      <c r="AJ1008" s="68"/>
      <c r="AK1008" s="68"/>
      <c r="AL1008" s="68"/>
      <c r="AM1008" s="68"/>
      <c r="AN1008" s="68"/>
    </row>
    <row r="1009" spans="17:40">
      <c r="Q1009" s="68"/>
      <c r="R1009" s="68"/>
      <c r="S1009" s="68"/>
      <c r="T1009" s="68"/>
      <c r="U1009" s="68"/>
      <c r="V1009" s="68"/>
      <c r="W1009" s="68"/>
      <c r="X1009" s="68"/>
      <c r="Y1009" s="68"/>
      <c r="Z1009" s="68"/>
      <c r="AA1009" s="68"/>
      <c r="AB1009" s="68"/>
      <c r="AC1009" s="68"/>
      <c r="AD1009" s="68"/>
      <c r="AE1009" s="68"/>
      <c r="AF1009" s="68"/>
      <c r="AG1009" s="68"/>
      <c r="AH1009" s="68"/>
      <c r="AI1009" s="68"/>
      <c r="AJ1009" s="68"/>
      <c r="AK1009" s="68"/>
      <c r="AL1009" s="68"/>
      <c r="AM1009" s="68"/>
      <c r="AN1009" s="68"/>
    </row>
    <row r="1010" spans="17:40">
      <c r="Q1010" s="68"/>
      <c r="R1010" s="68"/>
      <c r="S1010" s="68"/>
      <c r="T1010" s="68"/>
      <c r="U1010" s="68"/>
      <c r="V1010" s="68"/>
      <c r="W1010" s="68"/>
      <c r="X1010" s="68"/>
      <c r="Y1010" s="68"/>
      <c r="Z1010" s="68"/>
      <c r="AA1010" s="68"/>
      <c r="AB1010" s="68"/>
      <c r="AC1010" s="68"/>
      <c r="AD1010" s="68"/>
      <c r="AE1010" s="68"/>
      <c r="AF1010" s="68"/>
      <c r="AG1010" s="68"/>
      <c r="AH1010" s="68"/>
      <c r="AI1010" s="68"/>
      <c r="AJ1010" s="68"/>
      <c r="AK1010" s="68"/>
      <c r="AL1010" s="68"/>
      <c r="AM1010" s="68"/>
      <c r="AN1010" s="68"/>
    </row>
    <row r="1011" spans="17:40">
      <c r="Q1011" s="68"/>
      <c r="R1011" s="68"/>
      <c r="S1011" s="68"/>
      <c r="T1011" s="68"/>
      <c r="U1011" s="68"/>
      <c r="V1011" s="68"/>
      <c r="W1011" s="68"/>
      <c r="X1011" s="68"/>
      <c r="Y1011" s="68"/>
      <c r="Z1011" s="68"/>
      <c r="AA1011" s="68"/>
      <c r="AB1011" s="68"/>
      <c r="AC1011" s="68"/>
      <c r="AD1011" s="68"/>
      <c r="AE1011" s="68"/>
      <c r="AF1011" s="68"/>
      <c r="AG1011" s="68"/>
      <c r="AH1011" s="68"/>
      <c r="AI1011" s="68"/>
      <c r="AJ1011" s="68"/>
      <c r="AK1011" s="68"/>
      <c r="AL1011" s="68"/>
      <c r="AM1011" s="68"/>
      <c r="AN1011" s="68"/>
    </row>
    <row r="1012" spans="17:40">
      <c r="Q1012" s="68"/>
      <c r="R1012" s="68"/>
      <c r="S1012" s="68"/>
      <c r="T1012" s="68"/>
      <c r="U1012" s="68"/>
      <c r="V1012" s="68"/>
      <c r="W1012" s="68"/>
      <c r="X1012" s="68"/>
      <c r="Y1012" s="68"/>
      <c r="Z1012" s="68"/>
      <c r="AA1012" s="68"/>
      <c r="AB1012" s="68"/>
      <c r="AC1012" s="68"/>
      <c r="AD1012" s="68"/>
      <c r="AE1012" s="68"/>
      <c r="AF1012" s="68"/>
      <c r="AG1012" s="68"/>
      <c r="AH1012" s="68"/>
      <c r="AI1012" s="68"/>
      <c r="AJ1012" s="68"/>
      <c r="AK1012" s="68"/>
      <c r="AL1012" s="68"/>
      <c r="AM1012" s="68"/>
      <c r="AN1012" s="68"/>
    </row>
    <row r="1013" spans="17:40">
      <c r="Q1013" s="68"/>
      <c r="R1013" s="68"/>
      <c r="S1013" s="68"/>
      <c r="T1013" s="68"/>
      <c r="U1013" s="68"/>
      <c r="V1013" s="68"/>
      <c r="W1013" s="68"/>
      <c r="X1013" s="68"/>
      <c r="Y1013" s="68"/>
      <c r="Z1013" s="68"/>
      <c r="AA1013" s="68"/>
      <c r="AB1013" s="68"/>
      <c r="AC1013" s="68"/>
      <c r="AD1013" s="68"/>
      <c r="AE1013" s="68"/>
      <c r="AF1013" s="68"/>
      <c r="AG1013" s="68"/>
      <c r="AH1013" s="68"/>
      <c r="AI1013" s="68"/>
      <c r="AJ1013" s="68"/>
      <c r="AK1013" s="68"/>
      <c r="AL1013" s="68"/>
      <c r="AM1013" s="68"/>
      <c r="AN1013" s="68"/>
    </row>
    <row r="1014" spans="17:40">
      <c r="Q1014" s="68"/>
      <c r="R1014" s="68"/>
      <c r="S1014" s="68"/>
      <c r="T1014" s="68"/>
      <c r="U1014" s="68"/>
      <c r="V1014" s="68"/>
      <c r="W1014" s="68"/>
      <c r="X1014" s="68"/>
      <c r="Y1014" s="68"/>
      <c r="Z1014" s="68"/>
      <c r="AA1014" s="68"/>
      <c r="AB1014" s="68"/>
      <c r="AC1014" s="68"/>
      <c r="AD1014" s="68"/>
      <c r="AE1014" s="68"/>
      <c r="AF1014" s="68"/>
      <c r="AG1014" s="68"/>
      <c r="AH1014" s="68"/>
      <c r="AI1014" s="68"/>
      <c r="AJ1014" s="68"/>
      <c r="AK1014" s="68"/>
      <c r="AL1014" s="68"/>
      <c r="AM1014" s="68"/>
      <c r="AN1014" s="68"/>
    </row>
    <row r="1015" spans="17:40">
      <c r="Q1015" s="68"/>
      <c r="R1015" s="68"/>
      <c r="S1015" s="68"/>
      <c r="T1015" s="68"/>
      <c r="U1015" s="68"/>
      <c r="V1015" s="68"/>
      <c r="W1015" s="68"/>
      <c r="X1015" s="68"/>
      <c r="Y1015" s="68"/>
      <c r="Z1015" s="68"/>
      <c r="AA1015" s="68"/>
      <c r="AB1015" s="68"/>
      <c r="AC1015" s="68"/>
      <c r="AD1015" s="68"/>
      <c r="AE1015" s="68"/>
      <c r="AF1015" s="68"/>
      <c r="AG1015" s="68"/>
      <c r="AH1015" s="68"/>
      <c r="AI1015" s="68"/>
      <c r="AJ1015" s="68"/>
      <c r="AK1015" s="68"/>
      <c r="AL1015" s="68"/>
      <c r="AM1015" s="68"/>
      <c r="AN1015" s="68"/>
    </row>
  </sheetData>
  <mergeCells count="86">
    <mergeCell ref="U407:U408"/>
    <mergeCell ref="Q406:Q408"/>
    <mergeCell ref="S406:T407"/>
    <mergeCell ref="AF406:AF408"/>
    <mergeCell ref="U406:Y406"/>
    <mergeCell ref="Z406:Z408"/>
    <mergeCell ref="AA406:AE406"/>
    <mergeCell ref="W407:W408"/>
    <mergeCell ref="X407:X408"/>
    <mergeCell ref="Y407:Y408"/>
    <mergeCell ref="AA407:AB407"/>
    <mergeCell ref="V407:V408"/>
    <mergeCell ref="R406:R408"/>
    <mergeCell ref="AD407:AD408"/>
    <mergeCell ref="AC407:AC408"/>
    <mergeCell ref="AH284:AM285"/>
    <mergeCell ref="AN284:AN285"/>
    <mergeCell ref="AA284:AB285"/>
    <mergeCell ref="AC284:AE284"/>
    <mergeCell ref="AF284:AF286"/>
    <mergeCell ref="AC285:AD285"/>
    <mergeCell ref="AE285:AE286"/>
    <mergeCell ref="AG284:AG286"/>
    <mergeCell ref="AG406:AL407"/>
    <mergeCell ref="AM406:AM407"/>
    <mergeCell ref="AE407:AE408"/>
    <mergeCell ref="A405:J405"/>
    <mergeCell ref="Q405:AM405"/>
    <mergeCell ref="A406:A408"/>
    <mergeCell ref="B406:B408"/>
    <mergeCell ref="C406:G406"/>
    <mergeCell ref="H406:H408"/>
    <mergeCell ref="I406:J407"/>
    <mergeCell ref="C407:C408"/>
    <mergeCell ref="D407:D408"/>
    <mergeCell ref="E407:E408"/>
    <mergeCell ref="F407:F408"/>
    <mergeCell ref="G407:G408"/>
    <mergeCell ref="K406:K407"/>
    <mergeCell ref="U285:U286"/>
    <mergeCell ref="V285:V286"/>
    <mergeCell ref="Z284:Z286"/>
    <mergeCell ref="Q284:Q286"/>
    <mergeCell ref="R284:R286"/>
    <mergeCell ref="S284:T285"/>
    <mergeCell ref="U284:Y284"/>
    <mergeCell ref="W285:W286"/>
    <mergeCell ref="X285:X286"/>
    <mergeCell ref="E285:E286"/>
    <mergeCell ref="F285:F286"/>
    <mergeCell ref="G285:G286"/>
    <mergeCell ref="A283:N283"/>
    <mergeCell ref="Q283:AN283"/>
    <mergeCell ref="A284:A286"/>
    <mergeCell ref="B284:B286"/>
    <mergeCell ref="C284:D285"/>
    <mergeCell ref="E284:I284"/>
    <mergeCell ref="J284:J286"/>
    <mergeCell ref="K284:L285"/>
    <mergeCell ref="M284:N285"/>
    <mergeCell ref="O284:O285"/>
    <mergeCell ref="Y285:Y286"/>
    <mergeCell ref="H285:H286"/>
    <mergeCell ref="I285:I286"/>
    <mergeCell ref="A203:Q203"/>
    <mergeCell ref="A204:A205"/>
    <mergeCell ref="B204:B205"/>
    <mergeCell ref="C204:N204"/>
    <mergeCell ref="O204:P204"/>
    <mergeCell ref="Q204:Q205"/>
    <mergeCell ref="A49:A50"/>
    <mergeCell ref="B49:B50"/>
    <mergeCell ref="C49:K49"/>
    <mergeCell ref="L49:M49"/>
    <mergeCell ref="A98:Q98"/>
    <mergeCell ref="A99:A100"/>
    <mergeCell ref="B99:B100"/>
    <mergeCell ref="C99:N99"/>
    <mergeCell ref="O99:P99"/>
    <mergeCell ref="Q99:Q100"/>
    <mergeCell ref="A48:M48"/>
    <mergeCell ref="A1:K1"/>
    <mergeCell ref="A2:A3"/>
    <mergeCell ref="B2:B3"/>
    <mergeCell ref="C2:I2"/>
    <mergeCell ref="J2:K2"/>
  </mergeCells>
  <phoneticPr fontId="5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114"/>
  <sheetViews>
    <sheetView workbookViewId="0">
      <selection activeCell="F39" sqref="F39"/>
    </sheetView>
  </sheetViews>
  <sheetFormatPr defaultRowHeight="15.75"/>
  <sheetData>
    <row r="1" spans="1:21" ht="18.399999999999999" thickBot="1">
      <c r="A1" s="272" t="s">
        <v>1076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</row>
    <row r="2" spans="1:21">
      <c r="A2" s="69" t="s">
        <v>1077</v>
      </c>
      <c r="B2" s="70" t="s">
        <v>1078</v>
      </c>
      <c r="C2" s="70" t="s">
        <v>1079</v>
      </c>
      <c r="D2" s="269" t="s">
        <v>1080</v>
      </c>
      <c r="E2" s="270"/>
      <c r="F2" s="271"/>
      <c r="G2" s="71" t="s">
        <v>1081</v>
      </c>
      <c r="H2" s="269" t="s">
        <v>1082</v>
      </c>
      <c r="I2" s="270"/>
      <c r="J2" s="270"/>
      <c r="K2" s="271"/>
      <c r="L2" s="269" t="s">
        <v>1083</v>
      </c>
      <c r="M2" s="270"/>
      <c r="N2" s="270"/>
      <c r="O2" s="271"/>
      <c r="P2" s="269" t="s">
        <v>1084</v>
      </c>
      <c r="Q2" s="270"/>
      <c r="R2" s="270"/>
      <c r="S2" s="271"/>
      <c r="T2" s="70" t="s">
        <v>1085</v>
      </c>
      <c r="U2" s="72" t="s">
        <v>1086</v>
      </c>
    </row>
    <row r="3" spans="1:21" ht="16.5">
      <c r="A3" s="73" t="s">
        <v>1087</v>
      </c>
      <c r="B3" s="74" t="s">
        <v>1088</v>
      </c>
      <c r="C3" s="74" t="s">
        <v>1089</v>
      </c>
      <c r="D3" s="74" t="s">
        <v>1090</v>
      </c>
      <c r="E3" s="74" t="s">
        <v>1091</v>
      </c>
      <c r="F3" s="74" t="s">
        <v>1092</v>
      </c>
      <c r="G3" s="74" t="s">
        <v>1093</v>
      </c>
      <c r="H3" s="74" t="s">
        <v>1094</v>
      </c>
      <c r="I3" s="74" t="s">
        <v>1095</v>
      </c>
      <c r="J3" s="74" t="s">
        <v>1096</v>
      </c>
      <c r="K3" s="74" t="s">
        <v>1097</v>
      </c>
      <c r="L3" s="74" t="s">
        <v>1098</v>
      </c>
      <c r="M3" s="74" t="s">
        <v>1099</v>
      </c>
      <c r="N3" s="74" t="s">
        <v>1100</v>
      </c>
      <c r="O3" s="74" t="s">
        <v>1101</v>
      </c>
      <c r="P3" s="74" t="s">
        <v>1102</v>
      </c>
      <c r="Q3" s="74" t="s">
        <v>1103</v>
      </c>
      <c r="R3" s="74" t="s">
        <v>1104</v>
      </c>
      <c r="S3" s="74" t="s">
        <v>1105</v>
      </c>
      <c r="T3" s="74" t="s">
        <v>1106</v>
      </c>
      <c r="U3" s="75" t="s">
        <v>1107</v>
      </c>
    </row>
    <row r="4" spans="1:21">
      <c r="A4" s="76">
        <v>1000</v>
      </c>
      <c r="B4" s="77">
        <v>143</v>
      </c>
      <c r="C4" s="77">
        <v>200</v>
      </c>
      <c r="D4" s="77">
        <v>760</v>
      </c>
      <c r="E4" s="77">
        <v>170</v>
      </c>
      <c r="F4" s="77">
        <v>10</v>
      </c>
      <c r="G4" s="77">
        <v>6</v>
      </c>
      <c r="H4" s="77">
        <v>170</v>
      </c>
      <c r="I4" s="77">
        <v>140</v>
      </c>
      <c r="J4" s="77">
        <v>180</v>
      </c>
      <c r="K4" s="77">
        <v>6</v>
      </c>
      <c r="L4" s="77">
        <v>1180</v>
      </c>
      <c r="M4" s="77">
        <v>270</v>
      </c>
      <c r="N4" s="77">
        <v>6</v>
      </c>
      <c r="O4" s="77">
        <v>40</v>
      </c>
      <c r="P4" s="77">
        <v>600</v>
      </c>
      <c r="Q4" s="77">
        <v>24</v>
      </c>
      <c r="R4" s="77" t="s">
        <v>88</v>
      </c>
      <c r="S4" s="77">
        <v>40</v>
      </c>
      <c r="T4" s="77">
        <v>44</v>
      </c>
      <c r="U4" s="78">
        <v>7</v>
      </c>
    </row>
    <row r="5" spans="1:21">
      <c r="A5" s="76">
        <v>1100</v>
      </c>
      <c r="B5" s="77">
        <v>145</v>
      </c>
      <c r="C5" s="77">
        <v>200</v>
      </c>
      <c r="D5" s="77">
        <v>820</v>
      </c>
      <c r="E5" s="77">
        <v>170</v>
      </c>
      <c r="F5" s="77">
        <v>10</v>
      </c>
      <c r="G5" s="77">
        <v>6</v>
      </c>
      <c r="H5" s="77">
        <v>185</v>
      </c>
      <c r="I5" s="77">
        <v>140</v>
      </c>
      <c r="J5" s="77">
        <v>180</v>
      </c>
      <c r="K5" s="77">
        <v>6</v>
      </c>
      <c r="L5" s="77">
        <v>1290</v>
      </c>
      <c r="M5" s="77">
        <v>270</v>
      </c>
      <c r="N5" s="77">
        <v>6</v>
      </c>
      <c r="O5" s="77">
        <v>40</v>
      </c>
      <c r="P5" s="77">
        <v>660</v>
      </c>
      <c r="Q5" s="77">
        <v>24</v>
      </c>
      <c r="R5" s="77" t="s">
        <v>88</v>
      </c>
      <c r="S5" s="77">
        <v>40</v>
      </c>
      <c r="T5" s="77">
        <v>48</v>
      </c>
      <c r="U5" s="78">
        <v>7</v>
      </c>
    </row>
    <row r="6" spans="1:21">
      <c r="A6" s="76">
        <v>1200</v>
      </c>
      <c r="B6" s="77">
        <v>147</v>
      </c>
      <c r="C6" s="77">
        <v>200</v>
      </c>
      <c r="D6" s="77">
        <v>880</v>
      </c>
      <c r="E6" s="77">
        <v>170</v>
      </c>
      <c r="F6" s="77">
        <v>10</v>
      </c>
      <c r="G6" s="77">
        <v>6</v>
      </c>
      <c r="H6" s="77">
        <v>200</v>
      </c>
      <c r="I6" s="77">
        <v>140</v>
      </c>
      <c r="J6" s="77">
        <v>180</v>
      </c>
      <c r="K6" s="77">
        <v>6</v>
      </c>
      <c r="L6" s="77">
        <v>1410</v>
      </c>
      <c r="M6" s="77">
        <v>270</v>
      </c>
      <c r="N6" s="77">
        <v>6</v>
      </c>
      <c r="O6" s="77">
        <v>40</v>
      </c>
      <c r="P6" s="77">
        <v>720</v>
      </c>
      <c r="Q6" s="77">
        <v>24</v>
      </c>
      <c r="R6" s="77" t="s">
        <v>88</v>
      </c>
      <c r="S6" s="77">
        <v>40</v>
      </c>
      <c r="T6" s="77">
        <v>52</v>
      </c>
      <c r="U6" s="78">
        <v>7</v>
      </c>
    </row>
    <row r="7" spans="1:21">
      <c r="A7" s="76">
        <v>1300</v>
      </c>
      <c r="B7" s="77">
        <v>158</v>
      </c>
      <c r="C7" s="77">
        <v>200</v>
      </c>
      <c r="D7" s="77">
        <v>940</v>
      </c>
      <c r="E7" s="77">
        <v>170</v>
      </c>
      <c r="F7" s="77">
        <v>10</v>
      </c>
      <c r="G7" s="77">
        <v>8</v>
      </c>
      <c r="H7" s="77">
        <v>215</v>
      </c>
      <c r="I7" s="77">
        <v>140</v>
      </c>
      <c r="J7" s="77">
        <v>180</v>
      </c>
      <c r="K7" s="77">
        <v>6</v>
      </c>
      <c r="L7" s="77">
        <v>1520</v>
      </c>
      <c r="M7" s="77">
        <v>270</v>
      </c>
      <c r="N7" s="77">
        <v>6</v>
      </c>
      <c r="O7" s="77">
        <v>40</v>
      </c>
      <c r="P7" s="77">
        <v>780</v>
      </c>
      <c r="Q7" s="77">
        <v>24</v>
      </c>
      <c r="R7" s="77" t="s">
        <v>88</v>
      </c>
      <c r="S7" s="77">
        <v>40</v>
      </c>
      <c r="T7" s="77">
        <v>60</v>
      </c>
      <c r="U7" s="78">
        <v>9</v>
      </c>
    </row>
    <row r="8" spans="1:21">
      <c r="A8" s="76">
        <v>1400</v>
      </c>
      <c r="B8" s="77">
        <v>160</v>
      </c>
      <c r="C8" s="77">
        <v>200</v>
      </c>
      <c r="D8" s="77">
        <v>1000</v>
      </c>
      <c r="E8" s="77">
        <v>170</v>
      </c>
      <c r="F8" s="77">
        <v>10</v>
      </c>
      <c r="G8" s="77">
        <v>8</v>
      </c>
      <c r="H8" s="77">
        <v>230</v>
      </c>
      <c r="I8" s="77">
        <v>140</v>
      </c>
      <c r="J8" s="77">
        <v>180</v>
      </c>
      <c r="K8" s="77">
        <v>6</v>
      </c>
      <c r="L8" s="77">
        <v>1640</v>
      </c>
      <c r="M8" s="77">
        <v>270</v>
      </c>
      <c r="N8" s="77">
        <v>6</v>
      </c>
      <c r="O8" s="77">
        <v>40</v>
      </c>
      <c r="P8" s="77">
        <v>840</v>
      </c>
      <c r="Q8" s="77">
        <v>24</v>
      </c>
      <c r="R8" s="77" t="s">
        <v>88</v>
      </c>
      <c r="S8" s="77">
        <v>40</v>
      </c>
      <c r="T8" s="77">
        <v>64</v>
      </c>
      <c r="U8" s="78">
        <v>9</v>
      </c>
    </row>
    <row r="9" spans="1:21">
      <c r="A9" s="76">
        <v>1500</v>
      </c>
      <c r="B9" s="77">
        <v>272</v>
      </c>
      <c r="C9" s="77">
        <v>250</v>
      </c>
      <c r="D9" s="77">
        <v>1060</v>
      </c>
      <c r="E9" s="77">
        <v>200</v>
      </c>
      <c r="F9" s="77">
        <v>12</v>
      </c>
      <c r="G9" s="77">
        <v>8</v>
      </c>
      <c r="H9" s="77">
        <v>242</v>
      </c>
      <c r="I9" s="77">
        <v>170</v>
      </c>
      <c r="J9" s="77">
        <v>230</v>
      </c>
      <c r="K9" s="77">
        <v>8</v>
      </c>
      <c r="L9" s="77">
        <v>1760</v>
      </c>
      <c r="M9" s="77">
        <v>320</v>
      </c>
      <c r="N9" s="77">
        <v>8</v>
      </c>
      <c r="O9" s="77">
        <v>40</v>
      </c>
      <c r="P9" s="77">
        <v>900</v>
      </c>
      <c r="Q9" s="77">
        <v>24</v>
      </c>
      <c r="R9" s="77" t="s">
        <v>88</v>
      </c>
      <c r="S9" s="77">
        <v>40</v>
      </c>
      <c r="T9" s="77">
        <v>101</v>
      </c>
      <c r="U9" s="78">
        <v>12</v>
      </c>
    </row>
    <row r="10" spans="1:21">
      <c r="A10" s="76">
        <v>1600</v>
      </c>
      <c r="B10" s="77">
        <v>275</v>
      </c>
      <c r="C10" s="77">
        <v>250</v>
      </c>
      <c r="D10" s="77">
        <v>1120</v>
      </c>
      <c r="E10" s="77">
        <v>200</v>
      </c>
      <c r="F10" s="77">
        <v>12</v>
      </c>
      <c r="G10" s="77">
        <v>8</v>
      </c>
      <c r="H10" s="77">
        <v>257</v>
      </c>
      <c r="I10" s="77">
        <v>170</v>
      </c>
      <c r="J10" s="77">
        <v>230</v>
      </c>
      <c r="K10" s="77">
        <v>8</v>
      </c>
      <c r="L10" s="77">
        <v>1870</v>
      </c>
      <c r="M10" s="77">
        <v>320</v>
      </c>
      <c r="N10" s="77">
        <v>8</v>
      </c>
      <c r="O10" s="77">
        <v>40</v>
      </c>
      <c r="P10" s="77">
        <v>960</v>
      </c>
      <c r="Q10" s="77">
        <v>24</v>
      </c>
      <c r="R10" s="77" t="s">
        <v>88</v>
      </c>
      <c r="S10" s="77">
        <v>40</v>
      </c>
      <c r="T10" s="77">
        <v>107</v>
      </c>
      <c r="U10" s="78">
        <v>12</v>
      </c>
    </row>
    <row r="11" spans="1:21">
      <c r="A11" s="76">
        <v>1700</v>
      </c>
      <c r="B11" s="77">
        <v>278</v>
      </c>
      <c r="C11" s="77">
        <v>250</v>
      </c>
      <c r="D11" s="77">
        <v>1240</v>
      </c>
      <c r="E11" s="77">
        <v>200</v>
      </c>
      <c r="F11" s="77">
        <v>12</v>
      </c>
      <c r="G11" s="77">
        <v>8</v>
      </c>
      <c r="H11" s="77">
        <v>277</v>
      </c>
      <c r="I11" s="77">
        <v>170</v>
      </c>
      <c r="J11" s="77">
        <v>230</v>
      </c>
      <c r="K11" s="77">
        <v>8</v>
      </c>
      <c r="L11" s="77">
        <v>1990</v>
      </c>
      <c r="M11" s="77">
        <v>320</v>
      </c>
      <c r="N11" s="77">
        <v>8</v>
      </c>
      <c r="O11" s="77">
        <v>40</v>
      </c>
      <c r="P11" s="77">
        <v>1040</v>
      </c>
      <c r="Q11" s="77">
        <v>24</v>
      </c>
      <c r="R11" s="77" t="s">
        <v>88</v>
      </c>
      <c r="S11" s="77">
        <v>40</v>
      </c>
      <c r="T11" s="77">
        <v>113</v>
      </c>
      <c r="U11" s="78">
        <v>12</v>
      </c>
    </row>
    <row r="12" spans="1:21">
      <c r="A12" s="76">
        <v>1800</v>
      </c>
      <c r="B12" s="77">
        <v>295</v>
      </c>
      <c r="C12" s="77">
        <v>250</v>
      </c>
      <c r="D12" s="77">
        <v>1300</v>
      </c>
      <c r="E12" s="77">
        <v>220</v>
      </c>
      <c r="F12" s="77">
        <v>12</v>
      </c>
      <c r="G12" s="77">
        <v>10</v>
      </c>
      <c r="H12" s="77">
        <v>296</v>
      </c>
      <c r="I12" s="77">
        <v>190</v>
      </c>
      <c r="J12" s="77">
        <v>260</v>
      </c>
      <c r="K12" s="77">
        <v>8</v>
      </c>
      <c r="L12" s="77">
        <v>2100</v>
      </c>
      <c r="M12" s="77">
        <v>350</v>
      </c>
      <c r="N12" s="77">
        <v>8</v>
      </c>
      <c r="O12" s="77">
        <v>40</v>
      </c>
      <c r="P12" s="77">
        <v>1120</v>
      </c>
      <c r="Q12" s="77">
        <v>24</v>
      </c>
      <c r="R12" s="77" t="s">
        <v>88</v>
      </c>
      <c r="S12" s="77">
        <v>40</v>
      </c>
      <c r="T12" s="77">
        <v>137</v>
      </c>
      <c r="U12" s="78">
        <v>16</v>
      </c>
    </row>
    <row r="13" spans="1:21">
      <c r="A13" s="76">
        <v>1900</v>
      </c>
      <c r="B13" s="77">
        <v>298</v>
      </c>
      <c r="C13" s="77">
        <v>250</v>
      </c>
      <c r="D13" s="77">
        <v>1360</v>
      </c>
      <c r="E13" s="77">
        <v>220</v>
      </c>
      <c r="F13" s="77">
        <v>12</v>
      </c>
      <c r="G13" s="77">
        <v>10</v>
      </c>
      <c r="H13" s="77">
        <v>316</v>
      </c>
      <c r="I13" s="77">
        <v>190</v>
      </c>
      <c r="J13" s="77">
        <v>260</v>
      </c>
      <c r="K13" s="77">
        <v>8</v>
      </c>
      <c r="L13" s="77">
        <v>2220</v>
      </c>
      <c r="M13" s="77">
        <v>350</v>
      </c>
      <c r="N13" s="77">
        <v>8</v>
      </c>
      <c r="O13" s="77">
        <v>40</v>
      </c>
      <c r="P13" s="77">
        <v>1200</v>
      </c>
      <c r="Q13" s="77">
        <v>24</v>
      </c>
      <c r="R13" s="77" t="s">
        <v>88</v>
      </c>
      <c r="S13" s="77">
        <v>40</v>
      </c>
      <c r="T13" s="77">
        <v>145</v>
      </c>
      <c r="U13" s="78">
        <v>16</v>
      </c>
    </row>
    <row r="14" spans="1:21">
      <c r="A14" s="76">
        <v>2000</v>
      </c>
      <c r="B14" s="77">
        <v>300</v>
      </c>
      <c r="C14" s="77">
        <v>250</v>
      </c>
      <c r="D14" s="77">
        <v>1420</v>
      </c>
      <c r="E14" s="77">
        <v>220</v>
      </c>
      <c r="F14" s="77">
        <v>12</v>
      </c>
      <c r="G14" s="77">
        <v>10</v>
      </c>
      <c r="H14" s="77">
        <v>331</v>
      </c>
      <c r="I14" s="77">
        <v>190</v>
      </c>
      <c r="J14" s="77">
        <v>260</v>
      </c>
      <c r="K14" s="77">
        <v>8</v>
      </c>
      <c r="L14" s="77">
        <v>2330</v>
      </c>
      <c r="M14" s="77">
        <v>350</v>
      </c>
      <c r="N14" s="77">
        <v>8</v>
      </c>
      <c r="O14" s="77">
        <v>40</v>
      </c>
      <c r="P14" s="77">
        <v>1260</v>
      </c>
      <c r="Q14" s="77">
        <v>24</v>
      </c>
      <c r="R14" s="77" t="s">
        <v>88</v>
      </c>
      <c r="S14" s="77">
        <v>40</v>
      </c>
      <c r="T14" s="77">
        <v>152</v>
      </c>
      <c r="U14" s="78">
        <v>17</v>
      </c>
    </row>
    <row r="15" spans="1:21">
      <c r="A15" s="76">
        <v>2100</v>
      </c>
      <c r="B15" s="77">
        <v>404</v>
      </c>
      <c r="C15" s="77">
        <v>250</v>
      </c>
      <c r="D15" s="77">
        <v>1500</v>
      </c>
      <c r="E15" s="77">
        <v>240</v>
      </c>
      <c r="F15" s="77">
        <v>12</v>
      </c>
      <c r="G15" s="77">
        <v>8</v>
      </c>
      <c r="H15" s="77">
        <v>230</v>
      </c>
      <c r="I15" s="77">
        <v>208</v>
      </c>
      <c r="J15" s="77">
        <v>288</v>
      </c>
      <c r="K15" s="77">
        <v>8</v>
      </c>
      <c r="L15" s="77">
        <v>2450</v>
      </c>
      <c r="M15" s="77">
        <v>400</v>
      </c>
      <c r="N15" s="77">
        <v>8</v>
      </c>
      <c r="O15" s="77">
        <v>50</v>
      </c>
      <c r="P15" s="77">
        <v>1300</v>
      </c>
      <c r="Q15" s="77">
        <v>24</v>
      </c>
      <c r="R15" s="77" t="s">
        <v>88</v>
      </c>
      <c r="S15" s="77">
        <v>40</v>
      </c>
      <c r="T15" s="77">
        <v>174</v>
      </c>
      <c r="U15" s="78">
        <v>19</v>
      </c>
    </row>
    <row r="16" spans="1:21">
      <c r="A16" s="76">
        <v>2200</v>
      </c>
      <c r="B16" s="77">
        <v>408</v>
      </c>
      <c r="C16" s="77">
        <v>250</v>
      </c>
      <c r="D16" s="77">
        <v>1580</v>
      </c>
      <c r="E16" s="77">
        <v>240</v>
      </c>
      <c r="F16" s="77">
        <v>12</v>
      </c>
      <c r="G16" s="77">
        <v>8</v>
      </c>
      <c r="H16" s="77">
        <v>243</v>
      </c>
      <c r="I16" s="77">
        <v>208</v>
      </c>
      <c r="J16" s="77">
        <v>288</v>
      </c>
      <c r="K16" s="77">
        <v>8</v>
      </c>
      <c r="L16" s="77">
        <v>2570</v>
      </c>
      <c r="M16" s="77">
        <v>400</v>
      </c>
      <c r="N16" s="77">
        <v>8</v>
      </c>
      <c r="O16" s="77">
        <v>50</v>
      </c>
      <c r="P16" s="77">
        <v>1380</v>
      </c>
      <c r="Q16" s="77">
        <v>24</v>
      </c>
      <c r="R16" s="77" t="s">
        <v>88</v>
      </c>
      <c r="S16" s="77">
        <v>40</v>
      </c>
      <c r="T16" s="77">
        <v>182</v>
      </c>
      <c r="U16" s="78">
        <v>19</v>
      </c>
    </row>
    <row r="17" spans="1:21">
      <c r="A17" s="76">
        <v>2300</v>
      </c>
      <c r="B17" s="77">
        <v>412</v>
      </c>
      <c r="C17" s="77">
        <v>250</v>
      </c>
      <c r="D17" s="77">
        <v>1660</v>
      </c>
      <c r="E17" s="77">
        <v>240</v>
      </c>
      <c r="F17" s="77">
        <v>12</v>
      </c>
      <c r="G17" s="77">
        <v>8</v>
      </c>
      <c r="H17" s="77">
        <v>256</v>
      </c>
      <c r="I17" s="77">
        <v>208</v>
      </c>
      <c r="J17" s="77">
        <v>288</v>
      </c>
      <c r="K17" s="77">
        <v>8</v>
      </c>
      <c r="L17" s="77">
        <v>2680</v>
      </c>
      <c r="M17" s="77">
        <v>400</v>
      </c>
      <c r="N17" s="77">
        <v>8</v>
      </c>
      <c r="O17" s="77">
        <v>50</v>
      </c>
      <c r="P17" s="77">
        <v>1460</v>
      </c>
      <c r="Q17" s="77">
        <v>24</v>
      </c>
      <c r="R17" s="77" t="s">
        <v>88</v>
      </c>
      <c r="S17" s="77">
        <v>40</v>
      </c>
      <c r="T17" s="77">
        <v>191</v>
      </c>
      <c r="U17" s="78">
        <v>20</v>
      </c>
    </row>
    <row r="18" spans="1:21">
      <c r="A18" s="76">
        <v>2400</v>
      </c>
      <c r="B18" s="77">
        <v>436</v>
      </c>
      <c r="C18" s="77">
        <v>250</v>
      </c>
      <c r="D18" s="77">
        <v>1720</v>
      </c>
      <c r="E18" s="77">
        <v>240</v>
      </c>
      <c r="F18" s="77">
        <v>12</v>
      </c>
      <c r="G18" s="77">
        <v>10</v>
      </c>
      <c r="H18" s="77">
        <v>266</v>
      </c>
      <c r="I18" s="77">
        <v>208</v>
      </c>
      <c r="J18" s="77">
        <v>288</v>
      </c>
      <c r="K18" s="77">
        <v>8</v>
      </c>
      <c r="L18" s="77">
        <v>2800</v>
      </c>
      <c r="M18" s="77">
        <v>400</v>
      </c>
      <c r="N18" s="77">
        <v>8</v>
      </c>
      <c r="O18" s="77">
        <v>50</v>
      </c>
      <c r="P18" s="77">
        <v>1520</v>
      </c>
      <c r="Q18" s="77">
        <v>24</v>
      </c>
      <c r="R18" s="77" t="s">
        <v>88</v>
      </c>
      <c r="S18" s="77">
        <v>40</v>
      </c>
      <c r="T18" s="77">
        <v>209</v>
      </c>
      <c r="U18" s="78">
        <v>23</v>
      </c>
    </row>
    <row r="19" spans="1:21">
      <c r="A19" s="76">
        <v>2600</v>
      </c>
      <c r="B19" s="77">
        <v>442</v>
      </c>
      <c r="C19" s="77">
        <v>250</v>
      </c>
      <c r="D19" s="77">
        <v>1880</v>
      </c>
      <c r="E19" s="77">
        <v>300</v>
      </c>
      <c r="F19" s="77">
        <v>12</v>
      </c>
      <c r="G19" s="77">
        <v>10</v>
      </c>
      <c r="H19" s="77">
        <v>293</v>
      </c>
      <c r="I19" s="77">
        <v>268</v>
      </c>
      <c r="J19" s="77">
        <v>358</v>
      </c>
      <c r="K19" s="77">
        <v>8</v>
      </c>
      <c r="L19" s="77">
        <v>3030</v>
      </c>
      <c r="M19" s="77">
        <v>500</v>
      </c>
      <c r="N19" s="77">
        <v>8</v>
      </c>
      <c r="O19" s="77">
        <v>65</v>
      </c>
      <c r="P19" s="77">
        <v>1640</v>
      </c>
      <c r="Q19" s="77">
        <v>24</v>
      </c>
      <c r="R19" s="77" t="s">
        <v>88</v>
      </c>
      <c r="S19" s="77">
        <v>40</v>
      </c>
      <c r="T19" s="77">
        <v>269</v>
      </c>
      <c r="U19" s="78">
        <v>26</v>
      </c>
    </row>
    <row r="20" spans="1:21">
      <c r="A20" s="76">
        <v>2800</v>
      </c>
      <c r="B20" s="77">
        <v>447</v>
      </c>
      <c r="C20" s="77">
        <v>250</v>
      </c>
      <c r="D20" s="77">
        <v>2040</v>
      </c>
      <c r="E20" s="77">
        <v>300</v>
      </c>
      <c r="F20" s="77">
        <v>12</v>
      </c>
      <c r="G20" s="77">
        <v>10</v>
      </c>
      <c r="H20" s="77">
        <v>320</v>
      </c>
      <c r="I20" s="77">
        <v>268</v>
      </c>
      <c r="J20" s="77">
        <v>358</v>
      </c>
      <c r="K20" s="77">
        <v>8</v>
      </c>
      <c r="L20" s="77">
        <v>3260</v>
      </c>
      <c r="M20" s="77">
        <v>500</v>
      </c>
      <c r="N20" s="77">
        <v>8</v>
      </c>
      <c r="O20" s="77">
        <v>65</v>
      </c>
      <c r="P20" s="77">
        <v>1800</v>
      </c>
      <c r="Q20" s="77">
        <v>24</v>
      </c>
      <c r="R20" s="77" t="s">
        <v>88</v>
      </c>
      <c r="S20" s="77">
        <v>40</v>
      </c>
      <c r="T20" s="77">
        <v>291</v>
      </c>
      <c r="U20" s="78">
        <v>28</v>
      </c>
    </row>
    <row r="21" spans="1:21">
      <c r="A21" s="76">
        <v>3000</v>
      </c>
      <c r="B21" s="77">
        <v>786</v>
      </c>
      <c r="C21" s="77">
        <v>250</v>
      </c>
      <c r="D21" s="77">
        <v>2180</v>
      </c>
      <c r="E21" s="77">
        <v>360</v>
      </c>
      <c r="F21" s="77">
        <v>14</v>
      </c>
      <c r="G21" s="77">
        <v>10</v>
      </c>
      <c r="H21" s="77">
        <v>341</v>
      </c>
      <c r="I21" s="77">
        <v>316</v>
      </c>
      <c r="J21" s="77">
        <v>406</v>
      </c>
      <c r="K21" s="77">
        <v>10</v>
      </c>
      <c r="L21" s="77">
        <v>3490</v>
      </c>
      <c r="M21" s="77">
        <v>500</v>
      </c>
      <c r="N21" s="77">
        <v>10</v>
      </c>
      <c r="O21" s="77">
        <v>65</v>
      </c>
      <c r="P21" s="77">
        <v>1940</v>
      </c>
      <c r="Q21" s="77">
        <v>28</v>
      </c>
      <c r="R21" s="77" t="s">
        <v>89</v>
      </c>
      <c r="S21" s="77">
        <v>60</v>
      </c>
      <c r="T21" s="77">
        <v>405</v>
      </c>
      <c r="U21" s="78">
        <v>34</v>
      </c>
    </row>
    <row r="22" spans="1:21">
      <c r="A22" s="76">
        <v>3200</v>
      </c>
      <c r="B22" s="77">
        <v>796</v>
      </c>
      <c r="C22" s="77">
        <v>250</v>
      </c>
      <c r="D22" s="77">
        <v>2340</v>
      </c>
      <c r="E22" s="77">
        <v>360</v>
      </c>
      <c r="F22" s="77">
        <v>14</v>
      </c>
      <c r="G22" s="77">
        <v>10</v>
      </c>
      <c r="H22" s="77">
        <v>368</v>
      </c>
      <c r="I22" s="77">
        <v>316</v>
      </c>
      <c r="J22" s="77">
        <v>406</v>
      </c>
      <c r="K22" s="77">
        <v>10</v>
      </c>
      <c r="L22" s="77">
        <v>3720</v>
      </c>
      <c r="M22" s="77">
        <v>500</v>
      </c>
      <c r="N22" s="77">
        <v>10</v>
      </c>
      <c r="O22" s="77">
        <v>65</v>
      </c>
      <c r="P22" s="77">
        <v>2100</v>
      </c>
      <c r="Q22" s="77">
        <v>28</v>
      </c>
      <c r="R22" s="77" t="s">
        <v>89</v>
      </c>
      <c r="S22" s="77">
        <v>60</v>
      </c>
      <c r="T22" s="77">
        <v>432</v>
      </c>
      <c r="U22" s="78">
        <v>35</v>
      </c>
    </row>
    <row r="23" spans="1:21">
      <c r="A23" s="76">
        <v>3400</v>
      </c>
      <c r="B23" s="77">
        <v>839</v>
      </c>
      <c r="C23" s="77">
        <v>250</v>
      </c>
      <c r="D23" s="77">
        <v>2480</v>
      </c>
      <c r="E23" s="77">
        <v>380</v>
      </c>
      <c r="F23" s="77">
        <v>14</v>
      </c>
      <c r="G23" s="77">
        <v>12</v>
      </c>
      <c r="H23" s="77">
        <v>391</v>
      </c>
      <c r="I23" s="77">
        <v>335</v>
      </c>
      <c r="J23" s="77">
        <v>425</v>
      </c>
      <c r="K23" s="77">
        <v>10</v>
      </c>
      <c r="L23" s="77">
        <v>3950</v>
      </c>
      <c r="M23" s="77">
        <v>600</v>
      </c>
      <c r="N23" s="77">
        <v>10</v>
      </c>
      <c r="O23" s="77">
        <v>80</v>
      </c>
      <c r="P23" s="77">
        <v>2200</v>
      </c>
      <c r="Q23" s="77">
        <v>28</v>
      </c>
      <c r="R23" s="77" t="s">
        <v>89</v>
      </c>
      <c r="S23" s="77">
        <v>60</v>
      </c>
      <c r="T23" s="77">
        <v>503</v>
      </c>
      <c r="U23" s="78">
        <v>41</v>
      </c>
    </row>
    <row r="24" spans="1:21">
      <c r="A24" s="76">
        <v>3600</v>
      </c>
      <c r="B24" s="77">
        <v>848</v>
      </c>
      <c r="C24" s="77">
        <v>250</v>
      </c>
      <c r="D24" s="77">
        <v>2640</v>
      </c>
      <c r="E24" s="77">
        <v>380</v>
      </c>
      <c r="F24" s="77">
        <v>14</v>
      </c>
      <c r="G24" s="77">
        <v>12</v>
      </c>
      <c r="H24" s="77">
        <v>418</v>
      </c>
      <c r="I24" s="77">
        <v>335</v>
      </c>
      <c r="J24" s="77">
        <v>425</v>
      </c>
      <c r="K24" s="77">
        <v>10</v>
      </c>
      <c r="L24" s="77">
        <v>4180</v>
      </c>
      <c r="M24" s="77">
        <v>600</v>
      </c>
      <c r="N24" s="77">
        <v>10</v>
      </c>
      <c r="O24" s="77">
        <v>80</v>
      </c>
      <c r="P24" s="77">
        <v>2360</v>
      </c>
      <c r="Q24" s="77">
        <v>28</v>
      </c>
      <c r="R24" s="77" t="s">
        <v>89</v>
      </c>
      <c r="S24" s="77">
        <v>60</v>
      </c>
      <c r="T24" s="77">
        <v>535</v>
      </c>
      <c r="U24" s="78">
        <v>43</v>
      </c>
    </row>
    <row r="25" spans="1:21">
      <c r="A25" s="76">
        <v>3800</v>
      </c>
      <c r="B25" s="77">
        <v>1332</v>
      </c>
      <c r="C25" s="77">
        <v>250</v>
      </c>
      <c r="D25" s="77">
        <v>2780</v>
      </c>
      <c r="E25" s="77">
        <v>380</v>
      </c>
      <c r="F25" s="77">
        <v>14</v>
      </c>
      <c r="G25" s="77">
        <v>12</v>
      </c>
      <c r="H25" s="77">
        <v>440</v>
      </c>
      <c r="I25" s="77">
        <v>335</v>
      </c>
      <c r="J25" s="77">
        <v>425</v>
      </c>
      <c r="K25" s="77">
        <v>12</v>
      </c>
      <c r="L25" s="77">
        <v>4410</v>
      </c>
      <c r="M25" s="77">
        <v>600</v>
      </c>
      <c r="N25" s="77">
        <v>10</v>
      </c>
      <c r="O25" s="77">
        <v>80</v>
      </c>
      <c r="P25" s="77">
        <v>2500</v>
      </c>
      <c r="Q25" s="77">
        <v>28</v>
      </c>
      <c r="R25" s="77" t="s">
        <v>89</v>
      </c>
      <c r="S25" s="77">
        <v>60</v>
      </c>
      <c r="T25" s="77">
        <v>588</v>
      </c>
      <c r="U25" s="78">
        <v>47</v>
      </c>
    </row>
    <row r="26" spans="1:21" ht="16.149999999999999" thickBot="1">
      <c r="A26" s="79">
        <v>4000</v>
      </c>
      <c r="B26" s="80">
        <v>1347</v>
      </c>
      <c r="C26" s="80">
        <v>250</v>
      </c>
      <c r="D26" s="80">
        <v>2940</v>
      </c>
      <c r="E26" s="80">
        <v>380</v>
      </c>
      <c r="F26" s="80">
        <v>14</v>
      </c>
      <c r="G26" s="80">
        <v>12</v>
      </c>
      <c r="H26" s="80">
        <v>467</v>
      </c>
      <c r="I26" s="80">
        <v>335</v>
      </c>
      <c r="J26" s="80">
        <v>425</v>
      </c>
      <c r="K26" s="80">
        <v>12</v>
      </c>
      <c r="L26" s="80">
        <v>4640</v>
      </c>
      <c r="M26" s="80">
        <v>600</v>
      </c>
      <c r="N26" s="80">
        <v>10</v>
      </c>
      <c r="O26" s="80">
        <v>80</v>
      </c>
      <c r="P26" s="80">
        <v>2660</v>
      </c>
      <c r="Q26" s="80">
        <v>28</v>
      </c>
      <c r="R26" s="80" t="s">
        <v>89</v>
      </c>
      <c r="S26" s="80">
        <v>60</v>
      </c>
      <c r="T26" s="80">
        <v>621</v>
      </c>
      <c r="U26" s="81">
        <v>49</v>
      </c>
    </row>
    <row r="27" spans="1:21" ht="17.649999999999999">
      <c r="A27" s="82"/>
    </row>
    <row r="28" spans="1:21" ht="18.399999999999999" thickBot="1">
      <c r="A28" s="272" t="s">
        <v>1108</v>
      </c>
      <c r="B28" s="272"/>
      <c r="C28" s="272"/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</row>
    <row r="29" spans="1:21">
      <c r="A29" s="69" t="s">
        <v>1077</v>
      </c>
      <c r="B29" s="70" t="s">
        <v>1078</v>
      </c>
      <c r="C29" s="70" t="s">
        <v>1079</v>
      </c>
      <c r="D29" s="269" t="s">
        <v>1080</v>
      </c>
      <c r="E29" s="270"/>
      <c r="F29" s="271"/>
      <c r="G29" s="71" t="s">
        <v>1081</v>
      </c>
      <c r="H29" s="269" t="s">
        <v>1082</v>
      </c>
      <c r="I29" s="270"/>
      <c r="J29" s="270"/>
      <c r="K29" s="271"/>
      <c r="L29" s="269" t="s">
        <v>1083</v>
      </c>
      <c r="M29" s="270"/>
      <c r="N29" s="270"/>
      <c r="O29" s="271"/>
      <c r="P29" s="269" t="s">
        <v>1084</v>
      </c>
      <c r="Q29" s="270"/>
      <c r="R29" s="270"/>
      <c r="S29" s="271"/>
      <c r="T29" s="70" t="s">
        <v>1085</v>
      </c>
      <c r="U29" s="72" t="s">
        <v>1086</v>
      </c>
    </row>
    <row r="30" spans="1:21" ht="22.15">
      <c r="A30" s="73" t="s">
        <v>1087</v>
      </c>
      <c r="B30" s="74" t="s">
        <v>1088</v>
      </c>
      <c r="C30" s="74" t="s">
        <v>1109</v>
      </c>
      <c r="D30" s="74" t="s">
        <v>1110</v>
      </c>
      <c r="E30" s="74" t="s">
        <v>1111</v>
      </c>
      <c r="F30" s="74" t="s">
        <v>1112</v>
      </c>
      <c r="G30" s="74" t="s">
        <v>1113</v>
      </c>
      <c r="H30" s="74" t="s">
        <v>1114</v>
      </c>
      <c r="I30" s="74" t="s">
        <v>1115</v>
      </c>
      <c r="J30" s="74" t="s">
        <v>1116</v>
      </c>
      <c r="K30" s="74" t="s">
        <v>1117</v>
      </c>
      <c r="L30" s="74" t="s">
        <v>1098</v>
      </c>
      <c r="M30" s="74" t="s">
        <v>1118</v>
      </c>
      <c r="N30" s="74" t="s">
        <v>1119</v>
      </c>
      <c r="O30" s="74" t="s">
        <v>1101</v>
      </c>
      <c r="P30" s="74" t="s">
        <v>1120</v>
      </c>
      <c r="Q30" s="74" t="s">
        <v>1103</v>
      </c>
      <c r="R30" s="74" t="s">
        <v>1104</v>
      </c>
      <c r="S30" s="74" t="s">
        <v>1105</v>
      </c>
      <c r="T30" s="74" t="s">
        <v>1106</v>
      </c>
      <c r="U30" s="75" t="s">
        <v>1107</v>
      </c>
    </row>
    <row r="31" spans="1:21">
      <c r="A31" s="76">
        <v>159</v>
      </c>
      <c r="B31" s="77">
        <v>51</v>
      </c>
      <c r="C31" s="77">
        <v>200</v>
      </c>
      <c r="D31" s="77">
        <v>160</v>
      </c>
      <c r="E31" s="77">
        <v>120</v>
      </c>
      <c r="F31" s="77">
        <v>8</v>
      </c>
      <c r="G31" s="77">
        <v>8</v>
      </c>
      <c r="H31" s="77"/>
      <c r="I31" s="77"/>
      <c r="J31" s="77">
        <v>96</v>
      </c>
      <c r="K31" s="77">
        <v>8</v>
      </c>
      <c r="L31" s="77">
        <v>210</v>
      </c>
      <c r="M31" s="77">
        <v>160</v>
      </c>
      <c r="N31" s="77">
        <v>6</v>
      </c>
      <c r="O31" s="77">
        <v>28</v>
      </c>
      <c r="P31" s="77">
        <v>100</v>
      </c>
      <c r="Q31" s="77">
        <v>20</v>
      </c>
      <c r="R31" s="77" t="s">
        <v>87</v>
      </c>
      <c r="S31" s="77">
        <v>20</v>
      </c>
      <c r="T31" s="77">
        <v>6</v>
      </c>
      <c r="U31" s="78">
        <v>2</v>
      </c>
    </row>
    <row r="32" spans="1:21">
      <c r="A32" s="76">
        <v>219</v>
      </c>
      <c r="B32" s="77">
        <v>54</v>
      </c>
      <c r="C32" s="77">
        <v>200</v>
      </c>
      <c r="D32" s="77">
        <v>210</v>
      </c>
      <c r="E32" s="77">
        <v>120</v>
      </c>
      <c r="F32" s="77">
        <v>8</v>
      </c>
      <c r="G32" s="77">
        <v>8</v>
      </c>
      <c r="H32" s="77"/>
      <c r="I32" s="77"/>
      <c r="J32" s="77">
        <v>96</v>
      </c>
      <c r="K32" s="77">
        <v>8</v>
      </c>
      <c r="L32" s="77">
        <v>270</v>
      </c>
      <c r="M32" s="77">
        <v>160</v>
      </c>
      <c r="N32" s="77">
        <v>6</v>
      </c>
      <c r="O32" s="77">
        <v>28</v>
      </c>
      <c r="P32" s="77">
        <v>140</v>
      </c>
      <c r="Q32" s="77">
        <v>20</v>
      </c>
      <c r="R32" s="77" t="s">
        <v>87</v>
      </c>
      <c r="S32" s="77">
        <v>20</v>
      </c>
      <c r="T32" s="77">
        <v>7</v>
      </c>
      <c r="U32" s="78">
        <v>2</v>
      </c>
    </row>
    <row r="33" spans="1:21">
      <c r="A33" s="76">
        <v>273</v>
      </c>
      <c r="B33" s="77">
        <v>56</v>
      </c>
      <c r="C33" s="77">
        <v>200</v>
      </c>
      <c r="D33" s="77">
        <v>260</v>
      </c>
      <c r="E33" s="77">
        <v>120</v>
      </c>
      <c r="F33" s="77">
        <v>8</v>
      </c>
      <c r="G33" s="77">
        <v>8</v>
      </c>
      <c r="H33" s="77"/>
      <c r="I33" s="77"/>
      <c r="J33" s="77">
        <v>96</v>
      </c>
      <c r="K33" s="77">
        <v>8</v>
      </c>
      <c r="L33" s="77">
        <v>330</v>
      </c>
      <c r="M33" s="77">
        <v>160</v>
      </c>
      <c r="N33" s="77">
        <v>6</v>
      </c>
      <c r="O33" s="77">
        <v>28</v>
      </c>
      <c r="P33" s="77">
        <v>180</v>
      </c>
      <c r="Q33" s="77">
        <v>20</v>
      </c>
      <c r="R33" s="77" t="s">
        <v>87</v>
      </c>
      <c r="S33" s="77">
        <v>20</v>
      </c>
      <c r="T33" s="77">
        <v>9</v>
      </c>
      <c r="U33" s="78">
        <v>2</v>
      </c>
    </row>
    <row r="34" spans="1:21">
      <c r="A34" s="76">
        <v>325</v>
      </c>
      <c r="B34" s="77">
        <v>59</v>
      </c>
      <c r="C34" s="77">
        <v>200</v>
      </c>
      <c r="D34" s="77">
        <v>300</v>
      </c>
      <c r="E34" s="77">
        <v>120</v>
      </c>
      <c r="F34" s="77">
        <v>8</v>
      </c>
      <c r="G34" s="77">
        <v>8</v>
      </c>
      <c r="H34" s="77"/>
      <c r="I34" s="77"/>
      <c r="J34" s="77">
        <v>96</v>
      </c>
      <c r="K34" s="77">
        <v>8</v>
      </c>
      <c r="L34" s="77">
        <v>390</v>
      </c>
      <c r="M34" s="77">
        <v>160</v>
      </c>
      <c r="N34" s="77">
        <v>6</v>
      </c>
      <c r="O34" s="77">
        <v>28</v>
      </c>
      <c r="P34" s="77">
        <v>210</v>
      </c>
      <c r="Q34" s="77">
        <v>20</v>
      </c>
      <c r="R34" s="77" t="s">
        <v>87</v>
      </c>
      <c r="S34" s="77">
        <v>20</v>
      </c>
      <c r="T34" s="77">
        <v>10</v>
      </c>
      <c r="U34" s="78">
        <v>2</v>
      </c>
    </row>
    <row r="35" spans="1:21">
      <c r="A35" s="76">
        <v>377</v>
      </c>
      <c r="B35" s="77">
        <v>59</v>
      </c>
      <c r="C35" s="77">
        <v>200</v>
      </c>
      <c r="D35" s="77">
        <v>350</v>
      </c>
      <c r="E35" s="77">
        <v>120</v>
      </c>
      <c r="F35" s="77">
        <v>8</v>
      </c>
      <c r="G35" s="77">
        <v>8</v>
      </c>
      <c r="H35" s="77"/>
      <c r="I35" s="77"/>
      <c r="J35" s="77">
        <v>96</v>
      </c>
      <c r="K35" s="77">
        <v>8</v>
      </c>
      <c r="L35" s="77">
        <v>440</v>
      </c>
      <c r="M35" s="77">
        <v>160</v>
      </c>
      <c r="N35" s="77">
        <v>6</v>
      </c>
      <c r="O35" s="77">
        <v>28</v>
      </c>
      <c r="P35" s="77">
        <v>250</v>
      </c>
      <c r="Q35" s="77">
        <v>20</v>
      </c>
      <c r="R35" s="77" t="s">
        <v>87</v>
      </c>
      <c r="S35" s="77">
        <v>20</v>
      </c>
      <c r="T35" s="77">
        <v>12</v>
      </c>
      <c r="U35" s="78">
        <v>3</v>
      </c>
    </row>
    <row r="36" spans="1:21">
      <c r="A36" s="76">
        <v>426</v>
      </c>
      <c r="B36" s="77">
        <v>61</v>
      </c>
      <c r="C36" s="77">
        <v>250</v>
      </c>
      <c r="D36" s="77">
        <v>390</v>
      </c>
      <c r="E36" s="77">
        <v>120</v>
      </c>
      <c r="F36" s="77">
        <v>8</v>
      </c>
      <c r="G36" s="77">
        <v>8</v>
      </c>
      <c r="H36" s="77"/>
      <c r="I36" s="77"/>
      <c r="J36" s="77">
        <v>96</v>
      </c>
      <c r="K36" s="77">
        <v>8</v>
      </c>
      <c r="L36" s="77">
        <v>500</v>
      </c>
      <c r="M36" s="77">
        <v>160</v>
      </c>
      <c r="N36" s="77">
        <v>6</v>
      </c>
      <c r="O36" s="77">
        <v>28</v>
      </c>
      <c r="P36" s="77">
        <v>280</v>
      </c>
      <c r="Q36" s="77">
        <v>20</v>
      </c>
      <c r="R36" s="77" t="s">
        <v>87</v>
      </c>
      <c r="S36" s="77">
        <v>20</v>
      </c>
      <c r="T36" s="77">
        <v>13</v>
      </c>
      <c r="U36" s="78">
        <v>3</v>
      </c>
    </row>
    <row r="37" spans="1:21">
      <c r="A37" s="76">
        <v>300</v>
      </c>
      <c r="B37" s="77">
        <v>58</v>
      </c>
      <c r="C37" s="77">
        <v>250</v>
      </c>
      <c r="D37" s="77">
        <v>290</v>
      </c>
      <c r="E37" s="77">
        <v>120</v>
      </c>
      <c r="F37" s="77">
        <v>8</v>
      </c>
      <c r="G37" s="77">
        <v>8</v>
      </c>
      <c r="H37" s="77"/>
      <c r="I37" s="77"/>
      <c r="J37" s="77">
        <v>96</v>
      </c>
      <c r="K37" s="77">
        <v>8</v>
      </c>
      <c r="L37" s="77">
        <v>370</v>
      </c>
      <c r="M37" s="77">
        <v>160</v>
      </c>
      <c r="N37" s="77">
        <v>6</v>
      </c>
      <c r="O37" s="77">
        <v>28</v>
      </c>
      <c r="P37" s="77">
        <v>200</v>
      </c>
      <c r="Q37" s="77">
        <v>20</v>
      </c>
      <c r="R37" s="77" t="s">
        <v>87</v>
      </c>
      <c r="S37" s="77">
        <v>20</v>
      </c>
      <c r="T37" s="77">
        <v>10</v>
      </c>
      <c r="U37" s="78">
        <v>2</v>
      </c>
    </row>
    <row r="38" spans="1:21">
      <c r="A38" s="76">
        <v>350</v>
      </c>
      <c r="B38" s="77">
        <v>59</v>
      </c>
      <c r="C38" s="77">
        <v>250</v>
      </c>
      <c r="D38" s="77">
        <v>330</v>
      </c>
      <c r="E38" s="77">
        <v>120</v>
      </c>
      <c r="F38" s="77">
        <v>8</v>
      </c>
      <c r="G38" s="77">
        <v>8</v>
      </c>
      <c r="H38" s="77"/>
      <c r="I38" s="77"/>
      <c r="J38" s="77">
        <v>96</v>
      </c>
      <c r="K38" s="77">
        <v>8</v>
      </c>
      <c r="L38" s="77">
        <v>420</v>
      </c>
      <c r="M38" s="77">
        <v>160</v>
      </c>
      <c r="N38" s="77">
        <v>6</v>
      </c>
      <c r="O38" s="77">
        <v>28</v>
      </c>
      <c r="P38" s="77">
        <v>230</v>
      </c>
      <c r="Q38" s="77">
        <v>20</v>
      </c>
      <c r="R38" s="77" t="s">
        <v>87</v>
      </c>
      <c r="S38" s="77">
        <v>20</v>
      </c>
      <c r="T38" s="77">
        <v>11</v>
      </c>
      <c r="U38" s="78">
        <v>3</v>
      </c>
    </row>
    <row r="39" spans="1:21">
      <c r="A39" s="76">
        <v>400</v>
      </c>
      <c r="B39" s="77">
        <v>60</v>
      </c>
      <c r="C39" s="77">
        <v>250</v>
      </c>
      <c r="D39" s="77">
        <v>380</v>
      </c>
      <c r="E39" s="77">
        <v>120</v>
      </c>
      <c r="F39" s="77">
        <v>8</v>
      </c>
      <c r="G39" s="77">
        <v>8</v>
      </c>
      <c r="H39" s="77"/>
      <c r="I39" s="77"/>
      <c r="J39" s="77">
        <v>96</v>
      </c>
      <c r="K39" s="77">
        <v>8</v>
      </c>
      <c r="L39" s="77">
        <v>480</v>
      </c>
      <c r="M39" s="77">
        <v>160</v>
      </c>
      <c r="N39" s="77">
        <v>6</v>
      </c>
      <c r="O39" s="77">
        <v>28</v>
      </c>
      <c r="P39" s="77">
        <v>260</v>
      </c>
      <c r="Q39" s="77">
        <v>20</v>
      </c>
      <c r="R39" s="77" t="s">
        <v>87</v>
      </c>
      <c r="S39" s="77">
        <v>20</v>
      </c>
      <c r="T39" s="77">
        <v>13</v>
      </c>
      <c r="U39" s="78">
        <v>3</v>
      </c>
    </row>
    <row r="40" spans="1:21">
      <c r="A40" s="76">
        <v>450</v>
      </c>
      <c r="B40" s="77">
        <v>61</v>
      </c>
      <c r="C40" s="77">
        <v>250</v>
      </c>
      <c r="D40" s="77">
        <v>420</v>
      </c>
      <c r="E40" s="77">
        <v>120</v>
      </c>
      <c r="F40" s="77">
        <v>8</v>
      </c>
      <c r="G40" s="77">
        <v>8</v>
      </c>
      <c r="H40" s="77"/>
      <c r="I40" s="77"/>
      <c r="J40" s="77">
        <v>96</v>
      </c>
      <c r="K40" s="77">
        <v>8</v>
      </c>
      <c r="L40" s="77">
        <v>540</v>
      </c>
      <c r="M40" s="77">
        <v>160</v>
      </c>
      <c r="N40" s="77">
        <v>6</v>
      </c>
      <c r="O40" s="77">
        <v>28</v>
      </c>
      <c r="P40" s="77">
        <v>290</v>
      </c>
      <c r="Q40" s="77">
        <v>20</v>
      </c>
      <c r="R40" s="77" t="s">
        <v>87</v>
      </c>
      <c r="S40" s="77">
        <v>20</v>
      </c>
      <c r="T40" s="77">
        <v>14</v>
      </c>
      <c r="U40" s="78">
        <v>3</v>
      </c>
    </row>
    <row r="41" spans="1:21">
      <c r="A41" s="76">
        <v>500</v>
      </c>
      <c r="B41" s="77">
        <v>159</v>
      </c>
      <c r="C41" s="77">
        <v>200</v>
      </c>
      <c r="D41" s="77">
        <v>460</v>
      </c>
      <c r="E41" s="77">
        <v>150</v>
      </c>
      <c r="F41" s="77">
        <v>10</v>
      </c>
      <c r="G41" s="77">
        <v>8</v>
      </c>
      <c r="H41" s="77">
        <v>250</v>
      </c>
      <c r="I41" s="77"/>
      <c r="J41" s="77">
        <v>120</v>
      </c>
      <c r="K41" s="77">
        <v>8</v>
      </c>
      <c r="L41" s="77">
        <v>590</v>
      </c>
      <c r="M41" s="77">
        <v>200</v>
      </c>
      <c r="N41" s="77">
        <v>6</v>
      </c>
      <c r="O41" s="77">
        <v>36</v>
      </c>
      <c r="P41" s="77">
        <v>330</v>
      </c>
      <c r="Q41" s="77">
        <v>20</v>
      </c>
      <c r="R41" s="77" t="s">
        <v>87</v>
      </c>
      <c r="S41" s="77">
        <v>20</v>
      </c>
      <c r="T41" s="77">
        <v>20</v>
      </c>
      <c r="U41" s="78">
        <v>4</v>
      </c>
    </row>
    <row r="42" spans="1:21">
      <c r="A42" s="76">
        <v>550</v>
      </c>
      <c r="B42" s="77">
        <v>163</v>
      </c>
      <c r="C42" s="77">
        <v>200</v>
      </c>
      <c r="D42" s="77">
        <v>510</v>
      </c>
      <c r="E42" s="77">
        <v>150</v>
      </c>
      <c r="F42" s="77">
        <v>10</v>
      </c>
      <c r="G42" s="77">
        <v>8</v>
      </c>
      <c r="H42" s="77">
        <v>275</v>
      </c>
      <c r="I42" s="77"/>
      <c r="J42" s="77">
        <v>120</v>
      </c>
      <c r="K42" s="77">
        <v>8</v>
      </c>
      <c r="L42" s="77">
        <v>650</v>
      </c>
      <c r="M42" s="77">
        <v>200</v>
      </c>
      <c r="N42" s="77">
        <v>6</v>
      </c>
      <c r="O42" s="77">
        <v>36</v>
      </c>
      <c r="P42" s="77">
        <v>360</v>
      </c>
      <c r="Q42" s="77">
        <v>20</v>
      </c>
      <c r="R42" s="77" t="s">
        <v>87</v>
      </c>
      <c r="S42" s="77">
        <v>20</v>
      </c>
      <c r="T42" s="77">
        <v>22</v>
      </c>
      <c r="U42" s="78">
        <v>5</v>
      </c>
    </row>
    <row r="43" spans="1:21">
      <c r="A43" s="76">
        <v>600</v>
      </c>
      <c r="B43" s="77">
        <v>165</v>
      </c>
      <c r="C43" s="77">
        <v>200</v>
      </c>
      <c r="D43" s="77">
        <v>550</v>
      </c>
      <c r="E43" s="77">
        <v>150</v>
      </c>
      <c r="F43" s="77">
        <v>10</v>
      </c>
      <c r="G43" s="77">
        <v>8</v>
      </c>
      <c r="H43" s="77">
        <v>300</v>
      </c>
      <c r="I43" s="77"/>
      <c r="J43" s="77">
        <v>120</v>
      </c>
      <c r="K43" s="77">
        <v>8</v>
      </c>
      <c r="L43" s="77">
        <v>710</v>
      </c>
      <c r="M43" s="77">
        <v>200</v>
      </c>
      <c r="N43" s="77">
        <v>6</v>
      </c>
      <c r="O43" s="77">
        <v>36</v>
      </c>
      <c r="P43" s="77">
        <v>400</v>
      </c>
      <c r="Q43" s="77">
        <v>20</v>
      </c>
      <c r="R43" s="77" t="s">
        <v>87</v>
      </c>
      <c r="S43" s="77">
        <v>20</v>
      </c>
      <c r="T43" s="77">
        <v>24</v>
      </c>
      <c r="U43" s="78">
        <v>5</v>
      </c>
    </row>
    <row r="44" spans="1:21">
      <c r="A44" s="76">
        <v>650</v>
      </c>
      <c r="B44" s="77">
        <v>167</v>
      </c>
      <c r="C44" s="77">
        <v>200</v>
      </c>
      <c r="D44" s="77">
        <v>590</v>
      </c>
      <c r="E44" s="77">
        <v>150</v>
      </c>
      <c r="F44" s="77">
        <v>10</v>
      </c>
      <c r="G44" s="77">
        <v>8</v>
      </c>
      <c r="H44" s="77">
        <v>325</v>
      </c>
      <c r="I44" s="77"/>
      <c r="J44" s="77">
        <v>120</v>
      </c>
      <c r="K44" s="77">
        <v>8</v>
      </c>
      <c r="L44" s="77">
        <v>770</v>
      </c>
      <c r="M44" s="77">
        <v>200</v>
      </c>
      <c r="N44" s="77">
        <v>6</v>
      </c>
      <c r="O44" s="77">
        <v>36</v>
      </c>
      <c r="P44" s="77">
        <v>430</v>
      </c>
      <c r="Q44" s="77">
        <v>20</v>
      </c>
      <c r="R44" s="77" t="s">
        <v>87</v>
      </c>
      <c r="S44" s="77">
        <v>20</v>
      </c>
      <c r="T44" s="77">
        <v>26</v>
      </c>
      <c r="U44" s="78">
        <v>5</v>
      </c>
    </row>
    <row r="45" spans="1:21">
      <c r="A45" s="76">
        <v>700</v>
      </c>
      <c r="B45" s="77">
        <v>170</v>
      </c>
      <c r="C45" s="77">
        <v>200</v>
      </c>
      <c r="D45" s="77">
        <v>640</v>
      </c>
      <c r="E45" s="77">
        <v>150</v>
      </c>
      <c r="F45" s="77">
        <v>10</v>
      </c>
      <c r="G45" s="77">
        <v>8</v>
      </c>
      <c r="H45" s="77">
        <v>350</v>
      </c>
      <c r="I45" s="77"/>
      <c r="J45" s="77">
        <v>120</v>
      </c>
      <c r="K45" s="77">
        <v>8</v>
      </c>
      <c r="L45" s="77">
        <v>830</v>
      </c>
      <c r="M45" s="77">
        <v>200</v>
      </c>
      <c r="N45" s="77">
        <v>6</v>
      </c>
      <c r="O45" s="77">
        <v>36</v>
      </c>
      <c r="P45" s="77">
        <v>460</v>
      </c>
      <c r="Q45" s="77">
        <v>20</v>
      </c>
      <c r="R45" s="77" t="s">
        <v>87</v>
      </c>
      <c r="S45" s="77">
        <v>20</v>
      </c>
      <c r="T45" s="77">
        <v>28</v>
      </c>
      <c r="U45" s="78">
        <v>5</v>
      </c>
    </row>
    <row r="46" spans="1:21">
      <c r="A46" s="76">
        <v>800</v>
      </c>
      <c r="B46" s="77">
        <v>220</v>
      </c>
      <c r="C46" s="77">
        <v>200</v>
      </c>
      <c r="D46" s="77">
        <v>720</v>
      </c>
      <c r="E46" s="77">
        <v>150</v>
      </c>
      <c r="F46" s="77">
        <v>10</v>
      </c>
      <c r="G46" s="77">
        <v>10</v>
      </c>
      <c r="H46" s="77">
        <v>400</v>
      </c>
      <c r="I46" s="77">
        <v>140</v>
      </c>
      <c r="J46" s="77">
        <v>120</v>
      </c>
      <c r="K46" s="77">
        <v>10</v>
      </c>
      <c r="L46" s="77">
        <v>940</v>
      </c>
      <c r="M46" s="77">
        <v>200</v>
      </c>
      <c r="N46" s="77">
        <v>6</v>
      </c>
      <c r="O46" s="77">
        <v>36</v>
      </c>
      <c r="P46" s="77">
        <v>530</v>
      </c>
      <c r="Q46" s="77">
        <v>20</v>
      </c>
      <c r="R46" s="77" t="s">
        <v>87</v>
      </c>
      <c r="S46" s="77">
        <v>20</v>
      </c>
      <c r="T46" s="77">
        <v>35</v>
      </c>
      <c r="U46" s="78">
        <v>7</v>
      </c>
    </row>
    <row r="47" spans="1:21">
      <c r="A47" s="76">
        <v>900</v>
      </c>
      <c r="B47" s="77">
        <v>225</v>
      </c>
      <c r="C47" s="77">
        <v>200</v>
      </c>
      <c r="D47" s="77">
        <v>810</v>
      </c>
      <c r="E47" s="77">
        <v>150</v>
      </c>
      <c r="F47" s="77">
        <v>10</v>
      </c>
      <c r="G47" s="77">
        <v>10</v>
      </c>
      <c r="H47" s="77">
        <v>450</v>
      </c>
      <c r="I47" s="77">
        <v>140</v>
      </c>
      <c r="J47" s="77">
        <v>120</v>
      </c>
      <c r="K47" s="77">
        <v>10</v>
      </c>
      <c r="L47" s="77">
        <v>1060</v>
      </c>
      <c r="M47" s="77">
        <v>200</v>
      </c>
      <c r="N47" s="77">
        <v>6</v>
      </c>
      <c r="O47" s="77">
        <v>36</v>
      </c>
      <c r="P47" s="77">
        <v>590</v>
      </c>
      <c r="Q47" s="77">
        <v>20</v>
      </c>
      <c r="R47" s="77" t="s">
        <v>87</v>
      </c>
      <c r="S47" s="77">
        <v>20</v>
      </c>
      <c r="T47" s="77">
        <v>40</v>
      </c>
      <c r="U47" s="78">
        <v>8</v>
      </c>
    </row>
    <row r="48" spans="1:21">
      <c r="A48" s="76">
        <v>1000</v>
      </c>
      <c r="B48" s="77">
        <v>307</v>
      </c>
      <c r="C48" s="77">
        <v>200</v>
      </c>
      <c r="D48" s="77">
        <v>760</v>
      </c>
      <c r="E48" s="77">
        <v>170</v>
      </c>
      <c r="F48" s="77">
        <v>12</v>
      </c>
      <c r="G48" s="77">
        <v>8</v>
      </c>
      <c r="H48" s="77">
        <v>170</v>
      </c>
      <c r="I48" s="77">
        <v>140</v>
      </c>
      <c r="J48" s="77">
        <v>180</v>
      </c>
      <c r="K48" s="77">
        <v>8</v>
      </c>
      <c r="L48" s="77">
        <v>1180</v>
      </c>
      <c r="M48" s="77">
        <v>270</v>
      </c>
      <c r="N48" s="77">
        <v>8</v>
      </c>
      <c r="O48" s="77">
        <v>40</v>
      </c>
      <c r="P48" s="77">
        <v>600</v>
      </c>
      <c r="Q48" s="77">
        <v>24</v>
      </c>
      <c r="R48" s="77" t="s">
        <v>88</v>
      </c>
      <c r="S48" s="77">
        <v>40</v>
      </c>
      <c r="T48" s="77">
        <v>57</v>
      </c>
      <c r="U48" s="78">
        <v>9</v>
      </c>
    </row>
    <row r="49" spans="1:21">
      <c r="A49" s="76">
        <v>1100</v>
      </c>
      <c r="B49" s="77">
        <v>312</v>
      </c>
      <c r="C49" s="77">
        <v>200</v>
      </c>
      <c r="D49" s="77">
        <v>820</v>
      </c>
      <c r="E49" s="77">
        <v>170</v>
      </c>
      <c r="F49" s="77">
        <v>12</v>
      </c>
      <c r="G49" s="77">
        <v>8</v>
      </c>
      <c r="H49" s="77">
        <v>185</v>
      </c>
      <c r="I49" s="77">
        <v>140</v>
      </c>
      <c r="J49" s="77">
        <v>180</v>
      </c>
      <c r="K49" s="77">
        <v>8</v>
      </c>
      <c r="L49" s="77">
        <v>1290</v>
      </c>
      <c r="M49" s="77">
        <v>270</v>
      </c>
      <c r="N49" s="77">
        <v>8</v>
      </c>
      <c r="O49" s="77">
        <v>40</v>
      </c>
      <c r="P49" s="77">
        <v>660</v>
      </c>
      <c r="Q49" s="77">
        <v>24</v>
      </c>
      <c r="R49" s="77" t="s">
        <v>88</v>
      </c>
      <c r="S49" s="77">
        <v>40</v>
      </c>
      <c r="T49" s="77">
        <v>62</v>
      </c>
      <c r="U49" s="78">
        <v>9</v>
      </c>
    </row>
    <row r="50" spans="1:21">
      <c r="A50" s="76">
        <v>1200</v>
      </c>
      <c r="B50" s="77">
        <v>562</v>
      </c>
      <c r="C50" s="77">
        <v>200</v>
      </c>
      <c r="D50" s="77">
        <v>880</v>
      </c>
      <c r="E50" s="77">
        <v>170</v>
      </c>
      <c r="F50" s="77">
        <v>12</v>
      </c>
      <c r="G50" s="77">
        <v>10</v>
      </c>
      <c r="H50" s="77">
        <v>200</v>
      </c>
      <c r="I50" s="77">
        <v>140</v>
      </c>
      <c r="J50" s="77">
        <v>180</v>
      </c>
      <c r="K50" s="77">
        <v>10</v>
      </c>
      <c r="L50" s="77">
        <v>1410</v>
      </c>
      <c r="M50" s="77">
        <v>270</v>
      </c>
      <c r="N50" s="77">
        <v>8</v>
      </c>
      <c r="O50" s="77">
        <v>40</v>
      </c>
      <c r="P50" s="77">
        <v>720</v>
      </c>
      <c r="Q50" s="77">
        <v>24</v>
      </c>
      <c r="R50" s="77" t="s">
        <v>88</v>
      </c>
      <c r="S50" s="77">
        <v>40</v>
      </c>
      <c r="T50" s="77">
        <v>80</v>
      </c>
      <c r="U50" s="78">
        <v>12</v>
      </c>
    </row>
    <row r="51" spans="1:21">
      <c r="A51" s="76">
        <v>1300</v>
      </c>
      <c r="B51" s="77">
        <v>571</v>
      </c>
      <c r="C51" s="77">
        <v>200</v>
      </c>
      <c r="D51" s="77">
        <v>940</v>
      </c>
      <c r="E51" s="77">
        <v>170</v>
      </c>
      <c r="F51" s="77">
        <v>12</v>
      </c>
      <c r="G51" s="77">
        <v>10</v>
      </c>
      <c r="H51" s="77">
        <v>215</v>
      </c>
      <c r="I51" s="77">
        <v>140</v>
      </c>
      <c r="J51" s="77">
        <v>180</v>
      </c>
      <c r="K51" s="77">
        <v>10</v>
      </c>
      <c r="L51" s="77">
        <v>1520</v>
      </c>
      <c r="M51" s="77">
        <v>270</v>
      </c>
      <c r="N51" s="77">
        <v>8</v>
      </c>
      <c r="O51" s="77">
        <v>40</v>
      </c>
      <c r="P51" s="77">
        <v>780</v>
      </c>
      <c r="Q51" s="77">
        <v>24</v>
      </c>
      <c r="R51" s="77" t="s">
        <v>88</v>
      </c>
      <c r="S51" s="77">
        <v>40</v>
      </c>
      <c r="T51" s="77">
        <v>86</v>
      </c>
      <c r="U51" s="78">
        <v>12</v>
      </c>
    </row>
    <row r="52" spans="1:21">
      <c r="A52" s="76">
        <v>1400</v>
      </c>
      <c r="B52" s="77">
        <v>579</v>
      </c>
      <c r="C52" s="77">
        <v>200</v>
      </c>
      <c r="D52" s="77">
        <v>1000</v>
      </c>
      <c r="E52" s="77">
        <v>170</v>
      </c>
      <c r="F52" s="77">
        <v>12</v>
      </c>
      <c r="G52" s="77">
        <v>10</v>
      </c>
      <c r="H52" s="77">
        <v>230</v>
      </c>
      <c r="I52" s="77">
        <v>140</v>
      </c>
      <c r="J52" s="77">
        <v>180</v>
      </c>
      <c r="K52" s="77">
        <v>10</v>
      </c>
      <c r="L52" s="77">
        <v>1640</v>
      </c>
      <c r="M52" s="77">
        <v>270</v>
      </c>
      <c r="N52" s="77">
        <v>8</v>
      </c>
      <c r="O52" s="77">
        <v>40</v>
      </c>
      <c r="P52" s="77">
        <v>840</v>
      </c>
      <c r="Q52" s="77">
        <v>24</v>
      </c>
      <c r="R52" s="77" t="s">
        <v>88</v>
      </c>
      <c r="S52" s="77">
        <v>40</v>
      </c>
      <c r="T52" s="77">
        <v>92</v>
      </c>
      <c r="U52" s="78">
        <v>13</v>
      </c>
    </row>
    <row r="53" spans="1:21">
      <c r="A53" s="76">
        <v>1500</v>
      </c>
      <c r="B53" s="77">
        <v>786</v>
      </c>
      <c r="C53" s="77">
        <v>250</v>
      </c>
      <c r="D53" s="77">
        <v>1060</v>
      </c>
      <c r="E53" s="77">
        <v>200</v>
      </c>
      <c r="F53" s="77">
        <v>16</v>
      </c>
      <c r="G53" s="77">
        <v>12</v>
      </c>
      <c r="H53" s="77">
        <v>242</v>
      </c>
      <c r="I53" s="77">
        <v>170</v>
      </c>
      <c r="J53" s="77">
        <v>230</v>
      </c>
      <c r="K53" s="77">
        <v>12</v>
      </c>
      <c r="L53" s="77">
        <v>1760</v>
      </c>
      <c r="M53" s="77">
        <v>320</v>
      </c>
      <c r="N53" s="77">
        <v>10</v>
      </c>
      <c r="O53" s="77">
        <v>40</v>
      </c>
      <c r="P53" s="77">
        <v>900</v>
      </c>
      <c r="Q53" s="77">
        <v>24</v>
      </c>
      <c r="R53" s="77" t="s">
        <v>88</v>
      </c>
      <c r="S53" s="77">
        <v>40</v>
      </c>
      <c r="T53" s="77">
        <v>138</v>
      </c>
      <c r="U53" s="78">
        <v>17</v>
      </c>
    </row>
    <row r="54" spans="1:21">
      <c r="A54" s="76">
        <v>1600</v>
      </c>
      <c r="B54" s="77">
        <v>796</v>
      </c>
      <c r="C54" s="77">
        <v>250</v>
      </c>
      <c r="D54" s="77">
        <v>1120</v>
      </c>
      <c r="E54" s="77">
        <v>200</v>
      </c>
      <c r="F54" s="77">
        <v>16</v>
      </c>
      <c r="G54" s="77">
        <v>12</v>
      </c>
      <c r="H54" s="77">
        <v>257</v>
      </c>
      <c r="I54" s="77">
        <v>170</v>
      </c>
      <c r="J54" s="77">
        <v>230</v>
      </c>
      <c r="K54" s="77">
        <v>12</v>
      </c>
      <c r="L54" s="77">
        <v>1870</v>
      </c>
      <c r="M54" s="77">
        <v>320</v>
      </c>
      <c r="N54" s="77">
        <v>10</v>
      </c>
      <c r="O54" s="77">
        <v>40</v>
      </c>
      <c r="P54" s="77">
        <v>960</v>
      </c>
      <c r="Q54" s="77">
        <v>24</v>
      </c>
      <c r="R54" s="77" t="s">
        <v>88</v>
      </c>
      <c r="S54" s="77">
        <v>40</v>
      </c>
      <c r="T54" s="77">
        <v>146</v>
      </c>
      <c r="U54" s="78">
        <v>18</v>
      </c>
    </row>
    <row r="55" spans="1:21">
      <c r="A55" s="76">
        <v>1700</v>
      </c>
      <c r="B55" s="77">
        <v>809</v>
      </c>
      <c r="C55" s="77">
        <v>250</v>
      </c>
      <c r="D55" s="77">
        <v>1200</v>
      </c>
      <c r="E55" s="77">
        <v>200</v>
      </c>
      <c r="F55" s="77">
        <v>16</v>
      </c>
      <c r="G55" s="77">
        <v>12</v>
      </c>
      <c r="H55" s="77">
        <v>277</v>
      </c>
      <c r="I55" s="77">
        <v>170</v>
      </c>
      <c r="J55" s="77">
        <v>230</v>
      </c>
      <c r="K55" s="77">
        <v>12</v>
      </c>
      <c r="L55" s="77">
        <v>1990</v>
      </c>
      <c r="M55" s="77">
        <v>320</v>
      </c>
      <c r="N55" s="77">
        <v>10</v>
      </c>
      <c r="O55" s="77">
        <v>40</v>
      </c>
      <c r="P55" s="77">
        <v>1040</v>
      </c>
      <c r="Q55" s="77">
        <v>24</v>
      </c>
      <c r="R55" s="77" t="s">
        <v>88</v>
      </c>
      <c r="S55" s="77">
        <v>40</v>
      </c>
      <c r="T55" s="77">
        <v>155</v>
      </c>
      <c r="U55" s="78">
        <v>19</v>
      </c>
    </row>
    <row r="56" spans="1:21">
      <c r="A56" s="76">
        <v>1800</v>
      </c>
      <c r="B56" s="77">
        <v>856</v>
      </c>
      <c r="C56" s="77">
        <v>250</v>
      </c>
      <c r="D56" s="77">
        <v>1280</v>
      </c>
      <c r="E56" s="77">
        <v>220</v>
      </c>
      <c r="F56" s="77">
        <v>16</v>
      </c>
      <c r="G56" s="77">
        <v>14</v>
      </c>
      <c r="H56" s="77">
        <v>296</v>
      </c>
      <c r="I56" s="77">
        <v>190</v>
      </c>
      <c r="J56" s="77">
        <v>260</v>
      </c>
      <c r="K56" s="77">
        <v>12</v>
      </c>
      <c r="L56" s="77">
        <v>2100</v>
      </c>
      <c r="M56" s="77">
        <v>350</v>
      </c>
      <c r="N56" s="77">
        <v>10</v>
      </c>
      <c r="O56" s="77">
        <v>40</v>
      </c>
      <c r="P56" s="77">
        <v>1120</v>
      </c>
      <c r="Q56" s="77">
        <v>24</v>
      </c>
      <c r="R56" s="77" t="s">
        <v>88</v>
      </c>
      <c r="S56" s="77">
        <v>40</v>
      </c>
      <c r="T56" s="77">
        <v>185</v>
      </c>
      <c r="U56" s="78">
        <v>22</v>
      </c>
    </row>
    <row r="57" spans="1:21">
      <c r="A57" s="76">
        <v>1900</v>
      </c>
      <c r="B57" s="77">
        <v>867</v>
      </c>
      <c r="C57" s="77">
        <v>250</v>
      </c>
      <c r="D57" s="77">
        <v>1360</v>
      </c>
      <c r="E57" s="77">
        <v>220</v>
      </c>
      <c r="F57" s="77">
        <v>16</v>
      </c>
      <c r="G57" s="77">
        <v>14</v>
      </c>
      <c r="H57" s="77">
        <v>316</v>
      </c>
      <c r="I57" s="77">
        <v>190</v>
      </c>
      <c r="J57" s="77">
        <v>260</v>
      </c>
      <c r="K57" s="77">
        <v>12</v>
      </c>
      <c r="L57" s="77">
        <v>2220</v>
      </c>
      <c r="M57" s="77">
        <v>350</v>
      </c>
      <c r="N57" s="77">
        <v>10</v>
      </c>
      <c r="O57" s="77">
        <v>40</v>
      </c>
      <c r="P57" s="77">
        <v>1200</v>
      </c>
      <c r="Q57" s="77">
        <v>24</v>
      </c>
      <c r="R57" s="77" t="s">
        <v>88</v>
      </c>
      <c r="S57" s="77">
        <v>40</v>
      </c>
      <c r="T57" s="77">
        <v>195</v>
      </c>
      <c r="U57" s="78">
        <v>23</v>
      </c>
    </row>
    <row r="58" spans="1:21">
      <c r="A58" s="76">
        <v>2000</v>
      </c>
      <c r="B58" s="77">
        <v>875</v>
      </c>
      <c r="C58" s="77">
        <v>250</v>
      </c>
      <c r="D58" s="77">
        <v>1420</v>
      </c>
      <c r="E58" s="77">
        <v>220</v>
      </c>
      <c r="F58" s="77">
        <v>16</v>
      </c>
      <c r="G58" s="77">
        <v>14</v>
      </c>
      <c r="H58" s="77">
        <v>331</v>
      </c>
      <c r="I58" s="77">
        <v>190</v>
      </c>
      <c r="J58" s="77">
        <v>260</v>
      </c>
      <c r="K58" s="77">
        <v>12</v>
      </c>
      <c r="L58" s="77">
        <v>2330</v>
      </c>
      <c r="M58" s="77">
        <v>350</v>
      </c>
      <c r="N58" s="77">
        <v>10</v>
      </c>
      <c r="O58" s="77">
        <v>40</v>
      </c>
      <c r="P58" s="77">
        <v>1260</v>
      </c>
      <c r="Q58" s="77">
        <v>24</v>
      </c>
      <c r="R58" s="77" t="s">
        <v>88</v>
      </c>
      <c r="S58" s="77">
        <v>40</v>
      </c>
      <c r="T58" s="77">
        <v>205</v>
      </c>
      <c r="U58" s="78">
        <v>24</v>
      </c>
    </row>
    <row r="59" spans="1:21">
      <c r="A59" s="76">
        <v>2100</v>
      </c>
      <c r="B59" s="77">
        <v>1217</v>
      </c>
      <c r="C59" s="77">
        <v>250</v>
      </c>
      <c r="D59" s="77">
        <v>1500</v>
      </c>
      <c r="E59" s="77">
        <v>240</v>
      </c>
      <c r="F59" s="77">
        <v>14</v>
      </c>
      <c r="G59" s="77">
        <v>14</v>
      </c>
      <c r="H59" s="77">
        <v>230</v>
      </c>
      <c r="I59" s="77">
        <v>208</v>
      </c>
      <c r="J59" s="77">
        <v>288</v>
      </c>
      <c r="K59" s="77">
        <v>12</v>
      </c>
      <c r="L59" s="77">
        <v>2450</v>
      </c>
      <c r="M59" s="77">
        <v>400</v>
      </c>
      <c r="N59" s="77">
        <v>12</v>
      </c>
      <c r="O59" s="77">
        <v>50</v>
      </c>
      <c r="P59" s="77">
        <v>1300</v>
      </c>
      <c r="Q59" s="77">
        <v>24</v>
      </c>
      <c r="R59" s="77" t="s">
        <v>88</v>
      </c>
      <c r="S59" s="77">
        <v>40</v>
      </c>
      <c r="T59" s="77">
        <v>274</v>
      </c>
      <c r="U59" s="78">
        <v>30</v>
      </c>
    </row>
    <row r="60" spans="1:21">
      <c r="A60" s="76">
        <v>2200</v>
      </c>
      <c r="B60" s="77">
        <v>1232</v>
      </c>
      <c r="C60" s="77">
        <v>250</v>
      </c>
      <c r="D60" s="77">
        <v>1580</v>
      </c>
      <c r="E60" s="77">
        <v>240</v>
      </c>
      <c r="F60" s="77">
        <v>14</v>
      </c>
      <c r="G60" s="77">
        <v>14</v>
      </c>
      <c r="H60" s="77">
        <v>243</v>
      </c>
      <c r="I60" s="77">
        <v>208</v>
      </c>
      <c r="J60" s="77">
        <v>288</v>
      </c>
      <c r="K60" s="77">
        <v>12</v>
      </c>
      <c r="L60" s="77">
        <v>2570</v>
      </c>
      <c r="M60" s="77">
        <v>400</v>
      </c>
      <c r="N60" s="77">
        <v>12</v>
      </c>
      <c r="O60" s="77">
        <v>50</v>
      </c>
      <c r="P60" s="77">
        <v>1380</v>
      </c>
      <c r="Q60" s="77">
        <v>24</v>
      </c>
      <c r="R60" s="77" t="s">
        <v>88</v>
      </c>
      <c r="S60" s="77">
        <v>40</v>
      </c>
      <c r="T60" s="77">
        <v>287</v>
      </c>
      <c r="U60" s="78">
        <v>31</v>
      </c>
    </row>
    <row r="61" spans="1:21">
      <c r="A61" s="76">
        <v>2300</v>
      </c>
      <c r="B61" s="77">
        <v>1829</v>
      </c>
      <c r="C61" s="77">
        <v>250</v>
      </c>
      <c r="D61" s="77">
        <v>1660</v>
      </c>
      <c r="E61" s="77">
        <v>240</v>
      </c>
      <c r="F61" s="77">
        <v>16</v>
      </c>
      <c r="G61" s="77">
        <v>16</v>
      </c>
      <c r="H61" s="77">
        <v>256</v>
      </c>
      <c r="I61" s="77">
        <v>208</v>
      </c>
      <c r="J61" s="77">
        <v>288</v>
      </c>
      <c r="K61" s="77">
        <v>14</v>
      </c>
      <c r="L61" s="77">
        <v>2680</v>
      </c>
      <c r="M61" s="77">
        <v>400</v>
      </c>
      <c r="N61" s="77">
        <v>12</v>
      </c>
      <c r="O61" s="77">
        <v>50</v>
      </c>
      <c r="P61" s="77">
        <v>1460</v>
      </c>
      <c r="Q61" s="77">
        <v>24</v>
      </c>
      <c r="R61" s="77" t="s">
        <v>88</v>
      </c>
      <c r="S61" s="77">
        <v>40</v>
      </c>
      <c r="T61" s="77">
        <v>324</v>
      </c>
      <c r="U61" s="78">
        <v>37</v>
      </c>
    </row>
    <row r="62" spans="1:21">
      <c r="A62" s="76">
        <v>2400</v>
      </c>
      <c r="B62" s="77">
        <v>1845</v>
      </c>
      <c r="C62" s="77">
        <v>250</v>
      </c>
      <c r="D62" s="77">
        <v>1720</v>
      </c>
      <c r="E62" s="77">
        <v>240</v>
      </c>
      <c r="F62" s="77">
        <v>16</v>
      </c>
      <c r="G62" s="77">
        <v>16</v>
      </c>
      <c r="H62" s="77">
        <v>266</v>
      </c>
      <c r="I62" s="77">
        <v>208</v>
      </c>
      <c r="J62" s="77">
        <v>288</v>
      </c>
      <c r="K62" s="77">
        <v>14</v>
      </c>
      <c r="L62" s="77">
        <v>2800</v>
      </c>
      <c r="M62" s="77">
        <v>400</v>
      </c>
      <c r="N62" s="77">
        <v>12</v>
      </c>
      <c r="O62" s="77">
        <v>50</v>
      </c>
      <c r="P62" s="77">
        <v>1520</v>
      </c>
      <c r="Q62" s="77">
        <v>24</v>
      </c>
      <c r="R62" s="77" t="s">
        <v>88</v>
      </c>
      <c r="S62" s="77">
        <v>40</v>
      </c>
      <c r="T62" s="77">
        <v>336</v>
      </c>
      <c r="U62" s="78">
        <v>38</v>
      </c>
    </row>
    <row r="63" spans="1:21">
      <c r="A63" s="76">
        <v>2600</v>
      </c>
      <c r="B63" s="77">
        <v>1951</v>
      </c>
      <c r="C63" s="77">
        <v>250</v>
      </c>
      <c r="D63" s="77">
        <v>1880</v>
      </c>
      <c r="E63" s="77">
        <v>300</v>
      </c>
      <c r="F63" s="77">
        <v>18</v>
      </c>
      <c r="G63" s="77">
        <v>18</v>
      </c>
      <c r="H63" s="77">
        <v>293</v>
      </c>
      <c r="I63" s="77">
        <v>268</v>
      </c>
      <c r="J63" s="77">
        <v>358</v>
      </c>
      <c r="K63" s="77">
        <v>14</v>
      </c>
      <c r="L63" s="77">
        <v>3030</v>
      </c>
      <c r="M63" s="77">
        <v>500</v>
      </c>
      <c r="N63" s="77">
        <v>12</v>
      </c>
      <c r="O63" s="77">
        <v>65</v>
      </c>
      <c r="P63" s="77">
        <v>1640</v>
      </c>
      <c r="Q63" s="77">
        <v>24</v>
      </c>
      <c r="R63" s="77" t="s">
        <v>88</v>
      </c>
      <c r="S63" s="77">
        <v>40</v>
      </c>
      <c r="T63" s="77">
        <v>454</v>
      </c>
      <c r="U63" s="78">
        <v>47</v>
      </c>
    </row>
    <row r="64" spans="1:21">
      <c r="A64" s="76">
        <v>2800</v>
      </c>
      <c r="B64" s="77">
        <v>1989</v>
      </c>
      <c r="C64" s="77">
        <v>250</v>
      </c>
      <c r="D64" s="77">
        <v>2040</v>
      </c>
      <c r="E64" s="77">
        <v>300</v>
      </c>
      <c r="F64" s="77">
        <v>18</v>
      </c>
      <c r="G64" s="77">
        <v>18</v>
      </c>
      <c r="H64" s="77">
        <v>320</v>
      </c>
      <c r="I64" s="77">
        <v>316</v>
      </c>
      <c r="J64" s="77">
        <v>406</v>
      </c>
      <c r="K64" s="77">
        <v>14</v>
      </c>
      <c r="L64" s="77">
        <v>3260</v>
      </c>
      <c r="M64" s="77">
        <v>500</v>
      </c>
      <c r="N64" s="77">
        <v>12</v>
      </c>
      <c r="O64" s="77">
        <v>65</v>
      </c>
      <c r="P64" s="77">
        <v>1800</v>
      </c>
      <c r="Q64" s="77">
        <v>24</v>
      </c>
      <c r="R64" s="77" t="s">
        <v>88</v>
      </c>
      <c r="S64" s="77">
        <v>40</v>
      </c>
      <c r="T64" s="77">
        <v>491</v>
      </c>
      <c r="U64" s="78">
        <v>49</v>
      </c>
    </row>
    <row r="65" spans="1:21">
      <c r="A65" s="76">
        <v>3000</v>
      </c>
      <c r="B65" s="77">
        <v>2803</v>
      </c>
      <c r="C65" s="77">
        <v>250</v>
      </c>
      <c r="D65" s="77">
        <v>2180</v>
      </c>
      <c r="E65" s="77">
        <v>360</v>
      </c>
      <c r="F65" s="77">
        <v>20</v>
      </c>
      <c r="G65" s="77">
        <v>20</v>
      </c>
      <c r="H65" s="77">
        <v>341</v>
      </c>
      <c r="I65" s="77">
        <v>316</v>
      </c>
      <c r="J65" s="77">
        <v>406</v>
      </c>
      <c r="K65" s="77">
        <v>16</v>
      </c>
      <c r="L65" s="77">
        <v>3490</v>
      </c>
      <c r="M65" s="77">
        <v>550</v>
      </c>
      <c r="N65" s="77">
        <v>14</v>
      </c>
      <c r="O65" s="77">
        <v>65</v>
      </c>
      <c r="P65" s="77">
        <v>1940</v>
      </c>
      <c r="Q65" s="77">
        <v>28</v>
      </c>
      <c r="R65" s="77" t="s">
        <v>89</v>
      </c>
      <c r="S65" s="77">
        <v>60</v>
      </c>
      <c r="T65" s="77">
        <v>636</v>
      </c>
      <c r="U65" s="78">
        <v>65</v>
      </c>
    </row>
    <row r="66" spans="1:21">
      <c r="A66" s="76">
        <v>3200</v>
      </c>
      <c r="B66" s="77">
        <v>2853</v>
      </c>
      <c r="C66" s="77">
        <v>250</v>
      </c>
      <c r="D66" s="77">
        <v>2340</v>
      </c>
      <c r="E66" s="77">
        <v>360</v>
      </c>
      <c r="F66" s="77">
        <v>20</v>
      </c>
      <c r="G66" s="77">
        <v>20</v>
      </c>
      <c r="H66" s="77">
        <v>368</v>
      </c>
      <c r="I66" s="77">
        <v>335</v>
      </c>
      <c r="J66" s="77">
        <v>425</v>
      </c>
      <c r="K66" s="77">
        <v>16</v>
      </c>
      <c r="L66" s="77">
        <v>3720</v>
      </c>
      <c r="M66" s="77">
        <v>550</v>
      </c>
      <c r="N66" s="77">
        <v>14</v>
      </c>
      <c r="O66" s="77">
        <v>65</v>
      </c>
      <c r="P66" s="77">
        <v>2100</v>
      </c>
      <c r="Q66" s="77">
        <v>28</v>
      </c>
      <c r="R66" s="77" t="s">
        <v>89</v>
      </c>
      <c r="S66" s="77">
        <v>60</v>
      </c>
      <c r="T66" s="77">
        <v>682</v>
      </c>
      <c r="U66" s="78">
        <v>67</v>
      </c>
    </row>
    <row r="67" spans="1:21">
      <c r="A67" s="76">
        <v>3400</v>
      </c>
      <c r="B67" s="77">
        <v>2979</v>
      </c>
      <c r="C67" s="77">
        <v>250</v>
      </c>
      <c r="D67" s="77">
        <v>2480</v>
      </c>
      <c r="E67" s="77">
        <v>380</v>
      </c>
      <c r="F67" s="77">
        <v>22</v>
      </c>
      <c r="G67" s="77">
        <v>22</v>
      </c>
      <c r="H67" s="77">
        <v>391</v>
      </c>
      <c r="I67" s="77">
        <v>335</v>
      </c>
      <c r="J67" s="77">
        <v>425</v>
      </c>
      <c r="K67" s="77">
        <v>16</v>
      </c>
      <c r="L67" s="77">
        <v>3950</v>
      </c>
      <c r="M67" s="77">
        <v>600</v>
      </c>
      <c r="N67" s="77">
        <v>14</v>
      </c>
      <c r="O67" s="77">
        <v>80</v>
      </c>
      <c r="P67" s="77">
        <v>2200</v>
      </c>
      <c r="Q67" s="77">
        <v>28</v>
      </c>
      <c r="R67" s="77" t="s">
        <v>89</v>
      </c>
      <c r="S67" s="77">
        <v>60</v>
      </c>
      <c r="T67" s="77">
        <v>795</v>
      </c>
      <c r="U67" s="78">
        <v>75</v>
      </c>
    </row>
    <row r="68" spans="1:21">
      <c r="A68" s="76">
        <v>3600</v>
      </c>
      <c r="B68" s="77">
        <v>3024</v>
      </c>
      <c r="C68" s="77">
        <v>250</v>
      </c>
      <c r="D68" s="77">
        <v>2640</v>
      </c>
      <c r="E68" s="77">
        <v>380</v>
      </c>
      <c r="F68" s="77">
        <v>22</v>
      </c>
      <c r="G68" s="77">
        <v>22</v>
      </c>
      <c r="H68" s="77">
        <v>418</v>
      </c>
      <c r="I68" s="77">
        <v>335</v>
      </c>
      <c r="J68" s="77">
        <v>425</v>
      </c>
      <c r="K68" s="77">
        <v>16</v>
      </c>
      <c r="L68" s="77">
        <v>4180</v>
      </c>
      <c r="M68" s="77">
        <v>600</v>
      </c>
      <c r="N68" s="77">
        <v>14</v>
      </c>
      <c r="O68" s="77">
        <v>80</v>
      </c>
      <c r="P68" s="77">
        <v>2360</v>
      </c>
      <c r="Q68" s="77">
        <v>28</v>
      </c>
      <c r="R68" s="77" t="s">
        <v>89</v>
      </c>
      <c r="S68" s="77">
        <v>60</v>
      </c>
      <c r="T68" s="77">
        <v>847</v>
      </c>
      <c r="U68" s="78">
        <v>78</v>
      </c>
    </row>
    <row r="69" spans="1:21">
      <c r="A69" s="76">
        <v>3800</v>
      </c>
      <c r="B69" s="77">
        <v>4128</v>
      </c>
      <c r="C69" s="77">
        <v>250</v>
      </c>
      <c r="D69" s="77">
        <v>2780</v>
      </c>
      <c r="E69" s="77">
        <v>380</v>
      </c>
      <c r="F69" s="77">
        <v>25</v>
      </c>
      <c r="G69" s="77">
        <v>25</v>
      </c>
      <c r="H69" s="77">
        <v>440</v>
      </c>
      <c r="I69" s="77">
        <v>335</v>
      </c>
      <c r="J69" s="77">
        <v>425</v>
      </c>
      <c r="K69" s="77">
        <v>18</v>
      </c>
      <c r="L69" s="77">
        <v>4410</v>
      </c>
      <c r="M69" s="77">
        <v>600</v>
      </c>
      <c r="N69" s="77">
        <v>14</v>
      </c>
      <c r="O69" s="77">
        <v>80</v>
      </c>
      <c r="P69" s="77">
        <v>2500</v>
      </c>
      <c r="Q69" s="77">
        <v>28</v>
      </c>
      <c r="R69" s="77" t="s">
        <v>89</v>
      </c>
      <c r="S69" s="77">
        <v>60</v>
      </c>
      <c r="T69" s="77">
        <v>977</v>
      </c>
      <c r="U69" s="78">
        <v>90</v>
      </c>
    </row>
    <row r="70" spans="1:21" ht="16.149999999999999" thickBot="1">
      <c r="A70" s="79">
        <v>4000</v>
      </c>
      <c r="B70" s="80">
        <v>4186</v>
      </c>
      <c r="C70" s="80">
        <v>250</v>
      </c>
      <c r="D70" s="80">
        <v>2940</v>
      </c>
      <c r="E70" s="80">
        <v>380</v>
      </c>
      <c r="F70" s="80">
        <v>25</v>
      </c>
      <c r="G70" s="80">
        <v>25</v>
      </c>
      <c r="H70" s="80">
        <v>467</v>
      </c>
      <c r="I70" s="80">
        <v>335</v>
      </c>
      <c r="J70" s="80">
        <v>425</v>
      </c>
      <c r="K70" s="80">
        <v>18</v>
      </c>
      <c r="L70" s="80">
        <v>4640</v>
      </c>
      <c r="M70" s="80">
        <v>600</v>
      </c>
      <c r="N70" s="80">
        <v>14</v>
      </c>
      <c r="O70" s="80">
        <v>80</v>
      </c>
      <c r="P70" s="80">
        <v>2660</v>
      </c>
      <c r="Q70" s="80">
        <v>28</v>
      </c>
      <c r="R70" s="80" t="s">
        <v>89</v>
      </c>
      <c r="S70" s="80">
        <v>60</v>
      </c>
      <c r="T70" s="80">
        <v>1036</v>
      </c>
      <c r="U70" s="81">
        <v>94</v>
      </c>
    </row>
    <row r="71" spans="1:21" ht="17.649999999999999">
      <c r="A71" s="82"/>
    </row>
    <row r="72" spans="1:21" ht="18.399999999999999" thickBot="1">
      <c r="A72" s="272" t="s">
        <v>1121</v>
      </c>
      <c r="B72" s="272"/>
      <c r="C72" s="272"/>
      <c r="D72" s="272"/>
      <c r="E72" s="272"/>
      <c r="F72" s="272"/>
      <c r="G72" s="272"/>
      <c r="H72" s="272"/>
      <c r="I72" s="272"/>
      <c r="J72" s="272"/>
      <c r="K72" s="272"/>
      <c r="L72" s="272"/>
      <c r="M72" s="272"/>
      <c r="N72" s="272"/>
      <c r="O72" s="272"/>
      <c r="P72" s="272"/>
      <c r="Q72" s="272"/>
      <c r="R72" s="272"/>
      <c r="S72" s="272"/>
      <c r="T72" s="272"/>
      <c r="U72" s="272"/>
    </row>
    <row r="73" spans="1:21">
      <c r="A73" s="69" t="s">
        <v>1077</v>
      </c>
      <c r="B73" s="70" t="s">
        <v>1078</v>
      </c>
      <c r="C73" s="70" t="s">
        <v>1079</v>
      </c>
      <c r="D73" s="269" t="s">
        <v>1080</v>
      </c>
      <c r="E73" s="270"/>
      <c r="F73" s="271"/>
      <c r="G73" s="71" t="s">
        <v>1081</v>
      </c>
      <c r="H73" s="269" t="s">
        <v>1082</v>
      </c>
      <c r="I73" s="270"/>
      <c r="J73" s="270"/>
      <c r="K73" s="271"/>
      <c r="L73" s="269" t="s">
        <v>1083</v>
      </c>
      <c r="M73" s="270"/>
      <c r="N73" s="270"/>
      <c r="O73" s="271"/>
      <c r="P73" s="269" t="s">
        <v>1084</v>
      </c>
      <c r="Q73" s="270"/>
      <c r="R73" s="270"/>
      <c r="S73" s="271"/>
      <c r="T73" s="70" t="s">
        <v>1085</v>
      </c>
      <c r="U73" s="72" t="s">
        <v>1086</v>
      </c>
    </row>
    <row r="74" spans="1:21" ht="22.15">
      <c r="A74" s="73" t="s">
        <v>1087</v>
      </c>
      <c r="B74" s="74" t="s">
        <v>1088</v>
      </c>
      <c r="C74" s="74" t="s">
        <v>1109</v>
      </c>
      <c r="D74" s="74" t="s">
        <v>1110</v>
      </c>
      <c r="E74" s="74" t="s">
        <v>1111</v>
      </c>
      <c r="F74" s="74" t="s">
        <v>1112</v>
      </c>
      <c r="G74" s="74" t="s">
        <v>1113</v>
      </c>
      <c r="H74" s="74" t="s">
        <v>1114</v>
      </c>
      <c r="I74" s="74" t="s">
        <v>1115</v>
      </c>
      <c r="J74" s="74" t="s">
        <v>1116</v>
      </c>
      <c r="K74" s="74" t="s">
        <v>1117</v>
      </c>
      <c r="L74" s="74" t="s">
        <v>1098</v>
      </c>
      <c r="M74" s="74" t="s">
        <v>1118</v>
      </c>
      <c r="N74" s="74" t="s">
        <v>1119</v>
      </c>
      <c r="O74" s="74" t="s">
        <v>1101</v>
      </c>
      <c r="P74" s="74" t="s">
        <v>1120</v>
      </c>
      <c r="Q74" s="74" t="s">
        <v>1103</v>
      </c>
      <c r="R74" s="74" t="s">
        <v>1104</v>
      </c>
      <c r="S74" s="74" t="s">
        <v>1105</v>
      </c>
      <c r="T74" s="74" t="s">
        <v>1106</v>
      </c>
      <c r="U74" s="75" t="s">
        <v>1107</v>
      </c>
    </row>
    <row r="75" spans="1:21">
      <c r="A75" s="76">
        <v>1500</v>
      </c>
      <c r="B75" s="77">
        <v>823</v>
      </c>
      <c r="C75" s="77">
        <v>250</v>
      </c>
      <c r="D75" s="77">
        <v>1300</v>
      </c>
      <c r="E75" s="77">
        <v>200</v>
      </c>
      <c r="F75" s="77">
        <v>16</v>
      </c>
      <c r="G75" s="77">
        <v>12</v>
      </c>
      <c r="H75" s="77">
        <v>313</v>
      </c>
      <c r="I75" s="77">
        <v>170</v>
      </c>
      <c r="J75" s="77">
        <v>230</v>
      </c>
      <c r="K75" s="77">
        <v>12</v>
      </c>
      <c r="L75" s="77">
        <v>2150</v>
      </c>
      <c r="M75" s="77">
        <v>320</v>
      </c>
      <c r="N75" s="77">
        <v>10</v>
      </c>
      <c r="O75" s="77">
        <v>40</v>
      </c>
      <c r="P75" s="77">
        <v>900</v>
      </c>
      <c r="Q75" s="77">
        <v>24</v>
      </c>
      <c r="R75" s="77" t="s">
        <v>88</v>
      </c>
      <c r="S75" s="77">
        <v>40</v>
      </c>
      <c r="T75" s="77">
        <v>165</v>
      </c>
      <c r="U75" s="78">
        <v>18</v>
      </c>
    </row>
    <row r="76" spans="1:21">
      <c r="A76" s="76">
        <v>1600</v>
      </c>
      <c r="B76" s="77">
        <v>834</v>
      </c>
      <c r="C76" s="77">
        <v>250</v>
      </c>
      <c r="D76" s="77">
        <v>1380</v>
      </c>
      <c r="E76" s="77">
        <v>200</v>
      </c>
      <c r="F76" s="77">
        <v>16</v>
      </c>
      <c r="G76" s="77">
        <v>12</v>
      </c>
      <c r="H76" s="77">
        <v>333</v>
      </c>
      <c r="I76" s="77">
        <v>170</v>
      </c>
      <c r="J76" s="77">
        <v>230</v>
      </c>
      <c r="K76" s="77">
        <v>12</v>
      </c>
      <c r="L76" s="77">
        <v>2290</v>
      </c>
      <c r="M76" s="77">
        <v>320</v>
      </c>
      <c r="N76" s="77">
        <v>10</v>
      </c>
      <c r="O76" s="77">
        <v>40</v>
      </c>
      <c r="P76" s="77">
        <v>960</v>
      </c>
      <c r="Q76" s="77">
        <v>24</v>
      </c>
      <c r="R76" s="77" t="s">
        <v>88</v>
      </c>
      <c r="S76" s="77">
        <v>40</v>
      </c>
      <c r="T76" s="77">
        <v>176</v>
      </c>
      <c r="U76" s="78">
        <v>19</v>
      </c>
    </row>
    <row r="77" spans="1:21">
      <c r="A77" s="76">
        <v>1700</v>
      </c>
      <c r="B77" s="77">
        <v>845</v>
      </c>
      <c r="C77" s="77">
        <v>250</v>
      </c>
      <c r="D77" s="77">
        <v>1460</v>
      </c>
      <c r="E77" s="77">
        <v>200</v>
      </c>
      <c r="F77" s="77">
        <v>16</v>
      </c>
      <c r="G77" s="77">
        <v>12</v>
      </c>
      <c r="H77" s="77">
        <v>353</v>
      </c>
      <c r="I77" s="77">
        <v>170</v>
      </c>
      <c r="J77" s="77">
        <v>230</v>
      </c>
      <c r="K77" s="77">
        <v>12</v>
      </c>
      <c r="L77" s="77">
        <v>2430</v>
      </c>
      <c r="M77" s="77">
        <v>320</v>
      </c>
      <c r="N77" s="77">
        <v>10</v>
      </c>
      <c r="O77" s="77">
        <v>40</v>
      </c>
      <c r="P77" s="77">
        <v>1040</v>
      </c>
      <c r="Q77" s="77">
        <v>24</v>
      </c>
      <c r="R77" s="77" t="s">
        <v>88</v>
      </c>
      <c r="S77" s="77">
        <v>40</v>
      </c>
      <c r="T77" s="77">
        <v>187</v>
      </c>
      <c r="U77" s="78">
        <v>20</v>
      </c>
    </row>
    <row r="78" spans="1:21">
      <c r="A78" s="76">
        <v>1800</v>
      </c>
      <c r="B78" s="77">
        <v>890</v>
      </c>
      <c r="C78" s="77">
        <v>250</v>
      </c>
      <c r="D78" s="77">
        <v>1540</v>
      </c>
      <c r="E78" s="77">
        <v>220</v>
      </c>
      <c r="F78" s="77">
        <v>16</v>
      </c>
      <c r="G78" s="77">
        <v>14</v>
      </c>
      <c r="H78" s="77">
        <v>373</v>
      </c>
      <c r="I78" s="77">
        <v>190</v>
      </c>
      <c r="J78" s="77">
        <v>260</v>
      </c>
      <c r="K78" s="77">
        <v>12</v>
      </c>
      <c r="L78" s="77">
        <v>2580</v>
      </c>
      <c r="M78" s="77">
        <v>350</v>
      </c>
      <c r="N78" s="77">
        <v>10</v>
      </c>
      <c r="O78" s="77">
        <v>40</v>
      </c>
      <c r="P78" s="77">
        <v>1120</v>
      </c>
      <c r="Q78" s="77">
        <v>24</v>
      </c>
      <c r="R78" s="77" t="s">
        <v>88</v>
      </c>
      <c r="S78" s="77">
        <v>40</v>
      </c>
      <c r="T78" s="77">
        <v>230</v>
      </c>
      <c r="U78" s="78">
        <v>25</v>
      </c>
    </row>
    <row r="79" spans="1:21">
      <c r="A79" s="76">
        <v>1900</v>
      </c>
      <c r="B79" s="77">
        <v>897</v>
      </c>
      <c r="C79" s="77">
        <v>250</v>
      </c>
      <c r="D79" s="77">
        <v>1600</v>
      </c>
      <c r="E79" s="77">
        <v>220</v>
      </c>
      <c r="F79" s="77">
        <v>16</v>
      </c>
      <c r="G79" s="77">
        <v>14</v>
      </c>
      <c r="H79" s="77">
        <v>388</v>
      </c>
      <c r="I79" s="77">
        <v>190</v>
      </c>
      <c r="J79" s="77">
        <v>260</v>
      </c>
      <c r="K79" s="77">
        <v>12</v>
      </c>
      <c r="L79" s="77">
        <v>2720</v>
      </c>
      <c r="M79" s="77">
        <v>350</v>
      </c>
      <c r="N79" s="77">
        <v>10</v>
      </c>
      <c r="O79" s="77">
        <v>40</v>
      </c>
      <c r="P79" s="77">
        <v>1200</v>
      </c>
      <c r="Q79" s="77">
        <v>24</v>
      </c>
      <c r="R79" s="77" t="s">
        <v>88</v>
      </c>
      <c r="S79" s="77">
        <v>40</v>
      </c>
      <c r="T79" s="77">
        <v>242</v>
      </c>
      <c r="U79" s="78">
        <v>26</v>
      </c>
    </row>
    <row r="80" spans="1:21">
      <c r="A80" s="76">
        <v>2000</v>
      </c>
      <c r="B80" s="77">
        <v>905</v>
      </c>
      <c r="C80" s="77">
        <v>250</v>
      </c>
      <c r="D80" s="77">
        <v>1680</v>
      </c>
      <c r="E80" s="77">
        <v>220</v>
      </c>
      <c r="F80" s="77">
        <v>16</v>
      </c>
      <c r="G80" s="77">
        <v>14</v>
      </c>
      <c r="H80" s="77">
        <v>408</v>
      </c>
      <c r="I80" s="77">
        <v>190</v>
      </c>
      <c r="J80" s="77">
        <v>260</v>
      </c>
      <c r="K80" s="77">
        <v>12</v>
      </c>
      <c r="L80" s="77">
        <v>2860</v>
      </c>
      <c r="M80" s="77">
        <v>350</v>
      </c>
      <c r="N80" s="77">
        <v>10</v>
      </c>
      <c r="O80" s="77">
        <v>40</v>
      </c>
      <c r="P80" s="77">
        <v>1260</v>
      </c>
      <c r="Q80" s="77">
        <v>24</v>
      </c>
      <c r="R80" s="77" t="s">
        <v>88</v>
      </c>
      <c r="S80" s="77">
        <v>40</v>
      </c>
      <c r="T80" s="77">
        <v>254</v>
      </c>
      <c r="U80" s="78">
        <v>27</v>
      </c>
    </row>
    <row r="81" spans="1:21">
      <c r="A81" s="76">
        <v>2100</v>
      </c>
      <c r="B81" s="77">
        <v>1261</v>
      </c>
      <c r="C81" s="77">
        <v>250</v>
      </c>
      <c r="D81" s="77">
        <v>1760</v>
      </c>
      <c r="E81" s="77">
        <v>240</v>
      </c>
      <c r="F81" s="77">
        <v>16</v>
      </c>
      <c r="G81" s="77">
        <v>14</v>
      </c>
      <c r="H81" s="77">
        <v>286</v>
      </c>
      <c r="I81" s="77">
        <v>208</v>
      </c>
      <c r="J81" s="77">
        <v>288</v>
      </c>
      <c r="K81" s="77">
        <v>12</v>
      </c>
      <c r="L81" s="77">
        <v>3010</v>
      </c>
      <c r="M81" s="77">
        <v>400</v>
      </c>
      <c r="N81" s="77">
        <v>12</v>
      </c>
      <c r="O81" s="77">
        <v>50</v>
      </c>
      <c r="P81" s="77">
        <v>1300</v>
      </c>
      <c r="Q81" s="77">
        <v>24</v>
      </c>
      <c r="R81" s="77" t="s">
        <v>88</v>
      </c>
      <c r="S81" s="77">
        <v>40</v>
      </c>
      <c r="T81" s="77">
        <v>335</v>
      </c>
      <c r="U81" s="78">
        <v>33</v>
      </c>
    </row>
    <row r="82" spans="1:21">
      <c r="A82" s="76">
        <v>2200</v>
      </c>
      <c r="B82" s="77">
        <v>1274</v>
      </c>
      <c r="C82" s="77">
        <v>250</v>
      </c>
      <c r="D82" s="77">
        <v>1840</v>
      </c>
      <c r="E82" s="77">
        <v>240</v>
      </c>
      <c r="F82" s="77">
        <v>16</v>
      </c>
      <c r="G82" s="77">
        <v>14</v>
      </c>
      <c r="H82" s="77">
        <v>299</v>
      </c>
      <c r="I82" s="77">
        <v>208</v>
      </c>
      <c r="J82" s="77">
        <v>288</v>
      </c>
      <c r="K82" s="77">
        <v>12</v>
      </c>
      <c r="L82" s="77">
        <v>3150</v>
      </c>
      <c r="M82" s="77">
        <v>400</v>
      </c>
      <c r="N82" s="77">
        <v>12</v>
      </c>
      <c r="O82" s="77">
        <v>50</v>
      </c>
      <c r="P82" s="77">
        <v>1380</v>
      </c>
      <c r="Q82" s="77">
        <v>24</v>
      </c>
      <c r="R82" s="77" t="s">
        <v>88</v>
      </c>
      <c r="S82" s="77">
        <v>40</v>
      </c>
      <c r="T82" s="77">
        <v>351</v>
      </c>
      <c r="U82" s="78">
        <v>34</v>
      </c>
    </row>
    <row r="83" spans="1:21">
      <c r="A83" s="76">
        <v>2300</v>
      </c>
      <c r="B83" s="77">
        <v>1894</v>
      </c>
      <c r="C83" s="77">
        <v>250</v>
      </c>
      <c r="D83" s="77">
        <v>1920</v>
      </c>
      <c r="E83" s="77">
        <v>240</v>
      </c>
      <c r="F83" s="77">
        <v>16</v>
      </c>
      <c r="G83" s="77">
        <v>16</v>
      </c>
      <c r="H83" s="77">
        <v>312</v>
      </c>
      <c r="I83" s="77">
        <v>208</v>
      </c>
      <c r="J83" s="77">
        <v>288</v>
      </c>
      <c r="K83" s="77">
        <v>14</v>
      </c>
      <c r="L83" s="77">
        <v>3290</v>
      </c>
      <c r="M83" s="77">
        <v>400</v>
      </c>
      <c r="N83" s="77">
        <v>12</v>
      </c>
      <c r="O83" s="77">
        <v>50</v>
      </c>
      <c r="P83" s="77">
        <v>1460</v>
      </c>
      <c r="Q83" s="77">
        <v>24</v>
      </c>
      <c r="R83" s="77" t="s">
        <v>88</v>
      </c>
      <c r="S83" s="77">
        <v>40</v>
      </c>
      <c r="T83" s="77">
        <v>396</v>
      </c>
      <c r="U83" s="78">
        <v>40</v>
      </c>
    </row>
    <row r="84" spans="1:21">
      <c r="A84" s="76">
        <v>2400</v>
      </c>
      <c r="B84" s="77">
        <v>1912</v>
      </c>
      <c r="C84" s="77">
        <v>250</v>
      </c>
      <c r="D84" s="77">
        <v>2000</v>
      </c>
      <c r="E84" s="77">
        <v>240</v>
      </c>
      <c r="F84" s="77">
        <v>16</v>
      </c>
      <c r="G84" s="77">
        <v>16</v>
      </c>
      <c r="H84" s="77">
        <v>326</v>
      </c>
      <c r="I84" s="77">
        <v>208</v>
      </c>
      <c r="J84" s="77">
        <v>288</v>
      </c>
      <c r="K84" s="77">
        <v>14</v>
      </c>
      <c r="L84" s="77">
        <v>3430</v>
      </c>
      <c r="M84" s="77">
        <v>400</v>
      </c>
      <c r="N84" s="77">
        <v>12</v>
      </c>
      <c r="O84" s="77">
        <v>50</v>
      </c>
      <c r="P84" s="77">
        <v>1520</v>
      </c>
      <c r="Q84" s="77">
        <v>24</v>
      </c>
      <c r="R84" s="77" t="s">
        <v>88</v>
      </c>
      <c r="S84" s="77">
        <v>40</v>
      </c>
      <c r="T84" s="77">
        <v>413</v>
      </c>
      <c r="U84" s="78">
        <v>41</v>
      </c>
    </row>
    <row r="85" spans="1:21">
      <c r="A85" s="76">
        <v>2600</v>
      </c>
      <c r="B85" s="77">
        <v>2011</v>
      </c>
      <c r="C85" s="77">
        <v>250</v>
      </c>
      <c r="D85" s="77">
        <v>2140</v>
      </c>
      <c r="E85" s="77">
        <v>300</v>
      </c>
      <c r="F85" s="77">
        <v>18</v>
      </c>
      <c r="G85" s="77">
        <v>18</v>
      </c>
      <c r="H85" s="77">
        <v>349</v>
      </c>
      <c r="I85" s="77">
        <v>268</v>
      </c>
      <c r="J85" s="77">
        <v>358</v>
      </c>
      <c r="K85" s="77">
        <v>14</v>
      </c>
      <c r="L85" s="77">
        <v>3710</v>
      </c>
      <c r="M85" s="77">
        <v>500</v>
      </c>
      <c r="N85" s="77">
        <v>12</v>
      </c>
      <c r="O85" s="77">
        <v>65</v>
      </c>
      <c r="P85" s="77">
        <v>1640</v>
      </c>
      <c r="Q85" s="77">
        <v>24</v>
      </c>
      <c r="R85" s="77" t="s">
        <v>88</v>
      </c>
      <c r="S85" s="77">
        <v>40</v>
      </c>
      <c r="T85" s="77">
        <v>552</v>
      </c>
      <c r="U85" s="78">
        <v>51</v>
      </c>
    </row>
    <row r="86" spans="1:21">
      <c r="A86" s="76">
        <v>2800</v>
      </c>
      <c r="B86" s="77">
        <v>2044</v>
      </c>
      <c r="C86" s="77">
        <v>250</v>
      </c>
      <c r="D86" s="77">
        <v>2300</v>
      </c>
      <c r="E86" s="77">
        <v>300</v>
      </c>
      <c r="F86" s="77">
        <v>18</v>
      </c>
      <c r="G86" s="77">
        <v>18</v>
      </c>
      <c r="H86" s="77">
        <v>376</v>
      </c>
      <c r="I86" s="77">
        <v>268</v>
      </c>
      <c r="J86" s="77">
        <v>358</v>
      </c>
      <c r="K86" s="77">
        <v>14</v>
      </c>
      <c r="L86" s="77">
        <v>3990</v>
      </c>
      <c r="M86" s="77">
        <v>500</v>
      </c>
      <c r="N86" s="77">
        <v>12</v>
      </c>
      <c r="O86" s="77">
        <v>65</v>
      </c>
      <c r="P86" s="77">
        <v>1800</v>
      </c>
      <c r="Q86" s="77">
        <v>24</v>
      </c>
      <c r="R86" s="77" t="s">
        <v>88</v>
      </c>
      <c r="S86" s="77">
        <v>40</v>
      </c>
      <c r="T86" s="77">
        <v>596</v>
      </c>
      <c r="U86" s="78">
        <v>53</v>
      </c>
    </row>
    <row r="87" spans="1:21">
      <c r="A87" s="76">
        <v>3000</v>
      </c>
      <c r="B87" s="77">
        <v>2888</v>
      </c>
      <c r="C87" s="77">
        <v>250</v>
      </c>
      <c r="D87" s="77">
        <v>2460</v>
      </c>
      <c r="E87" s="77">
        <v>360</v>
      </c>
      <c r="F87" s="77">
        <v>20</v>
      </c>
      <c r="G87" s="77">
        <v>20</v>
      </c>
      <c r="H87" s="77">
        <v>402</v>
      </c>
      <c r="I87" s="77">
        <v>316</v>
      </c>
      <c r="J87" s="77">
        <v>406</v>
      </c>
      <c r="K87" s="77">
        <v>16</v>
      </c>
      <c r="L87" s="77">
        <v>4280</v>
      </c>
      <c r="M87" s="77">
        <v>550</v>
      </c>
      <c r="N87" s="77">
        <v>14</v>
      </c>
      <c r="O87" s="77">
        <v>65</v>
      </c>
      <c r="P87" s="77">
        <v>1940</v>
      </c>
      <c r="Q87" s="77">
        <v>28</v>
      </c>
      <c r="R87" s="77" t="s">
        <v>89</v>
      </c>
      <c r="S87" s="77">
        <v>60</v>
      </c>
      <c r="T87" s="77">
        <v>773</v>
      </c>
      <c r="U87" s="78">
        <v>69</v>
      </c>
    </row>
    <row r="88" spans="1:21">
      <c r="A88" s="76">
        <v>3200</v>
      </c>
      <c r="B88" s="77">
        <v>2927</v>
      </c>
      <c r="C88" s="77">
        <v>250</v>
      </c>
      <c r="D88" s="77">
        <v>2600</v>
      </c>
      <c r="E88" s="77">
        <v>360</v>
      </c>
      <c r="F88" s="77">
        <v>20</v>
      </c>
      <c r="G88" s="77">
        <v>20</v>
      </c>
      <c r="H88" s="77">
        <v>426</v>
      </c>
      <c r="I88" s="77">
        <v>316</v>
      </c>
      <c r="J88" s="77">
        <v>406</v>
      </c>
      <c r="K88" s="77">
        <v>16</v>
      </c>
      <c r="L88" s="77">
        <v>4570</v>
      </c>
      <c r="M88" s="77">
        <v>550</v>
      </c>
      <c r="N88" s="77">
        <v>14</v>
      </c>
      <c r="O88" s="77">
        <v>65</v>
      </c>
      <c r="P88" s="77">
        <v>2100</v>
      </c>
      <c r="Q88" s="77">
        <v>28</v>
      </c>
      <c r="R88" s="77" t="s">
        <v>89</v>
      </c>
      <c r="S88" s="77">
        <v>60</v>
      </c>
      <c r="T88" s="77">
        <v>824</v>
      </c>
      <c r="U88" s="78">
        <v>71</v>
      </c>
    </row>
    <row r="89" spans="1:21">
      <c r="A89" s="76">
        <v>3400</v>
      </c>
      <c r="B89" s="77">
        <v>3055</v>
      </c>
      <c r="C89" s="77">
        <v>250</v>
      </c>
      <c r="D89" s="77">
        <v>2760</v>
      </c>
      <c r="E89" s="77">
        <v>380</v>
      </c>
      <c r="F89" s="77">
        <v>22</v>
      </c>
      <c r="G89" s="77">
        <v>22</v>
      </c>
      <c r="H89" s="77">
        <v>452</v>
      </c>
      <c r="I89" s="77">
        <v>335</v>
      </c>
      <c r="J89" s="77">
        <v>425</v>
      </c>
      <c r="K89" s="77">
        <v>16</v>
      </c>
      <c r="L89" s="77">
        <v>4850</v>
      </c>
      <c r="M89" s="77">
        <v>600</v>
      </c>
      <c r="N89" s="77">
        <v>14</v>
      </c>
      <c r="O89" s="77">
        <v>80</v>
      </c>
      <c r="P89" s="77">
        <v>2200</v>
      </c>
      <c r="Q89" s="77">
        <v>28</v>
      </c>
      <c r="R89" s="77" t="s">
        <v>89</v>
      </c>
      <c r="S89" s="77">
        <v>60</v>
      </c>
      <c r="T89" s="77">
        <v>962</v>
      </c>
      <c r="U89" s="78">
        <v>79</v>
      </c>
    </row>
    <row r="90" spans="1:21">
      <c r="A90" s="76">
        <v>3600</v>
      </c>
      <c r="B90" s="77">
        <v>3095</v>
      </c>
      <c r="C90" s="77">
        <v>250</v>
      </c>
      <c r="D90" s="77">
        <v>2920</v>
      </c>
      <c r="E90" s="77">
        <v>380</v>
      </c>
      <c r="F90" s="77">
        <v>22</v>
      </c>
      <c r="G90" s="77">
        <v>22</v>
      </c>
      <c r="H90" s="77">
        <v>479</v>
      </c>
      <c r="I90" s="77">
        <v>335</v>
      </c>
      <c r="J90" s="77">
        <v>425</v>
      </c>
      <c r="K90" s="77">
        <v>16</v>
      </c>
      <c r="L90" s="77">
        <v>5130</v>
      </c>
      <c r="M90" s="77">
        <v>600</v>
      </c>
      <c r="N90" s="77">
        <v>14</v>
      </c>
      <c r="O90" s="77">
        <v>80</v>
      </c>
      <c r="P90" s="77">
        <v>2360</v>
      </c>
      <c r="Q90" s="77">
        <v>28</v>
      </c>
      <c r="R90" s="77" t="s">
        <v>89</v>
      </c>
      <c r="S90" s="77">
        <v>60</v>
      </c>
      <c r="T90" s="77">
        <v>1023</v>
      </c>
      <c r="U90" s="78">
        <v>82</v>
      </c>
    </row>
    <row r="91" spans="1:21">
      <c r="A91" s="76">
        <v>3800</v>
      </c>
      <c r="B91" s="77">
        <v>4228</v>
      </c>
      <c r="C91" s="77">
        <v>250</v>
      </c>
      <c r="D91" s="77">
        <v>3060</v>
      </c>
      <c r="E91" s="77">
        <v>380</v>
      </c>
      <c r="F91" s="77">
        <v>25</v>
      </c>
      <c r="G91" s="77">
        <v>25</v>
      </c>
      <c r="H91" s="77">
        <v>502</v>
      </c>
      <c r="I91" s="77">
        <v>335</v>
      </c>
      <c r="J91" s="77">
        <v>425</v>
      </c>
      <c r="K91" s="77">
        <v>18</v>
      </c>
      <c r="L91" s="77">
        <v>5410</v>
      </c>
      <c r="M91" s="77">
        <v>600</v>
      </c>
      <c r="N91" s="77">
        <v>14</v>
      </c>
      <c r="O91" s="77">
        <v>80</v>
      </c>
      <c r="P91" s="77">
        <v>2500</v>
      </c>
      <c r="Q91" s="77">
        <v>28</v>
      </c>
      <c r="R91" s="77" t="s">
        <v>89</v>
      </c>
      <c r="S91" s="77">
        <v>60</v>
      </c>
      <c r="T91" s="77">
        <v>1177</v>
      </c>
      <c r="U91" s="78">
        <v>96</v>
      </c>
    </row>
    <row r="92" spans="1:21" ht="16.149999999999999" thickBot="1">
      <c r="A92" s="79">
        <v>4000</v>
      </c>
      <c r="B92" s="80">
        <v>4281</v>
      </c>
      <c r="C92" s="80">
        <v>250</v>
      </c>
      <c r="D92" s="80">
        <v>3220</v>
      </c>
      <c r="E92" s="80">
        <v>380</v>
      </c>
      <c r="F92" s="80">
        <v>25</v>
      </c>
      <c r="G92" s="80">
        <v>25</v>
      </c>
      <c r="H92" s="80">
        <v>529</v>
      </c>
      <c r="I92" s="80">
        <v>335</v>
      </c>
      <c r="J92" s="80">
        <v>425</v>
      </c>
      <c r="K92" s="80">
        <v>18</v>
      </c>
      <c r="L92" s="80">
        <v>5700</v>
      </c>
      <c r="M92" s="80">
        <v>600</v>
      </c>
      <c r="N92" s="80">
        <v>14</v>
      </c>
      <c r="O92" s="80">
        <v>80</v>
      </c>
      <c r="P92" s="80">
        <v>2660</v>
      </c>
      <c r="Q92" s="80">
        <v>28</v>
      </c>
      <c r="R92" s="80" t="s">
        <v>89</v>
      </c>
      <c r="S92" s="80">
        <v>60</v>
      </c>
      <c r="T92" s="80">
        <v>1246</v>
      </c>
      <c r="U92" s="81">
        <v>99</v>
      </c>
    </row>
    <row r="93" spans="1:21" ht="17.649999999999999">
      <c r="A93" s="82"/>
    </row>
    <row r="94" spans="1:21" ht="18.399999999999999" thickBot="1">
      <c r="A94" s="272" t="s">
        <v>1122</v>
      </c>
      <c r="B94" s="272"/>
      <c r="C94" s="272"/>
      <c r="D94" s="272"/>
      <c r="E94" s="272"/>
      <c r="F94" s="272"/>
      <c r="G94" s="272"/>
      <c r="H94" s="272"/>
      <c r="I94" s="272"/>
      <c r="J94" s="272"/>
      <c r="K94" s="272"/>
      <c r="L94" s="272"/>
      <c r="M94" s="272"/>
      <c r="N94" s="272"/>
      <c r="O94" s="272"/>
      <c r="P94" s="272"/>
      <c r="Q94" s="272"/>
      <c r="R94" s="272"/>
      <c r="S94" s="272"/>
      <c r="T94" s="272"/>
      <c r="U94" s="272"/>
    </row>
    <row r="95" spans="1:21">
      <c r="A95" s="69" t="s">
        <v>1123</v>
      </c>
      <c r="B95" s="70" t="s">
        <v>1124</v>
      </c>
      <c r="C95" s="70" t="s">
        <v>1125</v>
      </c>
      <c r="D95" s="269" t="s">
        <v>1080</v>
      </c>
      <c r="E95" s="270"/>
      <c r="F95" s="271"/>
      <c r="G95" s="71" t="s">
        <v>1081</v>
      </c>
      <c r="H95" s="269" t="s">
        <v>1082</v>
      </c>
      <c r="I95" s="270"/>
      <c r="J95" s="270"/>
      <c r="K95" s="271"/>
      <c r="L95" s="269" t="s">
        <v>1083</v>
      </c>
      <c r="M95" s="270"/>
      <c r="N95" s="270"/>
      <c r="O95" s="271"/>
      <c r="P95" s="269" t="s">
        <v>1084</v>
      </c>
      <c r="Q95" s="270"/>
      <c r="R95" s="270"/>
      <c r="S95" s="271"/>
      <c r="T95" s="70" t="s">
        <v>1085</v>
      </c>
      <c r="U95" s="72" t="s">
        <v>1086</v>
      </c>
    </row>
    <row r="96" spans="1:21" ht="22.15">
      <c r="A96" s="73" t="s">
        <v>1087</v>
      </c>
      <c r="B96" s="74" t="s">
        <v>1088</v>
      </c>
      <c r="C96" s="74" t="s">
        <v>1109</v>
      </c>
      <c r="D96" s="74" t="s">
        <v>1110</v>
      </c>
      <c r="E96" s="74" t="s">
        <v>1111</v>
      </c>
      <c r="F96" s="74" t="s">
        <v>1112</v>
      </c>
      <c r="G96" s="74" t="s">
        <v>1113</v>
      </c>
      <c r="H96" s="74" t="s">
        <v>1114</v>
      </c>
      <c r="I96" s="74" t="s">
        <v>1115</v>
      </c>
      <c r="J96" s="74" t="s">
        <v>1116</v>
      </c>
      <c r="K96" s="74" t="s">
        <v>1117</v>
      </c>
      <c r="L96" s="74" t="s">
        <v>1098</v>
      </c>
      <c r="M96" s="74" t="s">
        <v>1118</v>
      </c>
      <c r="N96" s="74" t="s">
        <v>1119</v>
      </c>
      <c r="O96" s="74" t="s">
        <v>1101</v>
      </c>
      <c r="P96" s="74" t="s">
        <v>1126</v>
      </c>
      <c r="Q96" s="74" t="s">
        <v>1127</v>
      </c>
      <c r="R96" s="74" t="s">
        <v>1128</v>
      </c>
      <c r="S96" s="74" t="s">
        <v>1129</v>
      </c>
      <c r="T96" s="74" t="s">
        <v>1106</v>
      </c>
      <c r="U96" s="75" t="s">
        <v>1107</v>
      </c>
    </row>
    <row r="97" spans="1:21">
      <c r="A97" s="76">
        <v>159</v>
      </c>
      <c r="B97" s="77">
        <v>51</v>
      </c>
      <c r="C97" s="77">
        <v>200</v>
      </c>
      <c r="D97" s="77">
        <v>160</v>
      </c>
      <c r="E97" s="77">
        <v>120</v>
      </c>
      <c r="F97" s="77">
        <v>8</v>
      </c>
      <c r="G97" s="77">
        <v>8</v>
      </c>
      <c r="H97" s="77"/>
      <c r="I97" s="77"/>
      <c r="J97" s="77">
        <v>96</v>
      </c>
      <c r="K97" s="77">
        <v>8</v>
      </c>
      <c r="L97" s="77">
        <v>210</v>
      </c>
      <c r="M97" s="77">
        <v>160</v>
      </c>
      <c r="N97" s="77">
        <v>6</v>
      </c>
      <c r="O97" s="77">
        <v>28</v>
      </c>
      <c r="P97" s="77">
        <v>100</v>
      </c>
      <c r="Q97" s="77">
        <v>20</v>
      </c>
      <c r="R97" s="77" t="s">
        <v>87</v>
      </c>
      <c r="S97" s="77">
        <v>20</v>
      </c>
      <c r="T97" s="77">
        <v>4</v>
      </c>
      <c r="U97" s="78">
        <v>2</v>
      </c>
    </row>
    <row r="98" spans="1:21">
      <c r="A98" s="76">
        <v>219</v>
      </c>
      <c r="B98" s="77">
        <v>54</v>
      </c>
      <c r="C98" s="77">
        <v>200</v>
      </c>
      <c r="D98" s="77">
        <v>210</v>
      </c>
      <c r="E98" s="77">
        <v>120</v>
      </c>
      <c r="F98" s="77">
        <v>8</v>
      </c>
      <c r="G98" s="77">
        <v>8</v>
      </c>
      <c r="H98" s="77"/>
      <c r="I98" s="77"/>
      <c r="J98" s="77">
        <v>96</v>
      </c>
      <c r="K98" s="77">
        <v>8</v>
      </c>
      <c r="L98" s="77">
        <v>270</v>
      </c>
      <c r="M98" s="77">
        <v>160</v>
      </c>
      <c r="N98" s="77">
        <v>6</v>
      </c>
      <c r="O98" s="77">
        <v>28</v>
      </c>
      <c r="P98" s="77">
        <v>140</v>
      </c>
      <c r="Q98" s="77">
        <v>20</v>
      </c>
      <c r="R98" s="77" t="s">
        <v>87</v>
      </c>
      <c r="S98" s="77">
        <v>20</v>
      </c>
      <c r="T98" s="77">
        <v>5</v>
      </c>
      <c r="U98" s="78">
        <v>2</v>
      </c>
    </row>
    <row r="99" spans="1:21">
      <c r="A99" s="76">
        <v>273</v>
      </c>
      <c r="B99" s="77">
        <v>56</v>
      </c>
      <c r="C99" s="77">
        <v>200</v>
      </c>
      <c r="D99" s="77">
        <v>260</v>
      </c>
      <c r="E99" s="77">
        <v>120</v>
      </c>
      <c r="F99" s="77">
        <v>8</v>
      </c>
      <c r="G99" s="77">
        <v>8</v>
      </c>
      <c r="H99" s="77"/>
      <c r="I99" s="77"/>
      <c r="J99" s="77">
        <v>96</v>
      </c>
      <c r="K99" s="77">
        <v>8</v>
      </c>
      <c r="L99" s="77">
        <v>330</v>
      </c>
      <c r="M99" s="77">
        <v>160</v>
      </c>
      <c r="N99" s="77">
        <v>6</v>
      </c>
      <c r="O99" s="77">
        <v>28</v>
      </c>
      <c r="P99" s="77">
        <v>180</v>
      </c>
      <c r="Q99" s="77">
        <v>20</v>
      </c>
      <c r="R99" s="77" t="s">
        <v>87</v>
      </c>
      <c r="S99" s="77">
        <v>20</v>
      </c>
      <c r="T99" s="77">
        <v>7</v>
      </c>
      <c r="U99" s="78">
        <v>2</v>
      </c>
    </row>
    <row r="100" spans="1:21">
      <c r="A100" s="76">
        <v>325</v>
      </c>
      <c r="B100" s="77">
        <v>59</v>
      </c>
      <c r="C100" s="77">
        <v>200</v>
      </c>
      <c r="D100" s="77">
        <v>300</v>
      </c>
      <c r="E100" s="77">
        <v>120</v>
      </c>
      <c r="F100" s="77">
        <v>8</v>
      </c>
      <c r="G100" s="77">
        <v>8</v>
      </c>
      <c r="H100" s="77"/>
      <c r="I100" s="77"/>
      <c r="J100" s="77">
        <v>96</v>
      </c>
      <c r="K100" s="77">
        <v>8</v>
      </c>
      <c r="L100" s="77">
        <v>390</v>
      </c>
      <c r="M100" s="77">
        <v>160</v>
      </c>
      <c r="N100" s="77">
        <v>6</v>
      </c>
      <c r="O100" s="77">
        <v>28</v>
      </c>
      <c r="P100" s="77">
        <v>210</v>
      </c>
      <c r="Q100" s="77">
        <v>20</v>
      </c>
      <c r="R100" s="77" t="s">
        <v>87</v>
      </c>
      <c r="S100" s="77">
        <v>20</v>
      </c>
      <c r="T100" s="77">
        <v>7</v>
      </c>
      <c r="U100" s="78">
        <v>2</v>
      </c>
    </row>
    <row r="101" spans="1:21">
      <c r="A101" s="76">
        <v>377</v>
      </c>
      <c r="B101" s="77">
        <v>59</v>
      </c>
      <c r="C101" s="77">
        <v>200</v>
      </c>
      <c r="D101" s="77">
        <v>350</v>
      </c>
      <c r="E101" s="77">
        <v>120</v>
      </c>
      <c r="F101" s="77">
        <v>8</v>
      </c>
      <c r="G101" s="77">
        <v>8</v>
      </c>
      <c r="H101" s="77"/>
      <c r="I101" s="77"/>
      <c r="J101" s="77">
        <v>96</v>
      </c>
      <c r="K101" s="77">
        <v>8</v>
      </c>
      <c r="L101" s="77">
        <v>440</v>
      </c>
      <c r="M101" s="77">
        <v>160</v>
      </c>
      <c r="N101" s="77">
        <v>6</v>
      </c>
      <c r="O101" s="77">
        <v>28</v>
      </c>
      <c r="P101" s="77">
        <v>250</v>
      </c>
      <c r="Q101" s="77">
        <v>20</v>
      </c>
      <c r="R101" s="77" t="s">
        <v>87</v>
      </c>
      <c r="S101" s="77">
        <v>20</v>
      </c>
      <c r="T101" s="77">
        <v>9</v>
      </c>
      <c r="U101" s="78">
        <v>3</v>
      </c>
    </row>
    <row r="102" spans="1:21">
      <c r="A102" s="76">
        <v>426</v>
      </c>
      <c r="B102" s="77">
        <v>61</v>
      </c>
      <c r="C102" s="77">
        <v>250</v>
      </c>
      <c r="D102" s="77">
        <v>390</v>
      </c>
      <c r="E102" s="77">
        <v>120</v>
      </c>
      <c r="F102" s="77">
        <v>8</v>
      </c>
      <c r="G102" s="77">
        <v>8</v>
      </c>
      <c r="H102" s="77"/>
      <c r="I102" s="77"/>
      <c r="J102" s="77">
        <v>96</v>
      </c>
      <c r="K102" s="77">
        <v>8</v>
      </c>
      <c r="L102" s="77">
        <v>500</v>
      </c>
      <c r="M102" s="77">
        <v>160</v>
      </c>
      <c r="N102" s="77">
        <v>6</v>
      </c>
      <c r="O102" s="77">
        <v>28</v>
      </c>
      <c r="P102" s="77">
        <v>280</v>
      </c>
      <c r="Q102" s="77">
        <v>20</v>
      </c>
      <c r="R102" s="77" t="s">
        <v>87</v>
      </c>
      <c r="S102" s="77">
        <v>20</v>
      </c>
      <c r="T102" s="77">
        <v>9</v>
      </c>
      <c r="U102" s="78">
        <v>3</v>
      </c>
    </row>
    <row r="103" spans="1:21">
      <c r="A103" s="76">
        <v>300</v>
      </c>
      <c r="B103" s="77">
        <v>58</v>
      </c>
      <c r="C103" s="77">
        <v>250</v>
      </c>
      <c r="D103" s="77">
        <v>290</v>
      </c>
      <c r="E103" s="77">
        <v>120</v>
      </c>
      <c r="F103" s="77">
        <v>8</v>
      </c>
      <c r="G103" s="77">
        <v>8</v>
      </c>
      <c r="H103" s="77"/>
      <c r="I103" s="77"/>
      <c r="J103" s="77">
        <v>96</v>
      </c>
      <c r="K103" s="77">
        <v>8</v>
      </c>
      <c r="L103" s="77">
        <v>370</v>
      </c>
      <c r="M103" s="77">
        <v>160</v>
      </c>
      <c r="N103" s="77">
        <v>6</v>
      </c>
      <c r="O103" s="77">
        <v>28</v>
      </c>
      <c r="P103" s="77">
        <v>200</v>
      </c>
      <c r="Q103" s="77">
        <v>20</v>
      </c>
      <c r="R103" s="77" t="s">
        <v>87</v>
      </c>
      <c r="S103" s="77">
        <v>20</v>
      </c>
      <c r="T103" s="77">
        <v>8</v>
      </c>
      <c r="U103" s="78">
        <v>2</v>
      </c>
    </row>
    <row r="104" spans="1:21">
      <c r="A104" s="76">
        <v>350</v>
      </c>
      <c r="B104" s="77">
        <v>59</v>
      </c>
      <c r="C104" s="77">
        <v>250</v>
      </c>
      <c r="D104" s="77">
        <v>330</v>
      </c>
      <c r="E104" s="77">
        <v>120</v>
      </c>
      <c r="F104" s="77">
        <v>8</v>
      </c>
      <c r="G104" s="77">
        <v>8</v>
      </c>
      <c r="H104" s="77"/>
      <c r="I104" s="77"/>
      <c r="J104" s="77">
        <v>96</v>
      </c>
      <c r="K104" s="77">
        <v>8</v>
      </c>
      <c r="L104" s="77">
        <v>420</v>
      </c>
      <c r="M104" s="77">
        <v>160</v>
      </c>
      <c r="N104" s="77">
        <v>6</v>
      </c>
      <c r="O104" s="77">
        <v>28</v>
      </c>
      <c r="P104" s="77">
        <v>230</v>
      </c>
      <c r="Q104" s="77">
        <v>20</v>
      </c>
      <c r="R104" s="77" t="s">
        <v>87</v>
      </c>
      <c r="S104" s="77">
        <v>20</v>
      </c>
      <c r="T104" s="77">
        <v>8</v>
      </c>
      <c r="U104" s="78">
        <v>3</v>
      </c>
    </row>
    <row r="105" spans="1:21">
      <c r="A105" s="76">
        <v>400</v>
      </c>
      <c r="B105" s="77">
        <v>60</v>
      </c>
      <c r="C105" s="77">
        <v>250</v>
      </c>
      <c r="D105" s="77">
        <v>380</v>
      </c>
      <c r="E105" s="77">
        <v>120</v>
      </c>
      <c r="F105" s="77">
        <v>8</v>
      </c>
      <c r="G105" s="77">
        <v>8</v>
      </c>
      <c r="H105" s="77"/>
      <c r="I105" s="77"/>
      <c r="J105" s="77">
        <v>96</v>
      </c>
      <c r="K105" s="77">
        <v>8</v>
      </c>
      <c r="L105" s="77">
        <v>480</v>
      </c>
      <c r="M105" s="77">
        <v>160</v>
      </c>
      <c r="N105" s="77">
        <v>6</v>
      </c>
      <c r="O105" s="77">
        <v>28</v>
      </c>
      <c r="P105" s="77">
        <v>260</v>
      </c>
      <c r="Q105" s="77">
        <v>20</v>
      </c>
      <c r="R105" s="77" t="s">
        <v>87</v>
      </c>
      <c r="S105" s="77">
        <v>20</v>
      </c>
      <c r="T105" s="77">
        <v>9</v>
      </c>
      <c r="U105" s="78">
        <v>3</v>
      </c>
    </row>
    <row r="106" spans="1:21">
      <c r="A106" s="76">
        <v>450</v>
      </c>
      <c r="B106" s="77">
        <v>61</v>
      </c>
      <c r="C106" s="77">
        <v>250</v>
      </c>
      <c r="D106" s="77">
        <v>420</v>
      </c>
      <c r="E106" s="77">
        <v>120</v>
      </c>
      <c r="F106" s="77">
        <v>8</v>
      </c>
      <c r="G106" s="77">
        <v>8</v>
      </c>
      <c r="H106" s="77"/>
      <c r="I106" s="77"/>
      <c r="J106" s="77">
        <v>96</v>
      </c>
      <c r="K106" s="77">
        <v>8</v>
      </c>
      <c r="L106" s="77">
        <v>540</v>
      </c>
      <c r="M106" s="77">
        <v>160</v>
      </c>
      <c r="N106" s="77">
        <v>6</v>
      </c>
      <c r="O106" s="77">
        <v>28</v>
      </c>
      <c r="P106" s="77">
        <v>290</v>
      </c>
      <c r="Q106" s="77">
        <v>20</v>
      </c>
      <c r="R106" s="77" t="s">
        <v>87</v>
      </c>
      <c r="S106" s="77">
        <v>20</v>
      </c>
      <c r="T106" s="77">
        <v>10</v>
      </c>
      <c r="U106" s="78">
        <v>3</v>
      </c>
    </row>
    <row r="107" spans="1:21">
      <c r="A107" s="76">
        <v>500</v>
      </c>
      <c r="B107" s="77">
        <v>159</v>
      </c>
      <c r="C107" s="77">
        <v>200</v>
      </c>
      <c r="D107" s="77">
        <v>460</v>
      </c>
      <c r="E107" s="77">
        <v>150</v>
      </c>
      <c r="F107" s="77">
        <v>10</v>
      </c>
      <c r="G107" s="77">
        <v>8</v>
      </c>
      <c r="H107" s="77">
        <v>250</v>
      </c>
      <c r="I107" s="77"/>
      <c r="J107" s="77">
        <v>120</v>
      </c>
      <c r="K107" s="77">
        <v>8</v>
      </c>
      <c r="L107" s="77">
        <v>590</v>
      </c>
      <c r="M107" s="77">
        <v>200</v>
      </c>
      <c r="N107" s="77">
        <v>6</v>
      </c>
      <c r="O107" s="77">
        <v>36</v>
      </c>
      <c r="P107" s="77">
        <v>330</v>
      </c>
      <c r="Q107" s="77">
        <v>20</v>
      </c>
      <c r="R107" s="77" t="s">
        <v>87</v>
      </c>
      <c r="S107" s="77">
        <v>20</v>
      </c>
      <c r="T107" s="77">
        <v>15</v>
      </c>
      <c r="U107" s="78">
        <v>4</v>
      </c>
    </row>
    <row r="108" spans="1:21">
      <c r="A108" s="76">
        <v>550</v>
      </c>
      <c r="B108" s="77">
        <v>163</v>
      </c>
      <c r="C108" s="77">
        <v>200</v>
      </c>
      <c r="D108" s="77">
        <v>510</v>
      </c>
      <c r="E108" s="77">
        <v>150</v>
      </c>
      <c r="F108" s="77">
        <v>10</v>
      </c>
      <c r="G108" s="77">
        <v>8</v>
      </c>
      <c r="H108" s="77">
        <v>275</v>
      </c>
      <c r="I108" s="77"/>
      <c r="J108" s="77">
        <v>120</v>
      </c>
      <c r="K108" s="77">
        <v>8</v>
      </c>
      <c r="L108" s="77">
        <v>650</v>
      </c>
      <c r="M108" s="77">
        <v>200</v>
      </c>
      <c r="N108" s="77">
        <v>6</v>
      </c>
      <c r="O108" s="77">
        <v>36</v>
      </c>
      <c r="P108" s="77">
        <v>360</v>
      </c>
      <c r="Q108" s="77">
        <v>20</v>
      </c>
      <c r="R108" s="77" t="s">
        <v>87</v>
      </c>
      <c r="S108" s="77">
        <v>20</v>
      </c>
      <c r="T108" s="77">
        <v>17</v>
      </c>
      <c r="U108" s="78">
        <v>5</v>
      </c>
    </row>
    <row r="109" spans="1:21">
      <c r="A109" s="76">
        <v>600</v>
      </c>
      <c r="B109" s="77">
        <v>165</v>
      </c>
      <c r="C109" s="77">
        <v>200</v>
      </c>
      <c r="D109" s="77">
        <v>550</v>
      </c>
      <c r="E109" s="77">
        <v>150</v>
      </c>
      <c r="F109" s="77">
        <v>10</v>
      </c>
      <c r="G109" s="77">
        <v>8</v>
      </c>
      <c r="H109" s="77">
        <v>300</v>
      </c>
      <c r="I109" s="77"/>
      <c r="J109" s="77">
        <v>120</v>
      </c>
      <c r="K109" s="77">
        <v>8</v>
      </c>
      <c r="L109" s="77">
        <v>710</v>
      </c>
      <c r="M109" s="77">
        <v>200</v>
      </c>
      <c r="N109" s="77">
        <v>6</v>
      </c>
      <c r="O109" s="77">
        <v>36</v>
      </c>
      <c r="P109" s="77">
        <v>400</v>
      </c>
      <c r="Q109" s="77">
        <v>20</v>
      </c>
      <c r="R109" s="77" t="s">
        <v>87</v>
      </c>
      <c r="S109" s="77">
        <v>20</v>
      </c>
      <c r="T109" s="77">
        <v>18</v>
      </c>
      <c r="U109" s="78">
        <v>5</v>
      </c>
    </row>
    <row r="110" spans="1:21">
      <c r="A110" s="76">
        <v>650</v>
      </c>
      <c r="B110" s="77">
        <v>167</v>
      </c>
      <c r="C110" s="77">
        <v>200</v>
      </c>
      <c r="D110" s="77">
        <v>590</v>
      </c>
      <c r="E110" s="77">
        <v>150</v>
      </c>
      <c r="F110" s="77">
        <v>10</v>
      </c>
      <c r="G110" s="77">
        <v>8</v>
      </c>
      <c r="H110" s="77">
        <v>325</v>
      </c>
      <c r="I110" s="77"/>
      <c r="J110" s="77">
        <v>120</v>
      </c>
      <c r="K110" s="77">
        <v>8</v>
      </c>
      <c r="L110" s="77">
        <v>770</v>
      </c>
      <c r="M110" s="77">
        <v>200</v>
      </c>
      <c r="N110" s="77">
        <v>6</v>
      </c>
      <c r="O110" s="77">
        <v>36</v>
      </c>
      <c r="P110" s="77">
        <v>430</v>
      </c>
      <c r="Q110" s="77">
        <v>20</v>
      </c>
      <c r="R110" s="77" t="s">
        <v>87</v>
      </c>
      <c r="S110" s="77">
        <v>20</v>
      </c>
      <c r="T110" s="77">
        <v>19</v>
      </c>
      <c r="U110" s="78">
        <v>5</v>
      </c>
    </row>
    <row r="111" spans="1:21">
      <c r="A111" s="76">
        <v>700</v>
      </c>
      <c r="B111" s="77">
        <v>170</v>
      </c>
      <c r="C111" s="77">
        <v>200</v>
      </c>
      <c r="D111" s="77">
        <v>640</v>
      </c>
      <c r="E111" s="77">
        <v>150</v>
      </c>
      <c r="F111" s="77">
        <v>10</v>
      </c>
      <c r="G111" s="77">
        <v>8</v>
      </c>
      <c r="H111" s="77">
        <v>350</v>
      </c>
      <c r="I111" s="83"/>
      <c r="J111" s="77">
        <v>120</v>
      </c>
      <c r="K111" s="77">
        <v>8</v>
      </c>
      <c r="L111" s="77">
        <v>830</v>
      </c>
      <c r="M111" s="77">
        <v>200</v>
      </c>
      <c r="N111" s="77">
        <v>6</v>
      </c>
      <c r="O111" s="77">
        <v>36</v>
      </c>
      <c r="P111" s="77">
        <v>460</v>
      </c>
      <c r="Q111" s="77">
        <v>20</v>
      </c>
      <c r="R111" s="77" t="s">
        <v>87</v>
      </c>
      <c r="S111" s="77">
        <v>20</v>
      </c>
      <c r="T111" s="77">
        <v>21</v>
      </c>
      <c r="U111" s="78">
        <v>5</v>
      </c>
    </row>
    <row r="112" spans="1:21">
      <c r="A112" s="76">
        <v>800</v>
      </c>
      <c r="B112" s="77">
        <v>220</v>
      </c>
      <c r="C112" s="77">
        <v>200</v>
      </c>
      <c r="D112" s="77">
        <v>720</v>
      </c>
      <c r="E112" s="77">
        <v>150</v>
      </c>
      <c r="F112" s="77">
        <v>10</v>
      </c>
      <c r="G112" s="77">
        <v>10</v>
      </c>
      <c r="H112" s="77">
        <v>400</v>
      </c>
      <c r="I112" s="77">
        <v>140</v>
      </c>
      <c r="J112" s="77">
        <v>120</v>
      </c>
      <c r="K112" s="77">
        <v>10</v>
      </c>
      <c r="L112" s="77">
        <v>940</v>
      </c>
      <c r="M112" s="77">
        <v>200</v>
      </c>
      <c r="N112" s="77">
        <v>6</v>
      </c>
      <c r="O112" s="77">
        <v>36</v>
      </c>
      <c r="P112" s="77">
        <v>530</v>
      </c>
      <c r="Q112" s="77">
        <v>20</v>
      </c>
      <c r="R112" s="77" t="s">
        <v>87</v>
      </c>
      <c r="S112" s="77">
        <v>20</v>
      </c>
      <c r="T112" s="77">
        <v>27</v>
      </c>
      <c r="U112" s="78">
        <v>7</v>
      </c>
    </row>
    <row r="113" spans="1:21" ht="16.149999999999999" thickBot="1">
      <c r="A113" s="79">
        <v>900</v>
      </c>
      <c r="B113" s="80">
        <v>225</v>
      </c>
      <c r="C113" s="80">
        <v>200</v>
      </c>
      <c r="D113" s="80">
        <v>810</v>
      </c>
      <c r="E113" s="80">
        <v>150</v>
      </c>
      <c r="F113" s="80">
        <v>10</v>
      </c>
      <c r="G113" s="80">
        <v>10</v>
      </c>
      <c r="H113" s="80">
        <v>450</v>
      </c>
      <c r="I113" s="80">
        <v>140</v>
      </c>
      <c r="J113" s="80">
        <v>120</v>
      </c>
      <c r="K113" s="80">
        <v>10</v>
      </c>
      <c r="L113" s="80">
        <v>1060</v>
      </c>
      <c r="M113" s="80">
        <v>200</v>
      </c>
      <c r="N113" s="80">
        <v>6</v>
      </c>
      <c r="O113" s="80">
        <v>36</v>
      </c>
      <c r="P113" s="80">
        <v>590</v>
      </c>
      <c r="Q113" s="80">
        <v>20</v>
      </c>
      <c r="R113" s="80" t="s">
        <v>87</v>
      </c>
      <c r="S113" s="80">
        <v>20</v>
      </c>
      <c r="T113" s="80">
        <v>30</v>
      </c>
      <c r="U113" s="81">
        <v>8</v>
      </c>
    </row>
    <row r="114" spans="1:21" ht="17.649999999999999">
      <c r="A114" s="82"/>
    </row>
  </sheetData>
  <mergeCells count="20">
    <mergeCell ref="A94:U94"/>
    <mergeCell ref="D95:F95"/>
    <mergeCell ref="H95:K95"/>
    <mergeCell ref="L95:O95"/>
    <mergeCell ref="P95:S95"/>
    <mergeCell ref="D73:F73"/>
    <mergeCell ref="H73:K73"/>
    <mergeCell ref="L73:O73"/>
    <mergeCell ref="P73:S73"/>
    <mergeCell ref="A1:U1"/>
    <mergeCell ref="D2:F2"/>
    <mergeCell ref="H2:K2"/>
    <mergeCell ref="L2:O2"/>
    <mergeCell ref="P2:S2"/>
    <mergeCell ref="A28:U28"/>
    <mergeCell ref="D29:F29"/>
    <mergeCell ref="H29:K29"/>
    <mergeCell ref="L29:O29"/>
    <mergeCell ref="P29:S29"/>
    <mergeCell ref="A72:U72"/>
  </mergeCells>
  <phoneticPr fontId="5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P19"/>
  <sheetViews>
    <sheetView workbookViewId="0">
      <selection activeCell="K28" sqref="K28"/>
    </sheetView>
  </sheetViews>
  <sheetFormatPr defaultRowHeight="15.75"/>
  <cols>
    <col min="1" max="1" width="8.5" customWidth="1"/>
    <col min="2" max="2" width="10.875" customWidth="1"/>
    <col min="3" max="16" width="5.625" customWidth="1"/>
  </cols>
  <sheetData>
    <row r="1" spans="1:16" ht="25.15">
      <c r="A1" s="263" t="s">
        <v>1130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</row>
    <row r="2" spans="1:16">
      <c r="A2" s="234" t="s">
        <v>36</v>
      </c>
      <c r="B2" s="234" t="s">
        <v>83</v>
      </c>
      <c r="C2" s="204" t="s">
        <v>1131</v>
      </c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</row>
    <row r="3" spans="1:16">
      <c r="A3" s="208"/>
      <c r="B3" s="208"/>
      <c r="C3" s="1">
        <v>4</v>
      </c>
      <c r="D3" s="1">
        <v>6</v>
      </c>
      <c r="E3" s="1">
        <v>8</v>
      </c>
      <c r="F3" s="1">
        <v>10</v>
      </c>
      <c r="G3" s="1">
        <v>12</v>
      </c>
      <c r="H3" s="1">
        <v>14</v>
      </c>
      <c r="I3" s="1">
        <v>16</v>
      </c>
      <c r="J3" s="1">
        <v>18</v>
      </c>
      <c r="K3" s="1">
        <v>20</v>
      </c>
      <c r="L3" s="1">
        <v>22</v>
      </c>
      <c r="M3" s="1">
        <v>24</v>
      </c>
      <c r="N3" s="1">
        <v>26</v>
      </c>
      <c r="O3" s="1">
        <v>28</v>
      </c>
      <c r="P3" s="1">
        <v>30</v>
      </c>
    </row>
    <row r="4" spans="1:16">
      <c r="A4" s="1">
        <v>50</v>
      </c>
      <c r="B4" s="1">
        <v>130</v>
      </c>
      <c r="C4" s="1">
        <v>0.32</v>
      </c>
      <c r="D4" s="1">
        <v>0.48</v>
      </c>
      <c r="E4" s="1">
        <v>0.64</v>
      </c>
      <c r="F4" s="1">
        <v>0.8</v>
      </c>
      <c r="G4" s="1">
        <v>0.96</v>
      </c>
      <c r="H4" s="1">
        <v>1.1200000000000001</v>
      </c>
      <c r="I4" s="1">
        <v>1.28</v>
      </c>
      <c r="J4" s="1">
        <v>1.43</v>
      </c>
      <c r="K4" s="1">
        <v>1.59</v>
      </c>
      <c r="L4" s="1">
        <v>1.75</v>
      </c>
      <c r="M4" s="1">
        <v>1.91</v>
      </c>
      <c r="N4" s="1">
        <v>2.0699999999999998</v>
      </c>
      <c r="O4" s="1">
        <v>2.23</v>
      </c>
      <c r="P4" s="1">
        <v>2.57</v>
      </c>
    </row>
    <row r="5" spans="1:16">
      <c r="A5" s="1">
        <v>65</v>
      </c>
      <c r="B5" s="1">
        <v>160</v>
      </c>
      <c r="C5" s="1">
        <v>0.47</v>
      </c>
      <c r="D5" s="1">
        <v>0.71</v>
      </c>
      <c r="E5" s="1">
        <v>0.95</v>
      </c>
      <c r="F5" s="1">
        <v>1.18</v>
      </c>
      <c r="G5" s="1">
        <v>1.42</v>
      </c>
      <c r="H5" s="1">
        <v>1.66</v>
      </c>
      <c r="I5" s="1">
        <v>1.89</v>
      </c>
      <c r="J5" s="1">
        <v>2.13</v>
      </c>
      <c r="K5" s="1">
        <v>2.37</v>
      </c>
      <c r="L5" s="1">
        <v>2.6</v>
      </c>
      <c r="M5" s="1">
        <v>2.84</v>
      </c>
      <c r="N5" s="1">
        <v>3.08</v>
      </c>
      <c r="O5" s="1">
        <v>3.31</v>
      </c>
      <c r="P5" s="1">
        <v>3.55</v>
      </c>
    </row>
    <row r="6" spans="1:16">
      <c r="A6" s="1">
        <v>80</v>
      </c>
      <c r="B6" s="1">
        <v>180</v>
      </c>
      <c r="C6" s="1">
        <v>0.59</v>
      </c>
      <c r="D6" s="1">
        <v>0.88</v>
      </c>
      <c r="E6" s="1">
        <v>1.17</v>
      </c>
      <c r="F6" s="1">
        <v>1.46</v>
      </c>
      <c r="G6" s="1">
        <v>1.75</v>
      </c>
      <c r="H6" s="1">
        <v>2.04</v>
      </c>
      <c r="I6" s="1">
        <v>2.34</v>
      </c>
      <c r="J6" s="1">
        <v>2.63</v>
      </c>
      <c r="K6" s="1">
        <v>2.92</v>
      </c>
      <c r="L6" s="1">
        <v>3.22</v>
      </c>
      <c r="M6" s="1">
        <v>3.51</v>
      </c>
      <c r="N6" s="1">
        <v>3.81</v>
      </c>
      <c r="O6" s="1">
        <v>4.0999999999999996</v>
      </c>
      <c r="P6" s="1">
        <v>4.38</v>
      </c>
    </row>
    <row r="7" spans="1:16">
      <c r="A7" s="1">
        <v>100</v>
      </c>
      <c r="B7" s="1">
        <v>200</v>
      </c>
      <c r="C7" s="1">
        <v>0.68</v>
      </c>
      <c r="D7" s="1">
        <v>1.02</v>
      </c>
      <c r="E7" s="1">
        <v>1.35</v>
      </c>
      <c r="F7" s="1">
        <v>1.69</v>
      </c>
      <c r="G7" s="1">
        <v>2.0299999999999998</v>
      </c>
      <c r="H7" s="1">
        <v>2.37</v>
      </c>
      <c r="I7" s="1">
        <v>2.71</v>
      </c>
      <c r="J7" s="1">
        <v>3.05</v>
      </c>
      <c r="K7" s="1">
        <v>3.38</v>
      </c>
      <c r="L7" s="1">
        <v>3.72</v>
      </c>
      <c r="M7" s="1">
        <v>4.0599999999999996</v>
      </c>
      <c r="N7" s="1">
        <v>4.4000000000000004</v>
      </c>
      <c r="O7" s="1">
        <v>4.74</v>
      </c>
      <c r="P7" s="1">
        <v>5.08</v>
      </c>
    </row>
    <row r="8" spans="1:16">
      <c r="A8" s="1">
        <v>125</v>
      </c>
      <c r="B8" s="1">
        <v>250</v>
      </c>
      <c r="C8" s="1">
        <v>1.08</v>
      </c>
      <c r="D8" s="1">
        <v>1.62</v>
      </c>
      <c r="E8" s="1">
        <v>2.16</v>
      </c>
      <c r="F8" s="1">
        <v>2.7</v>
      </c>
      <c r="G8" s="1">
        <v>3.24</v>
      </c>
      <c r="H8" s="1">
        <v>3.77</v>
      </c>
      <c r="I8" s="1">
        <v>4.3099999999999996</v>
      </c>
      <c r="J8" s="1">
        <v>4.8499999999999996</v>
      </c>
      <c r="K8" s="1">
        <v>5.39</v>
      </c>
      <c r="L8" s="1">
        <v>5.93</v>
      </c>
      <c r="M8" s="1">
        <v>6.47</v>
      </c>
      <c r="N8" s="1">
        <v>7.01</v>
      </c>
      <c r="O8" s="1">
        <v>7.55</v>
      </c>
      <c r="P8" s="1">
        <v>8.09</v>
      </c>
    </row>
    <row r="9" spans="1:16">
      <c r="A9" s="1">
        <v>150</v>
      </c>
      <c r="B9" s="1">
        <v>300</v>
      </c>
      <c r="C9" s="1">
        <v>1.56</v>
      </c>
      <c r="D9" s="1">
        <v>2.35</v>
      </c>
      <c r="E9" s="1">
        <v>3.13</v>
      </c>
      <c r="F9" s="1">
        <v>3.91</v>
      </c>
      <c r="G9" s="1">
        <v>4.6900000000000004</v>
      </c>
      <c r="H9" s="1">
        <v>5.48</v>
      </c>
      <c r="I9" s="1">
        <v>6.26</v>
      </c>
      <c r="J9" s="1">
        <v>7.04</v>
      </c>
      <c r="K9" s="1">
        <v>7.82</v>
      </c>
      <c r="L9" s="1">
        <v>8.6</v>
      </c>
      <c r="M9" s="1">
        <v>9.3800000000000008</v>
      </c>
      <c r="N9" s="1">
        <v>10.199999999999999</v>
      </c>
      <c r="O9" s="1">
        <v>10.9</v>
      </c>
      <c r="P9" s="1">
        <v>11.7</v>
      </c>
    </row>
    <row r="10" spans="1:16">
      <c r="A10" s="1">
        <v>175</v>
      </c>
      <c r="B10" s="1">
        <v>350</v>
      </c>
      <c r="C10" s="1">
        <v>2.23</v>
      </c>
      <c r="D10" s="1">
        <v>3.34</v>
      </c>
      <c r="E10" s="1">
        <v>4.46</v>
      </c>
      <c r="F10" s="1">
        <v>5.57</v>
      </c>
      <c r="G10" s="1">
        <v>6.69</v>
      </c>
      <c r="H10" s="1">
        <v>7.8</v>
      </c>
      <c r="I10" s="1">
        <v>8.92</v>
      </c>
      <c r="J10" s="1">
        <v>10</v>
      </c>
      <c r="K10" s="1">
        <v>11.1</v>
      </c>
      <c r="L10" s="1">
        <v>12.3</v>
      </c>
      <c r="M10" s="1">
        <v>13.4</v>
      </c>
      <c r="N10" s="1">
        <v>14.5</v>
      </c>
      <c r="O10" s="1">
        <v>15.6</v>
      </c>
      <c r="P10" s="1">
        <v>16.600000000000001</v>
      </c>
    </row>
    <row r="11" spans="1:16">
      <c r="A11" s="1">
        <v>200</v>
      </c>
      <c r="B11" s="1">
        <v>400</v>
      </c>
      <c r="C11" s="1">
        <v>2.72</v>
      </c>
      <c r="D11" s="1">
        <v>4.08</v>
      </c>
      <c r="E11" s="1">
        <v>5.44</v>
      </c>
      <c r="F11" s="1">
        <v>6.8</v>
      </c>
      <c r="G11" s="1">
        <v>8.16</v>
      </c>
      <c r="H11" s="1">
        <v>9.52</v>
      </c>
      <c r="I11" s="1">
        <v>10.9</v>
      </c>
      <c r="J11" s="1">
        <v>12.2</v>
      </c>
      <c r="K11" s="1">
        <v>13.6</v>
      </c>
      <c r="L11" s="1">
        <v>14.9</v>
      </c>
      <c r="M11" s="1">
        <v>16.3</v>
      </c>
      <c r="N11" s="1">
        <v>17.7</v>
      </c>
      <c r="O11" s="1">
        <v>19</v>
      </c>
      <c r="P11" s="1">
        <v>20.399999999999999</v>
      </c>
    </row>
    <row r="12" spans="1:16">
      <c r="A12" s="1">
        <v>225</v>
      </c>
      <c r="B12" s="1">
        <v>440</v>
      </c>
      <c r="C12" s="1">
        <v>3.24</v>
      </c>
      <c r="D12" s="1">
        <v>4.87</v>
      </c>
      <c r="E12" s="1">
        <v>6.49</v>
      </c>
      <c r="F12" s="1">
        <v>8.11</v>
      </c>
      <c r="G12" s="1">
        <v>9.74</v>
      </c>
      <c r="H12" s="1">
        <v>11.4</v>
      </c>
      <c r="I12" s="1">
        <v>13</v>
      </c>
      <c r="J12" s="1">
        <v>14.6</v>
      </c>
      <c r="K12" s="1">
        <v>16.2</v>
      </c>
      <c r="L12" s="1">
        <v>17.8</v>
      </c>
      <c r="M12" s="1">
        <v>19.5</v>
      </c>
      <c r="N12" s="1">
        <v>21.1</v>
      </c>
      <c r="O12" s="1">
        <v>22.7</v>
      </c>
      <c r="P12" s="1">
        <v>24.3</v>
      </c>
    </row>
    <row r="13" spans="1:16">
      <c r="A13" s="1">
        <v>250</v>
      </c>
      <c r="B13" s="1">
        <v>480</v>
      </c>
      <c r="C13" s="1">
        <v>3.79</v>
      </c>
      <c r="D13" s="1">
        <v>5.68</v>
      </c>
      <c r="E13" s="1">
        <v>7.58</v>
      </c>
      <c r="F13" s="1">
        <v>9.4700000000000006</v>
      </c>
      <c r="G13" s="1">
        <v>11.4</v>
      </c>
      <c r="H13" s="1">
        <v>13.3</v>
      </c>
      <c r="I13" s="1">
        <v>15.2</v>
      </c>
      <c r="J13" s="1">
        <v>17</v>
      </c>
      <c r="K13" s="1">
        <v>18.899999999999999</v>
      </c>
      <c r="L13" s="1">
        <v>20.8</v>
      </c>
      <c r="M13" s="1">
        <v>22.7</v>
      </c>
      <c r="N13" s="1">
        <v>24.6</v>
      </c>
      <c r="O13" s="1">
        <v>26.5</v>
      </c>
      <c r="P13" s="1">
        <v>28.4</v>
      </c>
    </row>
    <row r="14" spans="1:16">
      <c r="A14" s="1">
        <v>300</v>
      </c>
      <c r="B14" s="1">
        <v>550</v>
      </c>
      <c r="C14" s="1">
        <v>4.79</v>
      </c>
      <c r="D14" s="1">
        <v>7.18</v>
      </c>
      <c r="E14" s="1">
        <v>9.58</v>
      </c>
      <c r="F14" s="1">
        <v>12</v>
      </c>
      <c r="G14" s="1">
        <v>14.4</v>
      </c>
      <c r="H14" s="1">
        <v>16.8</v>
      </c>
      <c r="I14" s="1">
        <v>19.2</v>
      </c>
      <c r="J14" s="1">
        <v>21.6</v>
      </c>
      <c r="K14" s="1">
        <v>24</v>
      </c>
      <c r="L14" s="1">
        <v>26.3</v>
      </c>
      <c r="M14" s="1">
        <v>28.7</v>
      </c>
      <c r="N14" s="1">
        <v>31.1</v>
      </c>
      <c r="O14" s="1">
        <v>33.5</v>
      </c>
      <c r="P14" s="1">
        <v>36</v>
      </c>
    </row>
    <row r="15" spans="1:16">
      <c r="A15" s="1">
        <v>350</v>
      </c>
      <c r="B15" s="1">
        <v>620</v>
      </c>
      <c r="C15" s="1">
        <v>5.9</v>
      </c>
      <c r="D15" s="1">
        <v>8.85</v>
      </c>
      <c r="E15" s="1">
        <v>11.8</v>
      </c>
      <c r="F15" s="1">
        <v>14.8</v>
      </c>
      <c r="G15" s="1">
        <v>17.7</v>
      </c>
      <c r="H15" s="1">
        <v>20.6</v>
      </c>
      <c r="I15" s="1">
        <v>23.6</v>
      </c>
      <c r="J15" s="1">
        <v>26.6</v>
      </c>
      <c r="K15" s="1">
        <v>29.5</v>
      </c>
      <c r="L15" s="1">
        <v>32.4</v>
      </c>
      <c r="M15" s="1">
        <v>35.4</v>
      </c>
      <c r="N15" s="1">
        <v>38.299999999999997</v>
      </c>
      <c r="O15" s="1">
        <v>41.3</v>
      </c>
      <c r="P15" s="1">
        <v>44.2</v>
      </c>
    </row>
    <row r="16" spans="1:16">
      <c r="A16" s="1">
        <v>400</v>
      </c>
      <c r="B16" s="1">
        <v>680</v>
      </c>
      <c r="C16" s="1">
        <v>6.84</v>
      </c>
      <c r="D16" s="1">
        <v>10.3</v>
      </c>
      <c r="E16" s="1">
        <v>13.7</v>
      </c>
      <c r="F16" s="1">
        <v>17.100000000000001</v>
      </c>
      <c r="G16" s="1">
        <v>20.5</v>
      </c>
      <c r="H16" s="1">
        <v>24</v>
      </c>
      <c r="I16" s="1">
        <v>27.4</v>
      </c>
      <c r="J16" s="1">
        <v>31</v>
      </c>
      <c r="K16" s="1">
        <v>34.200000000000003</v>
      </c>
      <c r="L16" s="1">
        <v>37.6</v>
      </c>
      <c r="M16" s="1">
        <v>41</v>
      </c>
      <c r="N16" s="1">
        <v>44.5</v>
      </c>
      <c r="O16" s="1">
        <v>48</v>
      </c>
      <c r="P16" s="1">
        <v>51.4</v>
      </c>
    </row>
    <row r="17" spans="1:16">
      <c r="A17" s="1">
        <v>450</v>
      </c>
      <c r="B17" s="1">
        <v>760</v>
      </c>
      <c r="C17" s="1">
        <v>8.4700000000000006</v>
      </c>
      <c r="D17" s="1">
        <v>12.7</v>
      </c>
      <c r="E17" s="1">
        <v>16.899999999999999</v>
      </c>
      <c r="F17" s="1">
        <v>21.2</v>
      </c>
      <c r="G17" s="1">
        <v>25.4</v>
      </c>
      <c r="H17" s="1">
        <v>29.6</v>
      </c>
      <c r="I17" s="1">
        <v>33.9</v>
      </c>
      <c r="J17" s="1">
        <v>38.1</v>
      </c>
      <c r="K17" s="1">
        <v>42.3</v>
      </c>
      <c r="L17" s="1">
        <v>46.5</v>
      </c>
      <c r="M17" s="1">
        <v>50.8</v>
      </c>
      <c r="N17" s="1">
        <v>55</v>
      </c>
      <c r="O17" s="1">
        <v>59.2</v>
      </c>
      <c r="P17" s="1">
        <v>63.5</v>
      </c>
    </row>
    <row r="18" spans="1:16">
      <c r="A18" s="1">
        <v>500</v>
      </c>
      <c r="B18" s="1">
        <v>840</v>
      </c>
      <c r="C18" s="1">
        <v>10.4</v>
      </c>
      <c r="D18" s="1">
        <v>15.6</v>
      </c>
      <c r="E18" s="1">
        <v>20.7</v>
      </c>
      <c r="F18" s="1">
        <v>25.9</v>
      </c>
      <c r="G18" s="1">
        <v>31.1</v>
      </c>
      <c r="H18" s="1">
        <v>36.299999999999997</v>
      </c>
      <c r="I18" s="1">
        <v>41.5</v>
      </c>
      <c r="J18" s="1">
        <v>46.7</v>
      </c>
      <c r="K18" s="1">
        <v>51.8</v>
      </c>
      <c r="L18" s="1">
        <v>57</v>
      </c>
      <c r="M18" s="1">
        <v>62.2</v>
      </c>
      <c r="N18" s="1">
        <v>67.400000000000006</v>
      </c>
      <c r="O18" s="1">
        <v>72.5</v>
      </c>
      <c r="P18" s="1">
        <v>77.7</v>
      </c>
    </row>
    <row r="19" spans="1:16">
      <c r="A19" s="1">
        <v>600</v>
      </c>
      <c r="B19" s="1">
        <v>980</v>
      </c>
      <c r="C19" s="1">
        <v>13.8</v>
      </c>
      <c r="D19" s="1">
        <v>20.6</v>
      </c>
      <c r="E19" s="1">
        <v>27.5</v>
      </c>
      <c r="F19" s="1">
        <v>34.4</v>
      </c>
      <c r="G19" s="1">
        <v>41.3</v>
      </c>
      <c r="H19" s="1">
        <v>48.2</v>
      </c>
      <c r="I19" s="1">
        <v>55.1</v>
      </c>
      <c r="J19" s="1">
        <v>62</v>
      </c>
      <c r="K19" s="1">
        <v>68.900000000000006</v>
      </c>
      <c r="L19" s="1">
        <v>75.7</v>
      </c>
      <c r="M19" s="1">
        <v>82.6</v>
      </c>
      <c r="N19" s="1">
        <v>89.5</v>
      </c>
      <c r="O19" s="1">
        <v>96.4</v>
      </c>
      <c r="P19" s="1">
        <v>103.3</v>
      </c>
    </row>
  </sheetData>
  <mergeCells count="4">
    <mergeCell ref="A1:P1"/>
    <mergeCell ref="A2:A3"/>
    <mergeCell ref="B2:B3"/>
    <mergeCell ref="C2:P2"/>
  </mergeCells>
  <phoneticPr fontId="5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N115"/>
  <sheetViews>
    <sheetView topLeftCell="G1" workbookViewId="0">
      <selection activeCell="R24" sqref="R24"/>
    </sheetView>
  </sheetViews>
  <sheetFormatPr defaultRowHeight="24.95" customHeight="1"/>
  <cols>
    <col min="1" max="22" width="6.625" customWidth="1"/>
  </cols>
  <sheetData>
    <row r="1" spans="1:39" ht="24.95" customHeight="1">
      <c r="A1" s="273" t="s">
        <v>1132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V1" s="274" t="s">
        <v>1133</v>
      </c>
      <c r="W1" s="274"/>
      <c r="X1" s="274"/>
      <c r="Y1" s="274"/>
      <c r="Z1" s="274"/>
      <c r="AA1" s="274"/>
      <c r="AH1" s="274" t="s">
        <v>1134</v>
      </c>
      <c r="AI1" s="274"/>
      <c r="AJ1" s="274"/>
      <c r="AK1" s="274"/>
      <c r="AL1" s="274"/>
      <c r="AM1" s="274"/>
    </row>
    <row r="2" spans="1:39" ht="24.95" customHeight="1">
      <c r="A2" s="84"/>
      <c r="B2" s="275">
        <v>0.6</v>
      </c>
      <c r="C2" s="275"/>
      <c r="D2" s="275"/>
      <c r="E2" s="276">
        <v>1</v>
      </c>
      <c r="F2" s="276"/>
      <c r="G2" s="276"/>
      <c r="H2" s="275">
        <v>1.6</v>
      </c>
      <c r="I2" s="275"/>
      <c r="J2" s="275"/>
      <c r="K2" s="275">
        <v>2.5</v>
      </c>
      <c r="L2" s="275"/>
      <c r="M2" s="275"/>
      <c r="N2" s="276">
        <v>4</v>
      </c>
      <c r="O2" s="276"/>
      <c r="P2" s="276"/>
      <c r="Q2" s="275">
        <v>6.4</v>
      </c>
      <c r="R2" s="275"/>
      <c r="S2" s="275"/>
      <c r="V2" s="84"/>
      <c r="W2" s="85">
        <v>0.25</v>
      </c>
      <c r="X2" s="85">
        <v>0.6</v>
      </c>
      <c r="Y2" s="85">
        <v>1</v>
      </c>
      <c r="Z2" s="85">
        <v>1.6</v>
      </c>
      <c r="AA2" s="85">
        <v>2.5</v>
      </c>
      <c r="AH2" s="84"/>
      <c r="AI2" s="86">
        <v>2</v>
      </c>
      <c r="AJ2" s="86">
        <v>5</v>
      </c>
      <c r="AK2" s="86">
        <v>11</v>
      </c>
      <c r="AL2" s="86">
        <v>15</v>
      </c>
      <c r="AM2" s="86">
        <v>26</v>
      </c>
    </row>
    <row r="3" spans="1:39" ht="24.95" customHeight="1">
      <c r="A3" s="85"/>
      <c r="B3" s="59" t="s">
        <v>1135</v>
      </c>
      <c r="C3" s="59" t="s">
        <v>1136</v>
      </c>
      <c r="D3" s="59" t="s">
        <v>1137</v>
      </c>
      <c r="E3" s="59" t="s">
        <v>1135</v>
      </c>
      <c r="F3" s="59" t="s">
        <v>1136</v>
      </c>
      <c r="G3" s="59" t="s">
        <v>1137</v>
      </c>
      <c r="H3" s="59" t="s">
        <v>1135</v>
      </c>
      <c r="I3" s="59" t="s">
        <v>1136</v>
      </c>
      <c r="J3" s="59" t="s">
        <v>1137</v>
      </c>
      <c r="K3" s="59" t="s">
        <v>1135</v>
      </c>
      <c r="L3" s="59" t="s">
        <v>1136</v>
      </c>
      <c r="M3" s="59" t="s">
        <v>1137</v>
      </c>
      <c r="N3" s="59" t="s">
        <v>1135</v>
      </c>
      <c r="O3" s="59" t="s">
        <v>1136</v>
      </c>
      <c r="P3" s="59" t="s">
        <v>1137</v>
      </c>
      <c r="Q3" s="59" t="s">
        <v>1135</v>
      </c>
      <c r="R3" s="59" t="s">
        <v>1136</v>
      </c>
      <c r="S3" s="59" t="s">
        <v>1137</v>
      </c>
      <c r="V3" s="85">
        <v>10</v>
      </c>
      <c r="W3" s="85">
        <v>0.36</v>
      </c>
      <c r="X3" s="85">
        <v>0.36</v>
      </c>
      <c r="Y3" s="85">
        <v>0.61</v>
      </c>
      <c r="Z3" s="85">
        <v>0.61</v>
      </c>
      <c r="AA3" s="85">
        <v>0.61</v>
      </c>
      <c r="AH3" s="85">
        <v>15</v>
      </c>
      <c r="AI3" s="85">
        <v>0.41</v>
      </c>
      <c r="AJ3" s="85">
        <v>0.63</v>
      </c>
      <c r="AK3" s="85">
        <v>0.75</v>
      </c>
      <c r="AL3" s="85">
        <v>1.75</v>
      </c>
      <c r="AM3" s="85">
        <v>1.75</v>
      </c>
    </row>
    <row r="4" spans="1:39" ht="24.95" customHeight="1">
      <c r="A4" s="85">
        <v>300</v>
      </c>
      <c r="B4" s="85"/>
      <c r="C4" s="85"/>
      <c r="D4" s="85"/>
      <c r="E4" s="85">
        <v>21.6</v>
      </c>
      <c r="F4" s="85">
        <v>24.1</v>
      </c>
      <c r="G4" s="85">
        <v>23.2</v>
      </c>
      <c r="H4" s="85">
        <v>21.6</v>
      </c>
      <c r="I4" s="85">
        <v>24.1</v>
      </c>
      <c r="J4" s="85">
        <v>23.2</v>
      </c>
      <c r="K4" s="85">
        <v>22.5</v>
      </c>
      <c r="L4" s="85">
        <v>25.1</v>
      </c>
      <c r="M4" s="85">
        <v>24.2</v>
      </c>
      <c r="N4" s="85">
        <v>34.700000000000003</v>
      </c>
      <c r="O4" s="85">
        <v>37.6</v>
      </c>
      <c r="P4" s="85">
        <v>36.5</v>
      </c>
      <c r="Q4" s="85">
        <v>38.6</v>
      </c>
      <c r="R4" s="85">
        <v>41.5</v>
      </c>
      <c r="S4" s="85">
        <v>40.4</v>
      </c>
      <c r="V4" s="85">
        <v>15</v>
      </c>
      <c r="W4" s="85">
        <v>0.41</v>
      </c>
      <c r="X4" s="85">
        <v>0.41</v>
      </c>
      <c r="Y4" s="85">
        <v>0.68</v>
      </c>
      <c r="Z4" s="85">
        <v>0.68</v>
      </c>
      <c r="AA4" s="85">
        <v>0.68</v>
      </c>
      <c r="AH4" s="85">
        <v>20</v>
      </c>
      <c r="AI4" s="85">
        <v>0.57999999999999996</v>
      </c>
      <c r="AJ4" s="85">
        <v>1.1599999999999999</v>
      </c>
      <c r="AK4" s="85">
        <v>1.35</v>
      </c>
      <c r="AL4" s="85">
        <v>2.35</v>
      </c>
      <c r="AM4" s="85">
        <v>2.35</v>
      </c>
    </row>
    <row r="5" spans="1:39" ht="24.95" customHeight="1">
      <c r="A5" s="85">
        <v>350</v>
      </c>
      <c r="B5" s="85"/>
      <c r="C5" s="85"/>
      <c r="D5" s="85"/>
      <c r="E5" s="85">
        <v>25.9</v>
      </c>
      <c r="F5" s="85">
        <v>28.8</v>
      </c>
      <c r="G5" s="85">
        <v>27.8</v>
      </c>
      <c r="H5" s="85">
        <v>25.9</v>
      </c>
      <c r="I5" s="85">
        <v>28.8</v>
      </c>
      <c r="J5" s="85">
        <v>27.8</v>
      </c>
      <c r="K5" s="85">
        <v>25.9</v>
      </c>
      <c r="L5" s="85">
        <v>28.8</v>
      </c>
      <c r="M5" s="85">
        <v>27.8</v>
      </c>
      <c r="N5" s="85">
        <v>41.1</v>
      </c>
      <c r="O5" s="85">
        <v>44.5</v>
      </c>
      <c r="P5" s="85">
        <v>43.2</v>
      </c>
      <c r="Q5" s="85">
        <v>45.5</v>
      </c>
      <c r="R5" s="85">
        <v>48.9</v>
      </c>
      <c r="S5" s="85">
        <v>47.6</v>
      </c>
      <c r="V5" s="85">
        <v>20</v>
      </c>
      <c r="W5" s="85">
        <v>0.6</v>
      </c>
      <c r="X5" s="85">
        <v>0.6</v>
      </c>
      <c r="Y5" s="85">
        <v>0.94</v>
      </c>
      <c r="Z5" s="85">
        <v>0.94</v>
      </c>
      <c r="AA5" s="85">
        <v>0.94</v>
      </c>
      <c r="AH5" s="85">
        <v>25</v>
      </c>
      <c r="AI5" s="85">
        <v>0.8</v>
      </c>
      <c r="AJ5" s="85">
        <v>1.37</v>
      </c>
      <c r="AK5" s="85">
        <v>1.58</v>
      </c>
      <c r="AL5" s="85">
        <v>3.5</v>
      </c>
      <c r="AM5" s="85">
        <v>3.5</v>
      </c>
    </row>
    <row r="6" spans="1:39" ht="24.95" customHeight="1">
      <c r="A6" s="85">
        <v>400</v>
      </c>
      <c r="B6" s="85"/>
      <c r="C6" s="85"/>
      <c r="D6" s="85"/>
      <c r="E6" s="85">
        <v>30.2</v>
      </c>
      <c r="F6" s="85">
        <v>33.299999999999997</v>
      </c>
      <c r="G6" s="85">
        <v>32.299999999999997</v>
      </c>
      <c r="H6" s="85">
        <v>30.2</v>
      </c>
      <c r="I6" s="85">
        <v>33.299999999999997</v>
      </c>
      <c r="J6" s="85">
        <v>32.299999999999997</v>
      </c>
      <c r="K6" s="85">
        <v>32</v>
      </c>
      <c r="L6" s="85">
        <v>35.200000000000003</v>
      </c>
      <c r="M6" s="85">
        <v>34.200000000000003</v>
      </c>
      <c r="N6" s="85">
        <v>45.7</v>
      </c>
      <c r="O6" s="85">
        <v>49.4</v>
      </c>
      <c r="P6" s="85">
        <v>48</v>
      </c>
      <c r="Q6" s="85">
        <v>56.8</v>
      </c>
      <c r="R6" s="85">
        <v>60.6</v>
      </c>
      <c r="S6" s="85">
        <v>59.2</v>
      </c>
      <c r="V6" s="85">
        <v>25</v>
      </c>
      <c r="W6" s="85">
        <v>0.73</v>
      </c>
      <c r="X6" s="85">
        <v>0.73</v>
      </c>
      <c r="Y6" s="85">
        <v>1.1200000000000001</v>
      </c>
      <c r="Z6" s="85">
        <v>1.1200000000000001</v>
      </c>
      <c r="AA6" s="85">
        <v>1.1200000000000001</v>
      </c>
      <c r="AH6" s="85">
        <v>32</v>
      </c>
      <c r="AI6" s="85">
        <v>1.07</v>
      </c>
      <c r="AJ6" s="85">
        <v>1.75</v>
      </c>
      <c r="AK6" s="85">
        <v>2.15</v>
      </c>
      <c r="AL6" s="85">
        <v>4.01</v>
      </c>
      <c r="AM6" s="85">
        <v>4.01</v>
      </c>
    </row>
    <row r="7" spans="1:39" ht="24.95" customHeight="1">
      <c r="A7" s="85">
        <v>450</v>
      </c>
      <c r="B7" s="85"/>
      <c r="C7" s="85"/>
      <c r="D7" s="85"/>
      <c r="E7" s="85">
        <v>34.4</v>
      </c>
      <c r="F7" s="85">
        <v>37.9</v>
      </c>
      <c r="G7" s="85">
        <v>36.700000000000003</v>
      </c>
      <c r="H7" s="85">
        <v>34.4</v>
      </c>
      <c r="I7" s="85">
        <v>37.9</v>
      </c>
      <c r="J7" s="85">
        <v>36.700000000000003</v>
      </c>
      <c r="K7" s="85">
        <v>35.799999999999997</v>
      </c>
      <c r="L7" s="85">
        <v>39.299999999999997</v>
      </c>
      <c r="M7" s="85">
        <v>38.1</v>
      </c>
      <c r="N7" s="85">
        <v>55</v>
      </c>
      <c r="O7" s="85">
        <v>59.2</v>
      </c>
      <c r="P7" s="85">
        <v>57.5</v>
      </c>
      <c r="Q7" s="85">
        <v>86.4</v>
      </c>
      <c r="R7" s="85">
        <v>91.8</v>
      </c>
      <c r="S7" s="85">
        <v>89.4</v>
      </c>
      <c r="V7" s="85">
        <v>32</v>
      </c>
      <c r="W7" s="85">
        <v>1.19</v>
      </c>
      <c r="X7" s="85">
        <v>1.19</v>
      </c>
      <c r="Y7" s="85">
        <v>1.86</v>
      </c>
      <c r="Z7" s="85">
        <v>1.86</v>
      </c>
      <c r="AA7" s="85">
        <v>1.86</v>
      </c>
      <c r="AH7" s="85">
        <v>40</v>
      </c>
      <c r="AI7" s="85">
        <v>1.37</v>
      </c>
      <c r="AJ7" s="85">
        <v>2.4700000000000002</v>
      </c>
      <c r="AK7" s="85">
        <v>2.99</v>
      </c>
      <c r="AL7" s="85">
        <v>5.52</v>
      </c>
      <c r="AM7" s="85">
        <v>5.52</v>
      </c>
    </row>
    <row r="8" spans="1:39" ht="24.95" customHeight="1">
      <c r="A8" s="85">
        <v>500</v>
      </c>
      <c r="B8" s="85"/>
      <c r="C8" s="85"/>
      <c r="D8" s="85"/>
      <c r="E8" s="85">
        <v>39.1</v>
      </c>
      <c r="F8" s="85">
        <v>42.9</v>
      </c>
      <c r="G8" s="85">
        <v>41.6</v>
      </c>
      <c r="H8" s="85">
        <v>39.1</v>
      </c>
      <c r="I8" s="85">
        <v>42.9</v>
      </c>
      <c r="J8" s="85">
        <v>41.6</v>
      </c>
      <c r="K8" s="85">
        <v>54.6</v>
      </c>
      <c r="L8" s="85">
        <v>59.2</v>
      </c>
      <c r="M8" s="85">
        <v>57.5</v>
      </c>
      <c r="N8" s="85">
        <v>59.9</v>
      </c>
      <c r="O8" s="85">
        <v>64.5</v>
      </c>
      <c r="P8" s="85">
        <v>62.7</v>
      </c>
      <c r="Q8" s="85">
        <v>99.4</v>
      </c>
      <c r="R8" s="85">
        <v>105.2</v>
      </c>
      <c r="S8" s="85">
        <v>102.5</v>
      </c>
      <c r="V8" s="85">
        <v>40</v>
      </c>
      <c r="W8" s="85">
        <v>1.38</v>
      </c>
      <c r="X8" s="85">
        <v>1.38</v>
      </c>
      <c r="Y8" s="85">
        <v>2.12</v>
      </c>
      <c r="Z8" s="85">
        <v>2.12</v>
      </c>
      <c r="AA8" s="85">
        <v>2.12</v>
      </c>
      <c r="AH8" s="85">
        <v>50</v>
      </c>
      <c r="AI8" s="85">
        <v>2.0099999999999998</v>
      </c>
      <c r="AJ8" s="85">
        <v>2.9</v>
      </c>
      <c r="AK8" s="85">
        <v>3.71</v>
      </c>
      <c r="AL8" s="85">
        <v>9.81</v>
      </c>
      <c r="AM8" s="85">
        <v>9.81</v>
      </c>
    </row>
    <row r="9" spans="1:39" ht="24.95" customHeight="1">
      <c r="A9" s="85">
        <v>550</v>
      </c>
      <c r="B9" s="85"/>
      <c r="C9" s="85"/>
      <c r="D9" s="85"/>
      <c r="E9" s="85">
        <v>44.5</v>
      </c>
      <c r="F9" s="85">
        <v>48.7</v>
      </c>
      <c r="G9" s="85">
        <v>47.2</v>
      </c>
      <c r="H9" s="85">
        <v>45.3</v>
      </c>
      <c r="I9" s="85">
        <v>48.7</v>
      </c>
      <c r="J9" s="85">
        <v>47.2</v>
      </c>
      <c r="K9" s="85">
        <v>59.8</v>
      </c>
      <c r="L9" s="85">
        <v>64.8</v>
      </c>
      <c r="M9" s="85">
        <v>62.8</v>
      </c>
      <c r="N9" s="85">
        <v>69.599999999999994</v>
      </c>
      <c r="O9" s="85">
        <v>74.5</v>
      </c>
      <c r="P9" s="85">
        <v>72.5</v>
      </c>
      <c r="Q9" s="85">
        <v>121.1</v>
      </c>
      <c r="R9" s="85">
        <v>127.5</v>
      </c>
      <c r="S9" s="85">
        <v>124.5</v>
      </c>
      <c r="V9" s="85">
        <v>50</v>
      </c>
      <c r="W9" s="85">
        <v>1.51</v>
      </c>
      <c r="X9" s="85">
        <v>1.51</v>
      </c>
      <c r="Y9" s="85">
        <v>2.77</v>
      </c>
      <c r="Z9" s="85">
        <v>2.77</v>
      </c>
      <c r="AA9" s="85">
        <v>2.77</v>
      </c>
      <c r="AH9" s="85">
        <v>65</v>
      </c>
      <c r="AI9" s="85">
        <v>3.32</v>
      </c>
      <c r="AJ9" s="85">
        <v>4.17</v>
      </c>
      <c r="AK9" s="85">
        <v>5.2</v>
      </c>
      <c r="AL9" s="85">
        <v>13.5</v>
      </c>
      <c r="AM9" s="85">
        <v>13.5</v>
      </c>
    </row>
    <row r="10" spans="1:39" ht="24.95" customHeight="1">
      <c r="A10" s="85">
        <v>600</v>
      </c>
      <c r="B10" s="85"/>
      <c r="C10" s="85"/>
      <c r="D10" s="85"/>
      <c r="E10" s="85">
        <v>54.1</v>
      </c>
      <c r="F10" s="85">
        <v>58.7</v>
      </c>
      <c r="G10" s="85">
        <v>57.1</v>
      </c>
      <c r="H10" s="85">
        <v>54.1</v>
      </c>
      <c r="I10" s="85">
        <v>58.7</v>
      </c>
      <c r="J10" s="85">
        <v>57.1</v>
      </c>
      <c r="K10" s="85">
        <v>66.3</v>
      </c>
      <c r="L10" s="85">
        <v>71.599999999999994</v>
      </c>
      <c r="M10" s="85">
        <v>69.5</v>
      </c>
      <c r="N10" s="85">
        <v>81.8</v>
      </c>
      <c r="O10" s="85">
        <v>87.1</v>
      </c>
      <c r="P10" s="85">
        <v>85</v>
      </c>
      <c r="Q10" s="85">
        <v>159.80000000000001</v>
      </c>
      <c r="R10" s="85">
        <v>167.5</v>
      </c>
      <c r="S10" s="85">
        <v>163.69999999999999</v>
      </c>
      <c r="V10" s="85">
        <v>65</v>
      </c>
      <c r="W10" s="85">
        <v>1.85</v>
      </c>
      <c r="X10" s="85">
        <v>1.85</v>
      </c>
      <c r="Y10" s="85">
        <v>3.31</v>
      </c>
      <c r="Z10" s="85">
        <v>3.31</v>
      </c>
      <c r="AA10" s="85">
        <v>3.46</v>
      </c>
      <c r="AH10" s="85">
        <v>80</v>
      </c>
      <c r="AI10" s="85">
        <v>3.83</v>
      </c>
      <c r="AJ10" s="85">
        <v>5.92</v>
      </c>
      <c r="AK10" s="85">
        <v>7.13</v>
      </c>
      <c r="AL10" s="85">
        <v>11.5</v>
      </c>
      <c r="AM10" s="85"/>
    </row>
    <row r="11" spans="1:39" ht="24.95" customHeight="1">
      <c r="A11" s="85">
        <v>650</v>
      </c>
      <c r="B11" s="85"/>
      <c r="C11" s="85"/>
      <c r="D11" s="85"/>
      <c r="E11" s="85">
        <v>61.4</v>
      </c>
      <c r="F11" s="85">
        <v>66.3</v>
      </c>
      <c r="G11" s="85">
        <v>64.5</v>
      </c>
      <c r="H11" s="85">
        <v>61.4</v>
      </c>
      <c r="I11" s="85">
        <v>66.3</v>
      </c>
      <c r="J11" s="85">
        <v>64.5</v>
      </c>
      <c r="K11" s="85">
        <v>77.2</v>
      </c>
      <c r="L11" s="85">
        <v>83</v>
      </c>
      <c r="M11" s="85">
        <v>80.7</v>
      </c>
      <c r="N11" s="85">
        <v>121.6</v>
      </c>
      <c r="O11" s="85">
        <v>128.9</v>
      </c>
      <c r="P11" s="85">
        <v>125.4</v>
      </c>
      <c r="Q11" s="85">
        <v>180.6</v>
      </c>
      <c r="R11" s="85">
        <v>189</v>
      </c>
      <c r="S11" s="85">
        <v>184.9</v>
      </c>
      <c r="V11" s="85">
        <v>80</v>
      </c>
      <c r="W11" s="85">
        <v>2.94</v>
      </c>
      <c r="X11" s="85">
        <v>2.94</v>
      </c>
      <c r="Y11" s="85">
        <v>3.59</v>
      </c>
      <c r="Z11" s="85">
        <v>3.59</v>
      </c>
      <c r="AA11" s="85">
        <v>4.3099999999999996</v>
      </c>
      <c r="AH11" s="85">
        <v>100</v>
      </c>
      <c r="AI11" s="85">
        <v>5.4</v>
      </c>
      <c r="AJ11" s="85">
        <v>9.73</v>
      </c>
      <c r="AK11" s="85">
        <v>14.9</v>
      </c>
      <c r="AL11" s="85">
        <v>19.399999999999999</v>
      </c>
      <c r="AM11" s="85"/>
    </row>
    <row r="12" spans="1:39" ht="24.95" customHeight="1">
      <c r="A12" s="85">
        <v>700</v>
      </c>
      <c r="B12" s="85"/>
      <c r="C12" s="85"/>
      <c r="D12" s="85"/>
      <c r="E12" s="85">
        <v>67.5</v>
      </c>
      <c r="F12" s="85">
        <v>72.7</v>
      </c>
      <c r="G12" s="85">
        <v>70.8</v>
      </c>
      <c r="H12" s="85">
        <v>82.9</v>
      </c>
      <c r="I12" s="85">
        <v>89.1</v>
      </c>
      <c r="J12" s="85">
        <v>86.6</v>
      </c>
      <c r="K12" s="85">
        <v>88</v>
      </c>
      <c r="L12" s="85">
        <v>94.2</v>
      </c>
      <c r="M12" s="85">
        <v>91.7</v>
      </c>
      <c r="N12" s="85">
        <v>138</v>
      </c>
      <c r="O12" s="85">
        <v>145.9</v>
      </c>
      <c r="P12" s="85">
        <v>142.1</v>
      </c>
      <c r="Q12" s="85">
        <v>246.8</v>
      </c>
      <c r="R12" s="85">
        <v>257.5</v>
      </c>
      <c r="S12" s="85">
        <v>252</v>
      </c>
      <c r="V12" s="85">
        <v>100</v>
      </c>
      <c r="W12" s="85">
        <v>3.41</v>
      </c>
      <c r="X12" s="85">
        <v>3.41</v>
      </c>
      <c r="Y12" s="85">
        <v>4.57</v>
      </c>
      <c r="Z12" s="85">
        <v>4.57</v>
      </c>
      <c r="AA12" s="85">
        <v>6.29</v>
      </c>
      <c r="AH12" s="85">
        <v>125</v>
      </c>
      <c r="AI12" s="85">
        <v>6.26</v>
      </c>
      <c r="AJ12" s="85">
        <v>12.4</v>
      </c>
      <c r="AK12" s="85">
        <v>24.6</v>
      </c>
      <c r="AL12" s="85">
        <v>32.4</v>
      </c>
      <c r="AM12" s="85"/>
    </row>
    <row r="13" spans="1:39" ht="24.95" customHeight="1">
      <c r="A13" s="85">
        <v>800</v>
      </c>
      <c r="B13" s="85"/>
      <c r="C13" s="85"/>
      <c r="D13" s="85"/>
      <c r="E13" s="85">
        <v>77</v>
      </c>
      <c r="F13" s="85">
        <v>82.9</v>
      </c>
      <c r="G13" s="85">
        <v>80.7</v>
      </c>
      <c r="H13" s="85">
        <v>98.7</v>
      </c>
      <c r="I13" s="85">
        <v>105.6</v>
      </c>
      <c r="J13" s="85">
        <v>102.7</v>
      </c>
      <c r="K13" s="85">
        <v>108.7</v>
      </c>
      <c r="L13" s="85">
        <v>115.7</v>
      </c>
      <c r="M13" s="85">
        <v>112.8</v>
      </c>
      <c r="N13" s="85">
        <v>165.5</v>
      </c>
      <c r="O13" s="85">
        <v>174.4</v>
      </c>
      <c r="P13" s="85">
        <v>170.2</v>
      </c>
      <c r="Q13" s="85">
        <v>314.39999999999998</v>
      </c>
      <c r="R13" s="85">
        <v>326.60000000000002</v>
      </c>
      <c r="S13" s="85">
        <v>320.3</v>
      </c>
      <c r="V13" s="85">
        <v>125</v>
      </c>
      <c r="W13" s="85">
        <v>4.53</v>
      </c>
      <c r="X13" s="85">
        <v>4.08</v>
      </c>
      <c r="Y13" s="85">
        <v>5.65</v>
      </c>
      <c r="Z13" s="85">
        <v>5.65</v>
      </c>
      <c r="AA13" s="85">
        <v>8.5</v>
      </c>
      <c r="AH13" s="85">
        <v>150</v>
      </c>
      <c r="AI13" s="85">
        <v>7.5</v>
      </c>
      <c r="AJ13" s="85">
        <v>16</v>
      </c>
      <c r="AK13" s="85">
        <v>28.7</v>
      </c>
      <c r="AL13" s="85">
        <v>41</v>
      </c>
      <c r="AM13" s="85"/>
    </row>
    <row r="14" spans="1:39" ht="24.95" customHeight="1">
      <c r="A14" s="85">
        <v>900</v>
      </c>
      <c r="B14" s="85"/>
      <c r="C14" s="85"/>
      <c r="D14" s="85"/>
      <c r="E14" s="85">
        <v>92.4</v>
      </c>
      <c r="F14" s="85">
        <v>99.1</v>
      </c>
      <c r="G14" s="85">
        <v>96.6</v>
      </c>
      <c r="H14" s="85">
        <v>115.6</v>
      </c>
      <c r="I14" s="85">
        <v>123.3</v>
      </c>
      <c r="J14" s="85">
        <v>120.1</v>
      </c>
      <c r="K14" s="85">
        <v>166.9</v>
      </c>
      <c r="L14" s="85">
        <v>176.8</v>
      </c>
      <c r="M14" s="85">
        <v>172.1</v>
      </c>
      <c r="N14" s="85">
        <v>246.1</v>
      </c>
      <c r="O14" s="85">
        <v>257.39999999999998</v>
      </c>
      <c r="P14" s="85">
        <v>251.8</v>
      </c>
      <c r="Q14" s="85"/>
      <c r="R14" s="85"/>
      <c r="S14" s="85"/>
      <c r="V14" s="85">
        <v>150</v>
      </c>
      <c r="W14" s="85">
        <v>5.14</v>
      </c>
      <c r="X14" s="85">
        <v>5.14</v>
      </c>
      <c r="Y14" s="85">
        <v>7.61</v>
      </c>
      <c r="Z14" s="85">
        <v>7.61</v>
      </c>
      <c r="AA14" s="85">
        <v>10.8</v>
      </c>
      <c r="AH14" s="85">
        <v>200</v>
      </c>
      <c r="AI14" s="85">
        <v>12.3</v>
      </c>
      <c r="AJ14" s="85">
        <v>23.9</v>
      </c>
      <c r="AK14" s="85">
        <v>43.5</v>
      </c>
      <c r="AL14" s="85">
        <v>70.599999999999994</v>
      </c>
      <c r="AM14" s="85"/>
    </row>
    <row r="15" spans="1:39" ht="24.95" customHeight="1">
      <c r="A15" s="85">
        <v>1000</v>
      </c>
      <c r="B15" s="85"/>
      <c r="C15" s="85"/>
      <c r="D15" s="85"/>
      <c r="E15" s="85">
        <v>109.1</v>
      </c>
      <c r="F15" s="85">
        <v>116.4</v>
      </c>
      <c r="G15" s="85">
        <v>113.7</v>
      </c>
      <c r="H15" s="85">
        <v>135.6</v>
      </c>
      <c r="I15" s="85">
        <v>144.19999999999999</v>
      </c>
      <c r="J15" s="85">
        <v>140.69999999999999</v>
      </c>
      <c r="K15" s="85">
        <v>193.9</v>
      </c>
      <c r="L15" s="85">
        <v>205</v>
      </c>
      <c r="M15" s="85">
        <v>199.7</v>
      </c>
      <c r="N15" s="85">
        <v>305.8</v>
      </c>
      <c r="O15" s="85">
        <v>318.10000000000002</v>
      </c>
      <c r="P15" s="85">
        <v>311.89999999999998</v>
      </c>
      <c r="Q15" s="85"/>
      <c r="R15" s="85"/>
      <c r="S15" s="85"/>
      <c r="V15" s="85">
        <v>200</v>
      </c>
      <c r="W15" s="85">
        <v>6.85</v>
      </c>
      <c r="X15" s="85">
        <v>6.85</v>
      </c>
      <c r="Y15" s="85">
        <v>9.24</v>
      </c>
      <c r="Z15" s="85">
        <v>9.69</v>
      </c>
      <c r="AA15" s="85">
        <v>14.2</v>
      </c>
      <c r="AH15" s="85">
        <v>250</v>
      </c>
      <c r="AI15" s="85">
        <v>16.2</v>
      </c>
      <c r="AJ15" s="85">
        <v>34</v>
      </c>
      <c r="AK15" s="85">
        <v>70.900000000000006</v>
      </c>
      <c r="AL15" s="85">
        <v>99.7</v>
      </c>
      <c r="AM15" s="85"/>
    </row>
    <row r="16" spans="1:39" ht="24.95" customHeight="1">
      <c r="A16" s="85">
        <v>1100</v>
      </c>
      <c r="B16" s="85"/>
      <c r="C16" s="85"/>
      <c r="D16" s="85"/>
      <c r="E16" s="85">
        <v>148.69999999999999</v>
      </c>
      <c r="F16" s="85">
        <v>157.6</v>
      </c>
      <c r="G16" s="85">
        <v>155.4</v>
      </c>
      <c r="H16" s="85">
        <v>163.1</v>
      </c>
      <c r="I16" s="85">
        <v>172.1</v>
      </c>
      <c r="J16" s="85">
        <v>169.9</v>
      </c>
      <c r="K16" s="85">
        <v>233.6</v>
      </c>
      <c r="L16" s="85">
        <v>245.1</v>
      </c>
      <c r="M16" s="85">
        <v>241.1</v>
      </c>
      <c r="N16" s="85">
        <v>420.3</v>
      </c>
      <c r="O16" s="85">
        <v>435.9</v>
      </c>
      <c r="P16" s="85">
        <v>429.3</v>
      </c>
      <c r="Q16" s="85"/>
      <c r="R16" s="85"/>
      <c r="S16" s="85"/>
      <c r="V16" s="85">
        <v>250</v>
      </c>
      <c r="W16" s="85">
        <v>8.9600000000000009</v>
      </c>
      <c r="X16" s="85">
        <v>8.9600000000000009</v>
      </c>
      <c r="Y16" s="85">
        <v>11.9</v>
      </c>
      <c r="Z16" s="85">
        <v>13.8</v>
      </c>
      <c r="AA16" s="85">
        <v>20.2</v>
      </c>
      <c r="AH16" s="85">
        <v>300</v>
      </c>
      <c r="AI16" s="85">
        <v>26.5</v>
      </c>
      <c r="AJ16" s="85">
        <v>49.1</v>
      </c>
      <c r="AK16" s="85">
        <v>84.5</v>
      </c>
      <c r="AL16" s="85">
        <v>132.30000000000001</v>
      </c>
      <c r="AM16" s="85"/>
    </row>
    <row r="17" spans="1:40" ht="24.95" customHeight="1">
      <c r="A17" s="85">
        <v>1200</v>
      </c>
      <c r="B17" s="85"/>
      <c r="C17" s="85"/>
      <c r="D17" s="85"/>
      <c r="E17" s="85">
        <v>161.1</v>
      </c>
      <c r="F17" s="85">
        <v>170.8</v>
      </c>
      <c r="G17" s="85">
        <v>168.4</v>
      </c>
      <c r="H17" s="85">
        <v>183</v>
      </c>
      <c r="I17" s="85">
        <v>192.7</v>
      </c>
      <c r="J17" s="85">
        <v>190.3</v>
      </c>
      <c r="K17" s="85">
        <v>279.60000000000002</v>
      </c>
      <c r="L17" s="85">
        <v>292.10000000000002</v>
      </c>
      <c r="M17" s="85">
        <v>287.8</v>
      </c>
      <c r="N17" s="85">
        <v>512.29999999999995</v>
      </c>
      <c r="O17" s="85">
        <v>528.5</v>
      </c>
      <c r="P17" s="85">
        <v>521.29999999999995</v>
      </c>
      <c r="Q17" s="85"/>
      <c r="R17" s="85"/>
      <c r="S17" s="85"/>
      <c r="V17" s="85">
        <v>300</v>
      </c>
      <c r="W17" s="85">
        <v>11.9</v>
      </c>
      <c r="X17" s="85">
        <v>11.9</v>
      </c>
      <c r="Y17" s="85">
        <v>14.6</v>
      </c>
      <c r="Z17" s="85">
        <v>18.899999999999999</v>
      </c>
      <c r="AA17" s="85">
        <v>26.5</v>
      </c>
      <c r="AH17" s="85">
        <v>350</v>
      </c>
      <c r="AI17" s="85">
        <v>34.5</v>
      </c>
      <c r="AJ17" s="85">
        <v>69.099999999999994</v>
      </c>
      <c r="AK17" s="85">
        <v>99.3</v>
      </c>
      <c r="AL17" s="85">
        <v>151.80000000000001</v>
      </c>
      <c r="AM17" s="85"/>
    </row>
    <row r="18" spans="1:40" ht="24.95" customHeight="1">
      <c r="A18" s="85">
        <v>1300</v>
      </c>
      <c r="B18" s="85">
        <v>184.2</v>
      </c>
      <c r="C18" s="85">
        <v>194.7</v>
      </c>
      <c r="D18" s="85">
        <v>192.1</v>
      </c>
      <c r="E18" s="85">
        <v>184.2</v>
      </c>
      <c r="F18" s="85">
        <v>194.7</v>
      </c>
      <c r="G18" s="85">
        <v>192.1</v>
      </c>
      <c r="H18" s="85">
        <v>215.8</v>
      </c>
      <c r="I18" s="85">
        <v>226.3</v>
      </c>
      <c r="J18" s="85">
        <v>223.7</v>
      </c>
      <c r="K18" s="85">
        <v>322</v>
      </c>
      <c r="L18" s="85">
        <v>335.5</v>
      </c>
      <c r="M18" s="85">
        <v>330.8</v>
      </c>
      <c r="N18" s="85">
        <v>579.4</v>
      </c>
      <c r="O18" s="85">
        <v>597.70000000000005</v>
      </c>
      <c r="P18" s="85">
        <v>589.79999999999995</v>
      </c>
      <c r="Q18" s="85"/>
      <c r="R18" s="85"/>
      <c r="S18" s="85"/>
      <c r="V18" s="85">
        <v>350</v>
      </c>
      <c r="W18" s="85">
        <v>14.3</v>
      </c>
      <c r="X18" s="85">
        <v>14.3</v>
      </c>
      <c r="Y18" s="85">
        <v>18.899999999999999</v>
      </c>
      <c r="Z18" s="85">
        <v>24.7</v>
      </c>
      <c r="AA18" s="85">
        <v>37.6</v>
      </c>
      <c r="AH18" s="85">
        <v>400</v>
      </c>
      <c r="AI18" s="85">
        <v>45.5</v>
      </c>
      <c r="AJ18" s="85">
        <v>88.9</v>
      </c>
      <c r="AK18" s="85">
        <v>141</v>
      </c>
      <c r="AL18" s="85">
        <v>184.1</v>
      </c>
      <c r="AM18" s="85"/>
    </row>
    <row r="19" spans="1:40" ht="24.95" customHeight="1">
      <c r="A19" s="85">
        <v>1400</v>
      </c>
      <c r="B19" s="85">
        <v>205.4</v>
      </c>
      <c r="C19" s="85">
        <v>216.7</v>
      </c>
      <c r="D19" s="85">
        <v>213.9</v>
      </c>
      <c r="E19" s="85">
        <v>205.4</v>
      </c>
      <c r="F19" s="85">
        <v>216.7</v>
      </c>
      <c r="G19" s="85">
        <v>213.9</v>
      </c>
      <c r="H19" s="85">
        <v>248.4</v>
      </c>
      <c r="I19" s="85">
        <v>259.7</v>
      </c>
      <c r="J19" s="85">
        <v>256.89999999999998</v>
      </c>
      <c r="K19" s="85">
        <v>383</v>
      </c>
      <c r="L19" s="85">
        <v>397.6</v>
      </c>
      <c r="M19" s="85">
        <v>392.5</v>
      </c>
      <c r="N19" s="85">
        <v>639.79999999999995</v>
      </c>
      <c r="O19" s="85">
        <v>659.3</v>
      </c>
      <c r="P19" s="85">
        <v>650.79999999999995</v>
      </c>
      <c r="Q19" s="85"/>
      <c r="R19" s="85"/>
      <c r="S19" s="85"/>
      <c r="V19" s="85">
        <v>400</v>
      </c>
      <c r="W19" s="85">
        <v>17.100000000000001</v>
      </c>
      <c r="X19" s="85">
        <v>17.100000000000001</v>
      </c>
      <c r="Y19" s="85">
        <v>24.4</v>
      </c>
      <c r="Z19" s="85">
        <v>32.1</v>
      </c>
      <c r="AA19" s="85">
        <v>50.7</v>
      </c>
      <c r="AH19" s="85">
        <v>450</v>
      </c>
      <c r="AI19" s="85">
        <v>48.5</v>
      </c>
      <c r="AJ19" s="85">
        <v>107.2</v>
      </c>
      <c r="AK19" s="85">
        <v>174.8</v>
      </c>
      <c r="AL19" s="85">
        <v>256.10000000000002</v>
      </c>
      <c r="AM19" s="85"/>
    </row>
    <row r="20" spans="1:40" ht="24.95" customHeight="1">
      <c r="A20" s="85">
        <v>1500</v>
      </c>
      <c r="B20" s="85">
        <v>226.7</v>
      </c>
      <c r="C20" s="85">
        <v>238.8</v>
      </c>
      <c r="D20" s="85">
        <v>235.8</v>
      </c>
      <c r="E20" s="85">
        <v>226.7</v>
      </c>
      <c r="F20" s="85">
        <v>238.8</v>
      </c>
      <c r="G20" s="85">
        <v>235.8</v>
      </c>
      <c r="H20" s="85">
        <v>335.5</v>
      </c>
      <c r="I20" s="85">
        <v>351</v>
      </c>
      <c r="J20" s="85">
        <v>345.6</v>
      </c>
      <c r="K20" s="85">
        <v>473.8</v>
      </c>
      <c r="L20" s="85">
        <v>491.2</v>
      </c>
      <c r="M20" s="85">
        <v>484.4</v>
      </c>
      <c r="N20" s="85">
        <v>744.9</v>
      </c>
      <c r="O20" s="85">
        <v>765.7</v>
      </c>
      <c r="P20" s="85">
        <v>756.3</v>
      </c>
      <c r="Q20" s="85"/>
      <c r="R20" s="85"/>
      <c r="S20" s="85"/>
      <c r="V20" s="85">
        <v>450</v>
      </c>
      <c r="W20" s="85">
        <v>20.5</v>
      </c>
      <c r="X20" s="85">
        <v>20.5</v>
      </c>
      <c r="Y20" s="85">
        <v>27.9</v>
      </c>
      <c r="Z20" s="85">
        <v>40.5</v>
      </c>
      <c r="AA20" s="85">
        <v>57.8</v>
      </c>
      <c r="AH20" s="85">
        <v>500</v>
      </c>
      <c r="AI20" s="85">
        <v>61.8</v>
      </c>
      <c r="AJ20" s="85">
        <v>132.9</v>
      </c>
      <c r="AK20" s="85">
        <v>221.8</v>
      </c>
      <c r="AL20" s="85">
        <v>333.2</v>
      </c>
      <c r="AM20" s="85"/>
    </row>
    <row r="21" spans="1:40" ht="24.95" customHeight="1">
      <c r="A21" s="85">
        <v>1600</v>
      </c>
      <c r="B21" s="85">
        <v>258.8</v>
      </c>
      <c r="C21" s="85">
        <v>271.60000000000002</v>
      </c>
      <c r="D21" s="85">
        <v>268.39999999999998</v>
      </c>
      <c r="E21" s="85">
        <v>258.8</v>
      </c>
      <c r="F21" s="85">
        <v>271.60000000000002</v>
      </c>
      <c r="G21" s="85">
        <v>268.39999999999998</v>
      </c>
      <c r="H21" s="85">
        <v>377.7</v>
      </c>
      <c r="I21" s="85">
        <v>394.2</v>
      </c>
      <c r="J21" s="85">
        <v>388.4</v>
      </c>
      <c r="K21" s="85">
        <v>544.4</v>
      </c>
      <c r="L21" s="85">
        <v>562.9</v>
      </c>
      <c r="M21" s="85">
        <v>555.6</v>
      </c>
      <c r="N21" s="85">
        <v>857.7</v>
      </c>
      <c r="O21" s="85">
        <v>879.8</v>
      </c>
      <c r="P21" s="85">
        <v>870.1</v>
      </c>
      <c r="Q21" s="84"/>
      <c r="R21" s="84"/>
      <c r="S21" s="84"/>
      <c r="V21" s="85">
        <v>500</v>
      </c>
      <c r="W21" s="85">
        <v>23.7</v>
      </c>
      <c r="X21" s="85">
        <v>23.7</v>
      </c>
      <c r="Y21" s="85">
        <v>34.9</v>
      </c>
      <c r="Z21" s="85">
        <v>57.6</v>
      </c>
      <c r="AA21" s="85">
        <v>76.2</v>
      </c>
      <c r="AH21" s="85">
        <v>600</v>
      </c>
      <c r="AI21" s="85">
        <v>87.7</v>
      </c>
      <c r="AJ21" s="85">
        <v>198.7</v>
      </c>
      <c r="AK21" s="85">
        <v>313.3</v>
      </c>
      <c r="AL21" s="85">
        <v>600</v>
      </c>
      <c r="AM21" s="85"/>
    </row>
    <row r="22" spans="1:40" ht="24.95" customHeight="1">
      <c r="A22" s="85">
        <v>1700</v>
      </c>
      <c r="B22" s="85">
        <v>262.7</v>
      </c>
      <c r="C22" s="85">
        <v>276.2</v>
      </c>
      <c r="D22" s="85">
        <v>272.8</v>
      </c>
      <c r="E22" s="85">
        <v>292.89999999999998</v>
      </c>
      <c r="F22" s="85">
        <v>306.5</v>
      </c>
      <c r="G22" s="85">
        <v>303.10000000000002</v>
      </c>
      <c r="H22" s="85">
        <v>410.3</v>
      </c>
      <c r="I22" s="85">
        <v>427.7</v>
      </c>
      <c r="J22" s="85">
        <v>421.6</v>
      </c>
      <c r="K22" s="85">
        <v>702.1</v>
      </c>
      <c r="L22" s="85">
        <v>720.9</v>
      </c>
      <c r="M22" s="85">
        <v>710.6</v>
      </c>
      <c r="N22" s="85"/>
      <c r="O22" s="85"/>
      <c r="P22" s="85"/>
      <c r="Q22" s="84"/>
      <c r="R22" s="84"/>
      <c r="S22" s="84"/>
      <c r="V22" s="85">
        <v>600</v>
      </c>
      <c r="W22" s="85">
        <v>33.700000000000003</v>
      </c>
      <c r="X22" s="85">
        <v>33.700000000000003</v>
      </c>
      <c r="Y22" s="85">
        <v>48.1</v>
      </c>
      <c r="Z22" s="85">
        <v>88.2</v>
      </c>
      <c r="AA22" s="85">
        <v>117</v>
      </c>
      <c r="AH22" s="274" t="s">
        <v>1138</v>
      </c>
      <c r="AI22" s="274"/>
      <c r="AJ22" s="274"/>
      <c r="AK22" s="274"/>
      <c r="AL22" s="274"/>
      <c r="AM22" s="274"/>
      <c r="AN22" s="274"/>
    </row>
    <row r="23" spans="1:40" ht="24.95" customHeight="1">
      <c r="A23" s="85">
        <v>1800</v>
      </c>
      <c r="B23" s="85">
        <v>291.8</v>
      </c>
      <c r="C23" s="85">
        <v>306.10000000000002</v>
      </c>
      <c r="D23" s="85">
        <v>302.5</v>
      </c>
      <c r="E23" s="85">
        <v>323.7</v>
      </c>
      <c r="F23" s="85">
        <v>338</v>
      </c>
      <c r="G23" s="85">
        <v>334.4</v>
      </c>
      <c r="H23" s="85">
        <v>468.7</v>
      </c>
      <c r="I23" s="85">
        <v>487.1</v>
      </c>
      <c r="J23" s="85">
        <v>480.5</v>
      </c>
      <c r="K23" s="85">
        <v>788</v>
      </c>
      <c r="L23" s="85">
        <v>812.7</v>
      </c>
      <c r="M23" s="85">
        <v>801.9</v>
      </c>
      <c r="N23" s="85"/>
      <c r="O23" s="85"/>
      <c r="P23" s="85"/>
      <c r="Q23" s="84"/>
      <c r="R23" s="84"/>
      <c r="S23" s="84"/>
      <c r="V23" s="85">
        <v>700</v>
      </c>
      <c r="W23" s="85">
        <v>44.2</v>
      </c>
      <c r="X23" s="85">
        <v>49.1</v>
      </c>
      <c r="Y23" s="84"/>
      <c r="Z23" s="84"/>
      <c r="AA23" s="84"/>
      <c r="AH23" s="84"/>
      <c r="AI23" s="86">
        <v>2</v>
      </c>
      <c r="AJ23" s="86">
        <v>5</v>
      </c>
      <c r="AK23" s="86">
        <v>11</v>
      </c>
      <c r="AL23" s="86">
        <v>15</v>
      </c>
      <c r="AM23" s="86">
        <v>26</v>
      </c>
      <c r="AN23" s="86">
        <v>42</v>
      </c>
    </row>
    <row r="24" spans="1:40" ht="24.95" customHeight="1">
      <c r="A24" s="85">
        <v>1900</v>
      </c>
      <c r="B24" s="85">
        <v>322.39999999999998</v>
      </c>
      <c r="C24" s="85">
        <v>337.5</v>
      </c>
      <c r="D24" s="85">
        <v>333.7</v>
      </c>
      <c r="E24" s="85">
        <v>435.1</v>
      </c>
      <c r="F24" s="85">
        <v>454.6</v>
      </c>
      <c r="G24" s="85">
        <v>447.6</v>
      </c>
      <c r="H24" s="84">
        <v>569.4</v>
      </c>
      <c r="I24" s="84">
        <v>591.20000000000005</v>
      </c>
      <c r="J24" s="84">
        <v>582.5</v>
      </c>
      <c r="K24" s="85">
        <v>886.1</v>
      </c>
      <c r="L24" s="85">
        <v>912.2</v>
      </c>
      <c r="M24" s="85">
        <v>900.8</v>
      </c>
      <c r="N24" s="84"/>
      <c r="O24" s="84"/>
      <c r="P24" s="84"/>
      <c r="Q24" s="84"/>
      <c r="R24" s="84"/>
      <c r="S24" s="84"/>
      <c r="V24" s="85">
        <v>800</v>
      </c>
      <c r="W24" s="85">
        <v>58.6</v>
      </c>
      <c r="X24" s="85">
        <v>67.8</v>
      </c>
      <c r="Y24" s="84"/>
      <c r="Z24" s="84"/>
      <c r="AA24" s="84"/>
      <c r="AH24" s="85">
        <v>15</v>
      </c>
      <c r="AI24" s="85">
        <v>0.91</v>
      </c>
      <c r="AJ24" s="85">
        <v>0.91</v>
      </c>
      <c r="AK24" s="85">
        <v>1.36</v>
      </c>
      <c r="AL24" s="85">
        <v>3.18</v>
      </c>
      <c r="AM24" s="85">
        <v>3.18</v>
      </c>
      <c r="AN24" s="85">
        <v>3.63</v>
      </c>
    </row>
    <row r="25" spans="1:40" ht="24.95" customHeight="1">
      <c r="A25" s="85">
        <v>2000</v>
      </c>
      <c r="B25" s="85">
        <v>344.5</v>
      </c>
      <c r="C25" s="85">
        <v>360.4</v>
      </c>
      <c r="D25" s="85">
        <v>356.4</v>
      </c>
      <c r="E25" s="85">
        <v>483.8</v>
      </c>
      <c r="F25" s="85">
        <v>504.1</v>
      </c>
      <c r="G25" s="85">
        <v>496.8</v>
      </c>
      <c r="H25" s="84">
        <v>632.70000000000005</v>
      </c>
      <c r="I25" s="84">
        <v>655.6</v>
      </c>
      <c r="J25" s="84">
        <v>646.5</v>
      </c>
      <c r="K25" s="85">
        <v>997.6</v>
      </c>
      <c r="L25" s="85"/>
      <c r="M25" s="85">
        <v>1012.9</v>
      </c>
      <c r="N25" s="84"/>
      <c r="O25" s="84"/>
      <c r="P25" s="84"/>
      <c r="Q25" s="84"/>
      <c r="R25" s="84"/>
      <c r="S25" s="84"/>
      <c r="V25" s="85">
        <v>900</v>
      </c>
      <c r="W25" s="85">
        <v>69.099999999999994</v>
      </c>
      <c r="X25" s="85">
        <v>82.9</v>
      </c>
      <c r="Y25" s="84"/>
      <c r="Z25" s="84"/>
      <c r="AA25" s="84"/>
      <c r="AH25" s="85">
        <v>20</v>
      </c>
      <c r="AI25" s="85">
        <v>0.91</v>
      </c>
      <c r="AJ25" s="85">
        <v>1.36</v>
      </c>
      <c r="AK25" s="85">
        <v>1.59</v>
      </c>
      <c r="AL25" s="85">
        <v>3.18</v>
      </c>
      <c r="AM25" s="85">
        <v>3.18</v>
      </c>
      <c r="AN25" s="85">
        <v>4.09</v>
      </c>
    </row>
    <row r="26" spans="1:40" ht="24.95" customHeight="1">
      <c r="A26" s="273" t="s">
        <v>1139</v>
      </c>
      <c r="B26" s="274"/>
      <c r="C26" s="274"/>
      <c r="D26" s="274"/>
      <c r="E26" s="274"/>
      <c r="F26" s="274"/>
      <c r="G26" s="274"/>
      <c r="H26" s="274"/>
      <c r="I26" s="274"/>
      <c r="J26" s="274"/>
      <c r="K26" s="274"/>
      <c r="L26" s="274"/>
      <c r="M26" s="274"/>
      <c r="N26" s="274"/>
      <c r="O26" s="274"/>
      <c r="P26" s="274"/>
      <c r="Q26" s="274"/>
      <c r="R26" s="274"/>
      <c r="S26" s="274"/>
      <c r="V26" s="85">
        <v>1000</v>
      </c>
      <c r="W26" s="85">
        <v>79.400000000000006</v>
      </c>
      <c r="X26" s="85">
        <v>98.3</v>
      </c>
      <c r="Y26" s="84"/>
      <c r="Z26" s="84"/>
      <c r="AA26" s="84"/>
      <c r="AH26" s="85">
        <v>25</v>
      </c>
      <c r="AI26" s="85">
        <v>1.1399999999999999</v>
      </c>
      <c r="AJ26" s="85">
        <v>1.82</v>
      </c>
      <c r="AK26" s="85">
        <v>1.82</v>
      </c>
      <c r="AL26" s="85">
        <v>3.86</v>
      </c>
      <c r="AM26" s="85">
        <v>3.86</v>
      </c>
      <c r="AN26" s="85">
        <v>5.9</v>
      </c>
    </row>
    <row r="27" spans="1:40" ht="24.95" customHeight="1">
      <c r="A27" s="84"/>
      <c r="B27" s="275">
        <v>0.25</v>
      </c>
      <c r="C27" s="275"/>
      <c r="D27" s="275"/>
      <c r="E27" s="275">
        <v>0.6</v>
      </c>
      <c r="F27" s="275"/>
      <c r="G27" s="275"/>
      <c r="H27" s="276">
        <v>1</v>
      </c>
      <c r="I27" s="276"/>
      <c r="J27" s="276"/>
      <c r="K27" s="275">
        <v>1.6</v>
      </c>
      <c r="L27" s="275"/>
      <c r="M27" s="275"/>
      <c r="N27" s="275">
        <v>2.5</v>
      </c>
      <c r="O27" s="275"/>
      <c r="P27" s="275"/>
      <c r="Q27" s="276">
        <v>4</v>
      </c>
      <c r="R27" s="276"/>
      <c r="S27" s="276"/>
      <c r="V27" s="85">
        <v>1200</v>
      </c>
      <c r="W27" s="85">
        <v>98.6</v>
      </c>
      <c r="X27" s="85">
        <v>163.1</v>
      </c>
      <c r="Y27" s="84"/>
      <c r="Z27" s="84"/>
      <c r="AA27" s="84"/>
      <c r="AH27" s="85">
        <v>32</v>
      </c>
      <c r="AI27" s="85">
        <v>1.1399999999999999</v>
      </c>
      <c r="AJ27" s="85">
        <v>2.27</v>
      </c>
      <c r="AK27" s="85">
        <v>2.5</v>
      </c>
      <c r="AL27" s="85">
        <v>4.54</v>
      </c>
      <c r="AM27" s="85">
        <v>4.54</v>
      </c>
      <c r="AN27" s="85">
        <v>9.08</v>
      </c>
    </row>
    <row r="28" spans="1:40" ht="24.95" customHeight="1">
      <c r="A28" s="85"/>
      <c r="B28" s="20" t="s">
        <v>1135</v>
      </c>
      <c r="C28" s="20" t="s">
        <v>1136</v>
      </c>
      <c r="D28" s="20" t="s">
        <v>1137</v>
      </c>
      <c r="E28" s="20" t="s">
        <v>1135</v>
      </c>
      <c r="F28" s="20" t="s">
        <v>1136</v>
      </c>
      <c r="G28" s="20" t="s">
        <v>1137</v>
      </c>
      <c r="H28" s="20" t="s">
        <v>1135</v>
      </c>
      <c r="I28" s="20" t="s">
        <v>1136</v>
      </c>
      <c r="J28" s="20" t="s">
        <v>1137</v>
      </c>
      <c r="K28" s="20" t="s">
        <v>1135</v>
      </c>
      <c r="L28" s="20" t="s">
        <v>1136</v>
      </c>
      <c r="M28" s="20" t="s">
        <v>1137</v>
      </c>
      <c r="N28" s="20" t="s">
        <v>1135</v>
      </c>
      <c r="O28" s="20" t="s">
        <v>1136</v>
      </c>
      <c r="P28" s="20" t="s">
        <v>1137</v>
      </c>
      <c r="Q28" s="20" t="s">
        <v>1135</v>
      </c>
      <c r="R28" s="20" t="s">
        <v>1136</v>
      </c>
      <c r="S28" s="20" t="s">
        <v>1137</v>
      </c>
      <c r="V28" s="85">
        <v>1400</v>
      </c>
      <c r="W28" s="85">
        <v>124.4</v>
      </c>
      <c r="X28" s="85">
        <v>244.1</v>
      </c>
      <c r="Y28" s="84"/>
      <c r="Z28" s="84"/>
      <c r="AA28" s="84"/>
      <c r="AH28" s="85">
        <v>40</v>
      </c>
      <c r="AI28" s="85">
        <v>1.81</v>
      </c>
      <c r="AJ28" s="85">
        <v>3.18</v>
      </c>
      <c r="AK28" s="85">
        <v>3.63</v>
      </c>
      <c r="AL28" s="85">
        <v>6.36</v>
      </c>
      <c r="AM28" s="85">
        <v>6.36</v>
      </c>
      <c r="AN28" s="85">
        <v>12.7</v>
      </c>
    </row>
    <row r="29" spans="1:40" ht="24.95" customHeight="1">
      <c r="A29" s="85">
        <v>300</v>
      </c>
      <c r="B29" s="85"/>
      <c r="C29" s="85"/>
      <c r="D29" s="85"/>
      <c r="E29" s="85"/>
      <c r="F29" s="85"/>
      <c r="G29" s="85"/>
      <c r="H29" s="87"/>
      <c r="I29" s="87"/>
      <c r="J29" s="87"/>
      <c r="K29" s="87"/>
      <c r="L29" s="87"/>
      <c r="M29" s="87"/>
      <c r="N29" s="87">
        <v>34.799999999999997</v>
      </c>
      <c r="O29" s="87">
        <v>36</v>
      </c>
      <c r="P29" s="87">
        <v>35.1</v>
      </c>
      <c r="Q29" s="87">
        <v>47.8</v>
      </c>
      <c r="R29" s="87">
        <v>49.3</v>
      </c>
      <c r="S29" s="87">
        <v>48.1</v>
      </c>
      <c r="V29" s="85">
        <v>1600</v>
      </c>
      <c r="W29" s="85">
        <v>166.8</v>
      </c>
      <c r="X29" s="85">
        <v>309</v>
      </c>
      <c r="Y29" s="84"/>
      <c r="Z29" s="84"/>
      <c r="AA29" s="84"/>
      <c r="AH29" s="85">
        <v>50</v>
      </c>
      <c r="AI29" s="85">
        <v>2.72</v>
      </c>
      <c r="AJ29" s="85">
        <v>3.36</v>
      </c>
      <c r="AK29" s="85">
        <v>4.54</v>
      </c>
      <c r="AL29" s="85">
        <v>10.9</v>
      </c>
      <c r="AM29" s="85">
        <v>10.9</v>
      </c>
      <c r="AN29" s="85">
        <v>19.100000000000001</v>
      </c>
    </row>
    <row r="30" spans="1:40" ht="24.95" customHeight="1">
      <c r="A30" s="85">
        <v>350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>
        <v>41.4</v>
      </c>
      <c r="O30" s="85">
        <v>42.9</v>
      </c>
      <c r="P30" s="85">
        <v>41.7</v>
      </c>
      <c r="Q30" s="85">
        <v>56.5</v>
      </c>
      <c r="R30" s="85">
        <v>58.3</v>
      </c>
      <c r="S30" s="85">
        <v>56.8</v>
      </c>
      <c r="V30" s="85">
        <v>1800</v>
      </c>
      <c r="W30" s="85">
        <v>197.5</v>
      </c>
      <c r="X30" s="85">
        <v>408</v>
      </c>
      <c r="Y30" s="84"/>
      <c r="Z30" s="84"/>
      <c r="AA30" s="84"/>
      <c r="AH30" s="85">
        <v>65</v>
      </c>
      <c r="AI30" s="85">
        <v>4.45</v>
      </c>
      <c r="AJ30" s="85">
        <v>5.45</v>
      </c>
      <c r="AK30" s="85">
        <v>6.36</v>
      </c>
      <c r="AL30" s="85">
        <v>16.3</v>
      </c>
      <c r="AM30" s="85">
        <v>16.34</v>
      </c>
      <c r="AN30" s="85">
        <v>23.6</v>
      </c>
    </row>
    <row r="31" spans="1:40" ht="24.95" customHeight="1">
      <c r="A31" s="85">
        <v>400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>
        <v>50.3</v>
      </c>
      <c r="O31" s="85">
        <v>51.9</v>
      </c>
      <c r="P31" s="85">
        <v>50.6</v>
      </c>
      <c r="Q31" s="85">
        <v>68.400000000000006</v>
      </c>
      <c r="R31" s="85">
        <v>70.400000000000006</v>
      </c>
      <c r="S31" s="85">
        <v>68.7</v>
      </c>
      <c r="V31" s="85">
        <v>2000</v>
      </c>
      <c r="W31" s="85">
        <v>234.6</v>
      </c>
      <c r="X31" s="85">
        <v>538</v>
      </c>
      <c r="Y31" s="84"/>
      <c r="Z31" s="84"/>
      <c r="AA31" s="84"/>
      <c r="AH31" s="85">
        <v>80</v>
      </c>
      <c r="AI31" s="85">
        <v>5.22</v>
      </c>
      <c r="AJ31" s="85">
        <v>8.17</v>
      </c>
      <c r="AK31" s="85">
        <v>8.17</v>
      </c>
      <c r="AL31" s="85">
        <v>13.2</v>
      </c>
      <c r="AM31" s="85">
        <v>21.8</v>
      </c>
      <c r="AN31" s="85">
        <v>42.7</v>
      </c>
    </row>
    <row r="32" spans="1:40" ht="24.95" customHeight="1">
      <c r="A32" s="85">
        <v>450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>
        <v>56.9</v>
      </c>
      <c r="O32" s="85">
        <v>58.8</v>
      </c>
      <c r="P32" s="85">
        <v>57.4</v>
      </c>
      <c r="Q32" s="85">
        <v>87</v>
      </c>
      <c r="R32" s="85">
        <v>89.3</v>
      </c>
      <c r="S32" s="85">
        <v>87.4</v>
      </c>
      <c r="V32" s="274" t="s">
        <v>1140</v>
      </c>
      <c r="W32" s="274"/>
      <c r="X32" s="274"/>
      <c r="Y32" s="274"/>
      <c r="Z32" s="274"/>
      <c r="AA32" s="274"/>
      <c r="AH32" s="85">
        <v>100</v>
      </c>
      <c r="AI32" s="85">
        <v>7.49</v>
      </c>
      <c r="AJ32" s="85">
        <v>12.1</v>
      </c>
      <c r="AK32" s="85">
        <v>16.8</v>
      </c>
      <c r="AL32" s="85">
        <v>23.2</v>
      </c>
      <c r="AM32" s="85">
        <v>31.3</v>
      </c>
      <c r="AN32" s="85">
        <v>66.3</v>
      </c>
    </row>
    <row r="33" spans="1:40" ht="24.95" customHeight="1">
      <c r="A33" s="85">
        <v>500</v>
      </c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>
        <v>76.7</v>
      </c>
      <c r="O33" s="85">
        <v>79.2</v>
      </c>
      <c r="P33" s="85">
        <v>77.099999999999994</v>
      </c>
      <c r="Q33" s="85">
        <v>102.5</v>
      </c>
      <c r="R33" s="85">
        <v>105</v>
      </c>
      <c r="S33" s="85">
        <v>102.9</v>
      </c>
      <c r="V33" s="84"/>
      <c r="W33" s="85">
        <v>0.6</v>
      </c>
      <c r="X33" s="85">
        <v>1</v>
      </c>
      <c r="Y33" s="85">
        <v>1.6</v>
      </c>
      <c r="Z33" s="85">
        <v>2.5</v>
      </c>
      <c r="AA33" s="85">
        <v>4</v>
      </c>
      <c r="AH33" s="85">
        <v>125</v>
      </c>
      <c r="AI33" s="85">
        <v>9.5299999999999994</v>
      </c>
      <c r="AJ33" s="85">
        <v>16.3</v>
      </c>
      <c r="AK33" s="85">
        <v>30.9</v>
      </c>
      <c r="AL33" s="85">
        <v>39.1</v>
      </c>
      <c r="AM33" s="85">
        <v>59.9</v>
      </c>
      <c r="AN33" s="85">
        <v>110.8</v>
      </c>
    </row>
    <row r="34" spans="1:40" ht="24.95" customHeight="1">
      <c r="A34" s="85">
        <v>550</v>
      </c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>
        <v>86.2</v>
      </c>
      <c r="O34" s="85">
        <v>88.9</v>
      </c>
      <c r="P34" s="85">
        <v>86.7</v>
      </c>
      <c r="Q34" s="85">
        <v>119.2</v>
      </c>
      <c r="R34" s="85">
        <v>121.9</v>
      </c>
      <c r="S34" s="85">
        <v>119.7</v>
      </c>
      <c r="V34" s="85">
        <v>10</v>
      </c>
      <c r="W34" s="85">
        <v>0.38</v>
      </c>
      <c r="X34" s="85">
        <v>0.65</v>
      </c>
      <c r="Y34" s="85">
        <v>0.65</v>
      </c>
      <c r="Z34" s="85">
        <v>0.65</v>
      </c>
      <c r="AA34" s="85">
        <v>0.65</v>
      </c>
      <c r="AH34" s="85">
        <v>150</v>
      </c>
      <c r="AI34" s="85">
        <v>11.8</v>
      </c>
      <c r="AJ34" s="85">
        <v>20.399999999999999</v>
      </c>
      <c r="AK34" s="85">
        <v>33.1</v>
      </c>
      <c r="AL34" s="85">
        <v>49.9</v>
      </c>
      <c r="AM34" s="85">
        <v>74.5</v>
      </c>
      <c r="AN34" s="85">
        <v>171.6</v>
      </c>
    </row>
    <row r="35" spans="1:40" ht="24.95" customHeight="1">
      <c r="A35" s="85">
        <v>600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>
        <v>99.3</v>
      </c>
      <c r="O35" s="85">
        <v>102.2</v>
      </c>
      <c r="P35" s="85">
        <v>99.8</v>
      </c>
      <c r="Q35" s="85">
        <v>135.9</v>
      </c>
      <c r="R35" s="85">
        <v>138.80000000000001</v>
      </c>
      <c r="S35" s="85">
        <v>136.4</v>
      </c>
      <c r="V35" s="85">
        <v>15</v>
      </c>
      <c r="W35" s="85">
        <v>0.44</v>
      </c>
      <c r="X35" s="85">
        <v>0.72</v>
      </c>
      <c r="Y35" s="85">
        <v>0.72</v>
      </c>
      <c r="Z35" s="85">
        <v>0.72</v>
      </c>
      <c r="AA35" s="85">
        <v>0.72</v>
      </c>
      <c r="AH35" s="85">
        <v>200</v>
      </c>
      <c r="AI35" s="85">
        <v>19.100000000000001</v>
      </c>
      <c r="AJ35" s="85">
        <v>31.3</v>
      </c>
      <c r="AK35" s="85">
        <v>50.9</v>
      </c>
      <c r="AL35" s="85">
        <v>84.9</v>
      </c>
      <c r="AM35" s="85">
        <v>123.9</v>
      </c>
      <c r="AN35" s="85">
        <v>261.5</v>
      </c>
    </row>
    <row r="36" spans="1:40" ht="24.95" customHeight="1">
      <c r="A36" s="85">
        <v>650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>
        <v>120.7</v>
      </c>
      <c r="O36" s="85">
        <v>123.8</v>
      </c>
      <c r="P36" s="85">
        <v>121.2</v>
      </c>
      <c r="Q36" s="85"/>
      <c r="R36" s="85"/>
      <c r="S36" s="85"/>
      <c r="V36" s="85">
        <v>20</v>
      </c>
      <c r="W36" s="85">
        <v>0.66</v>
      </c>
      <c r="X36" s="85">
        <v>1.03</v>
      </c>
      <c r="Y36" s="85">
        <v>1.03</v>
      </c>
      <c r="Z36" s="85">
        <v>1.03</v>
      </c>
      <c r="AA36" s="85">
        <v>1.03</v>
      </c>
      <c r="AH36" s="85">
        <v>250</v>
      </c>
      <c r="AI36" s="85">
        <v>24.5</v>
      </c>
      <c r="AJ36" s="85">
        <v>45.4</v>
      </c>
      <c r="AK36" s="85">
        <v>85.8</v>
      </c>
      <c r="AL36" s="85">
        <v>121.7</v>
      </c>
      <c r="AM36" s="85">
        <v>206.1</v>
      </c>
      <c r="AN36" s="85">
        <v>484.9</v>
      </c>
    </row>
    <row r="37" spans="1:40" ht="24.95" customHeight="1">
      <c r="A37" s="85">
        <v>700</v>
      </c>
      <c r="B37" s="85"/>
      <c r="C37" s="85"/>
      <c r="D37" s="85"/>
      <c r="E37" s="85"/>
      <c r="F37" s="85"/>
      <c r="G37" s="85"/>
      <c r="H37" s="85"/>
      <c r="I37" s="85"/>
      <c r="J37" s="85"/>
      <c r="K37" s="85">
        <v>109.2</v>
      </c>
      <c r="L37" s="85">
        <v>112.6</v>
      </c>
      <c r="M37" s="85">
        <v>109.8</v>
      </c>
      <c r="N37" s="85">
        <v>137.30000000000001</v>
      </c>
      <c r="O37" s="85">
        <v>140.69999999999999</v>
      </c>
      <c r="P37" s="85">
        <v>137.9</v>
      </c>
      <c r="Q37" s="85"/>
      <c r="R37" s="85"/>
      <c r="S37" s="85"/>
      <c r="V37" s="85">
        <v>25</v>
      </c>
      <c r="W37" s="85">
        <v>0.81</v>
      </c>
      <c r="X37" s="85">
        <v>1.24</v>
      </c>
      <c r="Y37" s="85">
        <v>1.24</v>
      </c>
      <c r="Z37" s="85">
        <v>1.24</v>
      </c>
      <c r="AA37" s="85">
        <v>1.24</v>
      </c>
      <c r="AH37" s="85">
        <v>300</v>
      </c>
      <c r="AI37" s="85">
        <v>39.9</v>
      </c>
      <c r="AJ37" s="85">
        <v>64.5</v>
      </c>
      <c r="AK37" s="85">
        <v>102.6</v>
      </c>
      <c r="AL37" s="85">
        <v>168.9</v>
      </c>
      <c r="AM37" s="85">
        <v>313.3</v>
      </c>
      <c r="AN37" s="85">
        <v>730.1</v>
      </c>
    </row>
    <row r="38" spans="1:40" ht="24.95" customHeight="1">
      <c r="A38" s="85">
        <v>800</v>
      </c>
      <c r="B38" s="85"/>
      <c r="C38" s="85"/>
      <c r="D38" s="85"/>
      <c r="E38" s="85"/>
      <c r="F38" s="85"/>
      <c r="G38" s="85"/>
      <c r="H38" s="85"/>
      <c r="I38" s="85"/>
      <c r="J38" s="85"/>
      <c r="K38" s="85">
        <v>127.5</v>
      </c>
      <c r="L38" s="85">
        <v>131.4</v>
      </c>
      <c r="M38" s="85">
        <v>128.1</v>
      </c>
      <c r="N38" s="85">
        <v>173.2</v>
      </c>
      <c r="O38" s="85">
        <v>177.1</v>
      </c>
      <c r="P38" s="85">
        <v>173.8</v>
      </c>
      <c r="Q38" s="85"/>
      <c r="R38" s="85"/>
      <c r="S38" s="85"/>
      <c r="V38" s="85">
        <v>32</v>
      </c>
      <c r="W38" s="85">
        <v>1.32</v>
      </c>
      <c r="X38" s="85">
        <v>2.02</v>
      </c>
      <c r="Y38" s="85">
        <v>2.02</v>
      </c>
      <c r="Z38" s="85">
        <v>2.02</v>
      </c>
      <c r="AA38" s="85">
        <v>2.02</v>
      </c>
      <c r="AH38" s="85">
        <v>350</v>
      </c>
      <c r="AI38" s="85">
        <v>51.8</v>
      </c>
      <c r="AJ38" s="85">
        <v>93.5</v>
      </c>
      <c r="AK38" s="85">
        <v>157.5</v>
      </c>
      <c r="AL38" s="85">
        <v>255.2</v>
      </c>
      <c r="AM38" s="85">
        <v>406.5</v>
      </c>
      <c r="AN38" s="85"/>
    </row>
    <row r="39" spans="1:40" ht="24.95" customHeight="1">
      <c r="A39" s="85">
        <v>900</v>
      </c>
      <c r="B39" s="85"/>
      <c r="C39" s="85"/>
      <c r="D39" s="85"/>
      <c r="E39" s="85"/>
      <c r="F39" s="85"/>
      <c r="G39" s="85"/>
      <c r="H39" s="85"/>
      <c r="I39" s="85"/>
      <c r="J39" s="85"/>
      <c r="K39" s="85">
        <v>156.9</v>
      </c>
      <c r="L39" s="85">
        <v>161.19999999999999</v>
      </c>
      <c r="M39" s="85">
        <v>157.6</v>
      </c>
      <c r="N39" s="85"/>
      <c r="O39" s="85"/>
      <c r="P39" s="85"/>
      <c r="Q39" s="85"/>
      <c r="R39" s="85"/>
      <c r="S39" s="85"/>
      <c r="V39" s="85">
        <v>40</v>
      </c>
      <c r="W39" s="85">
        <v>1.55</v>
      </c>
      <c r="X39" s="85">
        <v>2.36</v>
      </c>
      <c r="Y39" s="85">
        <v>2.36</v>
      </c>
      <c r="Z39" s="85">
        <v>2.36</v>
      </c>
      <c r="AA39" s="85">
        <v>2.36</v>
      </c>
      <c r="AH39" s="85">
        <v>400</v>
      </c>
      <c r="AI39" s="85">
        <v>64.5</v>
      </c>
      <c r="AJ39" s="85">
        <v>113.1</v>
      </c>
      <c r="AK39" s="85">
        <v>218.4</v>
      </c>
      <c r="AL39" s="85">
        <v>311</v>
      </c>
      <c r="AM39" s="85">
        <v>525</v>
      </c>
      <c r="AN39" s="85"/>
    </row>
    <row r="40" spans="1:40" ht="24.95" customHeight="1">
      <c r="A40" s="85">
        <v>1000</v>
      </c>
      <c r="B40" s="85"/>
      <c r="C40" s="85"/>
      <c r="D40" s="85"/>
      <c r="E40" s="85"/>
      <c r="F40" s="85"/>
      <c r="G40" s="85"/>
      <c r="H40" s="85">
        <v>188.5</v>
      </c>
      <c r="I40" s="85">
        <v>192.5</v>
      </c>
      <c r="J40" s="85">
        <v>189.3</v>
      </c>
      <c r="K40" s="85">
        <v>213.3</v>
      </c>
      <c r="L40" s="85">
        <v>218.1</v>
      </c>
      <c r="M40" s="85">
        <v>214.1</v>
      </c>
      <c r="N40" s="85"/>
      <c r="O40" s="85"/>
      <c r="P40" s="85"/>
      <c r="Q40" s="85"/>
      <c r="R40" s="85"/>
      <c r="S40" s="85"/>
      <c r="V40" s="85">
        <v>50</v>
      </c>
      <c r="W40" s="85">
        <v>1.73</v>
      </c>
      <c r="X40" s="85">
        <v>3.08</v>
      </c>
      <c r="Y40" s="85">
        <v>3.08</v>
      </c>
      <c r="Z40" s="85">
        <v>3.08</v>
      </c>
      <c r="AA40" s="85">
        <v>3.08</v>
      </c>
      <c r="AH40" s="85">
        <v>450</v>
      </c>
      <c r="AI40" s="85">
        <v>74.900000000000006</v>
      </c>
      <c r="AJ40" s="85">
        <v>138.9</v>
      </c>
      <c r="AK40" s="85">
        <v>252</v>
      </c>
      <c r="AL40" s="85">
        <v>419.5</v>
      </c>
      <c r="AM40" s="85">
        <v>687.2</v>
      </c>
      <c r="AN40" s="85"/>
    </row>
    <row r="41" spans="1:40" ht="24.95" customHeight="1">
      <c r="A41" s="85">
        <v>1100</v>
      </c>
      <c r="B41" s="85"/>
      <c r="C41" s="85"/>
      <c r="D41" s="85"/>
      <c r="E41" s="85"/>
      <c r="F41" s="85"/>
      <c r="G41" s="85"/>
      <c r="H41" s="85">
        <v>229.7</v>
      </c>
      <c r="I41" s="85">
        <v>234.2</v>
      </c>
      <c r="J41" s="85">
        <v>231.5</v>
      </c>
      <c r="K41" s="85">
        <v>255.2</v>
      </c>
      <c r="L41" s="85">
        <v>324.2</v>
      </c>
      <c r="M41" s="85">
        <v>192.3</v>
      </c>
      <c r="N41" s="85"/>
      <c r="O41" s="85"/>
      <c r="P41" s="85"/>
      <c r="Q41" s="85"/>
      <c r="R41" s="85"/>
      <c r="S41" s="85"/>
      <c r="V41" s="85">
        <v>65</v>
      </c>
      <c r="W41" s="85">
        <v>2.23</v>
      </c>
      <c r="X41" s="85">
        <v>3.66</v>
      </c>
      <c r="Y41" s="85">
        <v>3.66</v>
      </c>
      <c r="Z41" s="85">
        <v>3.93</v>
      </c>
      <c r="AA41" s="85">
        <v>3.93</v>
      </c>
      <c r="AH41" s="85">
        <v>500</v>
      </c>
      <c r="AI41" s="85">
        <v>89.4</v>
      </c>
      <c r="AJ41" s="85">
        <v>167.5</v>
      </c>
      <c r="AK41" s="85">
        <v>313.3</v>
      </c>
      <c r="AL41" s="85">
        <v>528.5</v>
      </c>
      <c r="AM41" s="85">
        <v>852.6</v>
      </c>
      <c r="AN41" s="84"/>
    </row>
    <row r="42" spans="1:40" ht="24.95" customHeight="1">
      <c r="A42" s="85">
        <v>1200</v>
      </c>
      <c r="B42" s="85"/>
      <c r="C42" s="85"/>
      <c r="D42" s="85"/>
      <c r="E42" s="85"/>
      <c r="F42" s="85"/>
      <c r="G42" s="85"/>
      <c r="H42" s="85">
        <v>254.1</v>
      </c>
      <c r="I42" s="85">
        <v>259</v>
      </c>
      <c r="J42" s="85">
        <v>256</v>
      </c>
      <c r="K42" s="85">
        <v>298.5</v>
      </c>
      <c r="L42" s="85">
        <v>303.3</v>
      </c>
      <c r="M42" s="85">
        <v>300.39999999999998</v>
      </c>
      <c r="N42" s="85"/>
      <c r="O42" s="85"/>
      <c r="P42" s="85"/>
      <c r="Q42" s="85"/>
      <c r="R42" s="85"/>
      <c r="S42" s="85"/>
      <c r="V42" s="85">
        <v>80</v>
      </c>
      <c r="W42" s="85">
        <v>3.32</v>
      </c>
      <c r="X42" s="85">
        <v>4.08</v>
      </c>
      <c r="Y42" s="85">
        <v>4.08</v>
      </c>
      <c r="Z42" s="85">
        <v>4.8600000000000003</v>
      </c>
      <c r="AA42" s="85">
        <v>4.8600000000000003</v>
      </c>
      <c r="AH42" s="85">
        <v>550</v>
      </c>
      <c r="AI42" s="85">
        <v>103.5</v>
      </c>
      <c r="AJ42" s="85">
        <v>199.4</v>
      </c>
      <c r="AK42" s="85">
        <v>376.5</v>
      </c>
      <c r="AM42" s="85"/>
      <c r="AN42" s="84"/>
    </row>
    <row r="43" spans="1:40" ht="24.95" customHeight="1">
      <c r="A43" s="85">
        <v>1300</v>
      </c>
      <c r="B43" s="85"/>
      <c r="C43" s="85"/>
      <c r="D43" s="85"/>
      <c r="E43" s="85">
        <v>285.39999999999998</v>
      </c>
      <c r="F43" s="85">
        <v>290.60000000000002</v>
      </c>
      <c r="G43" s="85">
        <v>287.5</v>
      </c>
      <c r="H43" s="85">
        <v>284.39999999999998</v>
      </c>
      <c r="I43" s="85">
        <v>289.60000000000002</v>
      </c>
      <c r="J43" s="85">
        <v>286.5</v>
      </c>
      <c r="K43" s="85">
        <v>345</v>
      </c>
      <c r="L43" s="85">
        <v>350.2</v>
      </c>
      <c r="M43" s="85">
        <v>347.1</v>
      </c>
      <c r="N43" s="85"/>
      <c r="O43" s="85"/>
      <c r="P43" s="85"/>
      <c r="Q43" s="85"/>
      <c r="R43" s="85"/>
      <c r="S43" s="85"/>
      <c r="V43" s="85">
        <v>100</v>
      </c>
      <c r="W43" s="85">
        <v>4.0599999999999996</v>
      </c>
      <c r="X43" s="85">
        <v>5.4</v>
      </c>
      <c r="Y43" s="85">
        <v>5.4</v>
      </c>
      <c r="Z43" s="85">
        <v>6.91</v>
      </c>
      <c r="AA43" s="85">
        <v>6.91</v>
      </c>
      <c r="AH43" s="85">
        <v>600</v>
      </c>
      <c r="AI43" s="85">
        <v>121.7</v>
      </c>
      <c r="AJ43" s="85">
        <v>235.6</v>
      </c>
      <c r="AK43" s="85">
        <v>443.6</v>
      </c>
      <c r="AL43" s="85">
        <v>956.6</v>
      </c>
      <c r="AM43" s="85">
        <v>1366.8</v>
      </c>
      <c r="AN43" s="84"/>
    </row>
    <row r="44" spans="1:40" ht="24.95" customHeight="1">
      <c r="A44" s="85">
        <v>1400</v>
      </c>
      <c r="B44" s="85"/>
      <c r="C44" s="85"/>
      <c r="D44" s="85"/>
      <c r="E44" s="85">
        <v>311.7</v>
      </c>
      <c r="F44" s="85">
        <v>317.3</v>
      </c>
      <c r="G44" s="85">
        <v>313.89999999999998</v>
      </c>
      <c r="H44" s="85">
        <v>316.2</v>
      </c>
      <c r="I44" s="85">
        <v>321.8</v>
      </c>
      <c r="J44" s="85">
        <v>318.39999999999998</v>
      </c>
      <c r="K44" s="85">
        <v>393.4</v>
      </c>
      <c r="L44" s="85">
        <v>399</v>
      </c>
      <c r="M44" s="85">
        <v>395.6</v>
      </c>
      <c r="N44" s="85"/>
      <c r="O44" s="85"/>
      <c r="P44" s="85"/>
      <c r="Q44" s="85"/>
      <c r="R44" s="85"/>
      <c r="S44" s="85"/>
      <c r="V44" s="85">
        <v>125</v>
      </c>
      <c r="W44" s="85">
        <v>5.26</v>
      </c>
      <c r="X44" s="85">
        <v>7.01</v>
      </c>
      <c r="Y44" s="85">
        <v>7.01</v>
      </c>
      <c r="Z44" s="85">
        <v>9.34</v>
      </c>
      <c r="AA44" s="85">
        <v>9.34</v>
      </c>
      <c r="AH44" s="274" t="s">
        <v>1141</v>
      </c>
      <c r="AI44" s="274"/>
      <c r="AJ44" s="274"/>
      <c r="AK44" s="274"/>
      <c r="AL44" s="274"/>
      <c r="AM44" s="274"/>
      <c r="AN44" s="274"/>
    </row>
    <row r="45" spans="1:40" ht="24.95" customHeight="1">
      <c r="A45" s="85">
        <v>1500</v>
      </c>
      <c r="B45" s="85"/>
      <c r="C45" s="85"/>
      <c r="D45" s="85"/>
      <c r="E45" s="85">
        <v>339.8</v>
      </c>
      <c r="F45" s="85">
        <v>345.7</v>
      </c>
      <c r="G45" s="85">
        <v>342.1</v>
      </c>
      <c r="H45" s="85">
        <v>349.4</v>
      </c>
      <c r="I45" s="85">
        <v>355.4</v>
      </c>
      <c r="J45" s="85">
        <v>351.8</v>
      </c>
      <c r="K45" s="85"/>
      <c r="L45" s="85"/>
      <c r="M45" s="85"/>
      <c r="N45" s="85"/>
      <c r="O45" s="85"/>
      <c r="P45" s="85"/>
      <c r="Q45" s="85"/>
      <c r="R45" s="85"/>
      <c r="S45" s="85"/>
      <c r="V45" s="85">
        <v>150</v>
      </c>
      <c r="W45" s="85">
        <v>6.37</v>
      </c>
      <c r="X45" s="85">
        <v>9.1</v>
      </c>
      <c r="Y45" s="85">
        <v>9.1</v>
      </c>
      <c r="Z45" s="85">
        <v>12.2</v>
      </c>
      <c r="AA45" s="85">
        <v>12.2</v>
      </c>
      <c r="AH45" s="84"/>
      <c r="AI45" s="85">
        <v>2</v>
      </c>
      <c r="AJ45" s="85">
        <v>5</v>
      </c>
      <c r="AK45" s="85">
        <v>11</v>
      </c>
      <c r="AL45" s="85">
        <v>15</v>
      </c>
      <c r="AM45" s="85">
        <v>26</v>
      </c>
      <c r="AN45" s="85">
        <v>42</v>
      </c>
    </row>
    <row r="46" spans="1:40" ht="24.95" customHeight="1">
      <c r="A46" s="85">
        <v>1600</v>
      </c>
      <c r="B46" s="85"/>
      <c r="C46" s="85"/>
      <c r="D46" s="85"/>
      <c r="E46" s="85">
        <v>367.5</v>
      </c>
      <c r="F46" s="85">
        <v>373.9</v>
      </c>
      <c r="G46" s="85">
        <v>370</v>
      </c>
      <c r="H46" s="85">
        <v>384.1</v>
      </c>
      <c r="I46" s="85">
        <v>390.5</v>
      </c>
      <c r="J46" s="85">
        <v>386.6</v>
      </c>
      <c r="K46" s="85"/>
      <c r="L46" s="85"/>
      <c r="M46" s="85"/>
      <c r="N46" s="85"/>
      <c r="O46" s="85"/>
      <c r="P46" s="85"/>
      <c r="Q46" s="84"/>
      <c r="R46" s="84"/>
      <c r="S46" s="84"/>
      <c r="V46" s="85">
        <v>200</v>
      </c>
      <c r="W46" s="85">
        <v>7.98</v>
      </c>
      <c r="X46" s="85">
        <v>10.6</v>
      </c>
      <c r="Y46" s="85">
        <v>10.3</v>
      </c>
      <c r="Z46" s="85">
        <v>15.6</v>
      </c>
      <c r="AA46" s="85">
        <v>19.399999999999999</v>
      </c>
      <c r="AH46" s="85">
        <v>15</v>
      </c>
      <c r="AI46" s="85">
        <v>0.43</v>
      </c>
      <c r="AJ46" s="85">
        <v>0.63</v>
      </c>
      <c r="AK46" s="85">
        <v>0.77</v>
      </c>
      <c r="AL46" s="85">
        <v>1.78</v>
      </c>
      <c r="AM46" s="85">
        <v>1.78</v>
      </c>
      <c r="AN46" s="85">
        <v>3.11</v>
      </c>
    </row>
    <row r="47" spans="1:40" ht="24.95" customHeight="1">
      <c r="A47" s="85">
        <v>1700</v>
      </c>
      <c r="B47" s="85"/>
      <c r="C47" s="85"/>
      <c r="D47" s="85"/>
      <c r="E47" s="85">
        <v>396</v>
      </c>
      <c r="F47" s="85">
        <v>402.8</v>
      </c>
      <c r="G47" s="85">
        <v>398.6</v>
      </c>
      <c r="H47" s="85">
        <v>426.9</v>
      </c>
      <c r="I47" s="85">
        <v>433.7</v>
      </c>
      <c r="J47" s="85">
        <v>429.5</v>
      </c>
      <c r="K47" s="85"/>
      <c r="L47" s="85"/>
      <c r="M47" s="85"/>
      <c r="N47" s="85"/>
      <c r="O47" s="85"/>
      <c r="P47" s="85"/>
      <c r="Q47" s="84"/>
      <c r="R47" s="84"/>
      <c r="S47" s="84"/>
      <c r="V47" s="85">
        <v>250</v>
      </c>
      <c r="W47" s="85">
        <v>10.3</v>
      </c>
      <c r="X47" s="85">
        <v>13.4</v>
      </c>
      <c r="Y47" s="85">
        <v>14.3</v>
      </c>
      <c r="Z47" s="85">
        <v>21.9</v>
      </c>
      <c r="AA47" s="85">
        <v>30.5</v>
      </c>
      <c r="AH47" s="85">
        <v>20</v>
      </c>
      <c r="AI47" s="85">
        <v>0.63</v>
      </c>
      <c r="AJ47" s="85">
        <v>1.1499999999999999</v>
      </c>
      <c r="AK47" s="85">
        <v>1.37</v>
      </c>
      <c r="AL47" s="85">
        <v>2.4300000000000002</v>
      </c>
      <c r="AM47" s="85">
        <v>2.4300000000000002</v>
      </c>
      <c r="AN47" s="85">
        <v>3.56</v>
      </c>
    </row>
    <row r="48" spans="1:40" ht="24.95" customHeight="1">
      <c r="A48" s="85">
        <v>1800</v>
      </c>
      <c r="B48" s="85"/>
      <c r="C48" s="85"/>
      <c r="D48" s="85"/>
      <c r="E48" s="85">
        <v>425.2</v>
      </c>
      <c r="F48" s="85">
        <v>432.4</v>
      </c>
      <c r="G48" s="85">
        <v>428.4</v>
      </c>
      <c r="H48" s="85">
        <v>471.9</v>
      </c>
      <c r="I48" s="85">
        <v>479.1</v>
      </c>
      <c r="J48" s="85">
        <v>474.7</v>
      </c>
      <c r="K48" s="85"/>
      <c r="L48" s="85"/>
      <c r="M48" s="85"/>
      <c r="N48" s="85"/>
      <c r="O48" s="85"/>
      <c r="P48" s="85"/>
      <c r="Q48" s="84"/>
      <c r="R48" s="84"/>
      <c r="S48" s="84"/>
      <c r="V48" s="85">
        <v>300</v>
      </c>
      <c r="W48" s="85">
        <v>14.1</v>
      </c>
      <c r="X48" s="85">
        <v>15.4</v>
      </c>
      <c r="Y48" s="85">
        <v>18.8</v>
      </c>
      <c r="Z48" s="85">
        <v>28.8</v>
      </c>
      <c r="AA48" s="85">
        <v>42.9</v>
      </c>
      <c r="AH48" s="85">
        <v>25</v>
      </c>
      <c r="AI48" s="85">
        <v>0.89</v>
      </c>
      <c r="AJ48" s="85">
        <v>1.4</v>
      </c>
      <c r="AK48" s="85">
        <v>1.66</v>
      </c>
      <c r="AL48" s="85">
        <v>3.65</v>
      </c>
      <c r="AM48" s="85">
        <v>3.65</v>
      </c>
      <c r="AN48" s="85">
        <v>5.05</v>
      </c>
    </row>
    <row r="49" spans="1:40" ht="24.95" customHeight="1">
      <c r="A49" s="85">
        <v>1900</v>
      </c>
      <c r="B49" s="85"/>
      <c r="C49" s="85"/>
      <c r="D49" s="85"/>
      <c r="E49" s="88">
        <v>462.6</v>
      </c>
      <c r="F49" s="88">
        <v>470.1</v>
      </c>
      <c r="G49" s="88">
        <v>465.5</v>
      </c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V49" s="85">
        <v>350</v>
      </c>
      <c r="W49" s="85"/>
      <c r="X49" s="85">
        <v>20.5</v>
      </c>
      <c r="Y49" s="85">
        <v>25.2</v>
      </c>
      <c r="Z49" s="85">
        <v>42.4</v>
      </c>
      <c r="AA49" s="85">
        <v>58.6</v>
      </c>
      <c r="AH49" s="85">
        <v>32</v>
      </c>
      <c r="AI49" s="85">
        <v>1.2</v>
      </c>
      <c r="AJ49" s="85">
        <v>1.88</v>
      </c>
      <c r="AK49" s="85">
        <v>2.36</v>
      </c>
      <c r="AL49" s="85">
        <v>4.2699999999999996</v>
      </c>
      <c r="AM49" s="85">
        <v>4.2699999999999996</v>
      </c>
      <c r="AN49" s="85">
        <v>7.47</v>
      </c>
    </row>
    <row r="50" spans="1:40" ht="24.95" customHeight="1">
      <c r="A50" s="85">
        <v>2000</v>
      </c>
      <c r="B50" s="84"/>
      <c r="C50" s="84"/>
      <c r="D50" s="84"/>
      <c r="E50" s="88">
        <v>493.6</v>
      </c>
      <c r="F50" s="88">
        <v>501.6</v>
      </c>
      <c r="G50" s="88">
        <v>496.7</v>
      </c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V50" s="85">
        <v>400</v>
      </c>
      <c r="W50" s="85"/>
      <c r="X50" s="85">
        <v>27.6</v>
      </c>
      <c r="Y50" s="85">
        <v>34.799999999999997</v>
      </c>
      <c r="Z50" s="85">
        <v>57.4</v>
      </c>
      <c r="AA50" s="85">
        <v>88.3</v>
      </c>
      <c r="AH50" s="85">
        <v>40</v>
      </c>
      <c r="AI50" s="85">
        <v>1.58</v>
      </c>
      <c r="AJ50" s="85">
        <v>2.65</v>
      </c>
      <c r="AK50" s="85">
        <v>3.29</v>
      </c>
      <c r="AL50" s="85">
        <v>5.93</v>
      </c>
      <c r="AM50" s="85">
        <v>5.93</v>
      </c>
      <c r="AN50" s="85">
        <v>10.6</v>
      </c>
    </row>
    <row r="51" spans="1:40" ht="24.95" customHeight="1">
      <c r="A51" s="85">
        <v>2200</v>
      </c>
      <c r="B51" s="84"/>
      <c r="C51" s="84"/>
      <c r="D51" s="84"/>
      <c r="E51" s="88">
        <v>602.9</v>
      </c>
      <c r="F51" s="88">
        <v>611.70000000000005</v>
      </c>
      <c r="G51" s="88">
        <v>606.29999999999995</v>
      </c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V51" s="85">
        <v>450</v>
      </c>
      <c r="W51" s="85"/>
      <c r="X51" s="85">
        <v>31.1</v>
      </c>
      <c r="Y51" s="85">
        <v>41.2</v>
      </c>
      <c r="Z51" s="85">
        <v>63.7</v>
      </c>
      <c r="AA51" s="85">
        <v>85.6</v>
      </c>
      <c r="AH51" s="85">
        <v>50</v>
      </c>
      <c r="AI51" s="85">
        <v>2.39</v>
      </c>
      <c r="AJ51" s="85">
        <v>3.22</v>
      </c>
      <c r="AK51" s="85">
        <v>4.24</v>
      </c>
      <c r="AL51" s="85">
        <v>10</v>
      </c>
      <c r="AM51" s="85">
        <v>10</v>
      </c>
      <c r="AN51" s="85">
        <v>15.5</v>
      </c>
    </row>
    <row r="52" spans="1:40" ht="24.95" customHeight="1">
      <c r="A52" s="85">
        <v>2400</v>
      </c>
      <c r="B52" s="84"/>
      <c r="C52" s="84"/>
      <c r="D52" s="84"/>
      <c r="E52" s="88">
        <v>666.2</v>
      </c>
      <c r="F52" s="88">
        <v>675.7</v>
      </c>
      <c r="G52" s="88">
        <v>669.9</v>
      </c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V52" s="85">
        <v>500</v>
      </c>
      <c r="W52" s="85"/>
      <c r="X52" s="85">
        <v>38.1</v>
      </c>
      <c r="Y52" s="85">
        <v>54.9</v>
      </c>
      <c r="Z52" s="85">
        <v>81.400000000000006</v>
      </c>
      <c r="AA52" s="85">
        <v>106.2</v>
      </c>
      <c r="AH52" s="85">
        <v>65</v>
      </c>
      <c r="AI52" s="85">
        <v>4.07</v>
      </c>
      <c r="AJ52" s="85">
        <v>4.8</v>
      </c>
      <c r="AK52" s="85">
        <v>6.23</v>
      </c>
      <c r="AL52" s="85">
        <v>14</v>
      </c>
      <c r="AM52" s="85">
        <v>14</v>
      </c>
      <c r="AN52" s="85">
        <v>22.4</v>
      </c>
    </row>
    <row r="53" spans="1:40" ht="24.95" customHeight="1">
      <c r="A53" s="85">
        <v>2600</v>
      </c>
      <c r="B53" s="84">
        <v>741.1</v>
      </c>
      <c r="C53" s="84">
        <v>751.4</v>
      </c>
      <c r="D53" s="84">
        <v>745</v>
      </c>
      <c r="E53" s="89"/>
      <c r="F53" s="89"/>
      <c r="G53" s="89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V53" s="85">
        <v>600</v>
      </c>
      <c r="W53" s="85"/>
      <c r="X53" s="85">
        <v>48.1</v>
      </c>
      <c r="Y53" s="85">
        <v>77</v>
      </c>
      <c r="Z53" s="85">
        <v>109.4</v>
      </c>
      <c r="AA53" s="85">
        <v>171.2</v>
      </c>
      <c r="AH53" s="85">
        <v>80</v>
      </c>
      <c r="AI53" s="85">
        <v>4.92</v>
      </c>
      <c r="AJ53" s="85">
        <v>6.89</v>
      </c>
      <c r="AK53" s="85">
        <v>8.6300000000000008</v>
      </c>
      <c r="AL53" s="85">
        <v>13.1</v>
      </c>
      <c r="AM53" s="85">
        <v>19</v>
      </c>
      <c r="AN53" s="85">
        <v>34.9</v>
      </c>
    </row>
    <row r="54" spans="1:40" ht="24.95" customHeight="1">
      <c r="A54" s="85">
        <v>2800</v>
      </c>
      <c r="B54" s="84">
        <v>828.3</v>
      </c>
      <c r="C54" s="84">
        <v>839.4</v>
      </c>
      <c r="D54" s="84">
        <v>832.6</v>
      </c>
      <c r="E54" s="89"/>
      <c r="F54" s="89"/>
      <c r="G54" s="89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V54" s="274" t="s">
        <v>1142</v>
      </c>
      <c r="W54" s="274"/>
      <c r="X54" s="274"/>
      <c r="Y54" s="274"/>
      <c r="Z54" s="274"/>
      <c r="AA54" s="274"/>
      <c r="AB54" s="274"/>
      <c r="AC54" s="274"/>
      <c r="AD54" s="274"/>
      <c r="AH54" s="85">
        <v>100</v>
      </c>
      <c r="AI54" s="85">
        <v>7.13</v>
      </c>
      <c r="AJ54" s="85">
        <v>11.6</v>
      </c>
      <c r="AK54" s="85">
        <v>17.7</v>
      </c>
      <c r="AL54" s="85">
        <v>21.8</v>
      </c>
      <c r="AM54" s="85">
        <v>29.7</v>
      </c>
      <c r="AN54" s="85">
        <v>53.8</v>
      </c>
    </row>
    <row r="55" spans="1:40" ht="24.95" customHeight="1">
      <c r="A55" s="85">
        <v>3000</v>
      </c>
      <c r="B55" s="84">
        <v>898.4</v>
      </c>
      <c r="C55" s="84">
        <v>910.3</v>
      </c>
      <c r="D55" s="84">
        <v>902.9</v>
      </c>
      <c r="E55" s="89"/>
      <c r="F55" s="89"/>
      <c r="G55" s="89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V55" s="84"/>
      <c r="W55" s="90">
        <v>1</v>
      </c>
      <c r="X55" s="90">
        <v>1.6</v>
      </c>
      <c r="Y55" s="90">
        <v>2.5</v>
      </c>
      <c r="Z55" s="90">
        <v>4</v>
      </c>
      <c r="AA55" s="91">
        <v>6.3</v>
      </c>
      <c r="AB55" s="90">
        <v>10</v>
      </c>
      <c r="AC55" s="90">
        <v>16</v>
      </c>
      <c r="AD55" s="90">
        <v>25</v>
      </c>
      <c r="AH55" s="85">
        <v>125</v>
      </c>
      <c r="AI55" s="85">
        <v>8.7200000000000006</v>
      </c>
      <c r="AJ55" s="85">
        <v>15.6</v>
      </c>
      <c r="AK55" s="85">
        <v>29.4</v>
      </c>
      <c r="AL55" s="85">
        <v>36.799999999999997</v>
      </c>
      <c r="AM55" s="85">
        <v>58.8</v>
      </c>
      <c r="AN55" s="85">
        <v>91.5</v>
      </c>
    </row>
    <row r="56" spans="1:40" ht="24.95" customHeight="1">
      <c r="A56" s="277" t="s">
        <v>1143</v>
      </c>
      <c r="B56" s="277"/>
      <c r="C56" s="277"/>
      <c r="D56" s="277"/>
      <c r="E56" s="277"/>
      <c r="F56" s="277"/>
      <c r="G56" s="277"/>
      <c r="H56" s="277"/>
      <c r="I56" s="277"/>
      <c r="J56" s="277"/>
      <c r="K56" s="277"/>
      <c r="L56" s="277"/>
      <c r="M56" s="277"/>
      <c r="V56" s="85">
        <v>10</v>
      </c>
      <c r="W56" s="85">
        <v>0.66</v>
      </c>
      <c r="X56" s="85">
        <v>0.66</v>
      </c>
      <c r="Y56" s="85">
        <v>0.66</v>
      </c>
      <c r="Z56" s="85">
        <v>0.66</v>
      </c>
      <c r="AA56" s="85">
        <v>1.18</v>
      </c>
      <c r="AB56" s="85">
        <v>1.18</v>
      </c>
      <c r="AC56" s="85">
        <v>1.39</v>
      </c>
      <c r="AD56" s="85">
        <v>2.2599999999999998</v>
      </c>
      <c r="AH56" s="85">
        <v>150</v>
      </c>
      <c r="AI56" s="85">
        <v>11.4</v>
      </c>
      <c r="AJ56" s="85">
        <v>21.4</v>
      </c>
      <c r="AK56" s="85">
        <v>36.200000000000003</v>
      </c>
      <c r="AL56" s="85">
        <v>47.5</v>
      </c>
      <c r="AM56" s="85">
        <v>72.5</v>
      </c>
      <c r="AN56" s="85">
        <v>142.5</v>
      </c>
    </row>
    <row r="57" spans="1:40" ht="24.95" customHeight="1">
      <c r="A57" s="84"/>
      <c r="B57" s="275">
        <v>0.25</v>
      </c>
      <c r="C57" s="275"/>
      <c r="D57" s="275"/>
      <c r="E57" s="275">
        <v>0.6</v>
      </c>
      <c r="F57" s="275"/>
      <c r="G57" s="275"/>
      <c r="H57" s="276">
        <v>1</v>
      </c>
      <c r="I57" s="276"/>
      <c r="J57" s="276"/>
      <c r="K57" s="275">
        <v>1.6</v>
      </c>
      <c r="L57" s="275"/>
      <c r="M57" s="275"/>
      <c r="V57" s="85">
        <v>15</v>
      </c>
      <c r="W57" s="85">
        <v>0.75</v>
      </c>
      <c r="X57" s="85">
        <v>0.75</v>
      </c>
      <c r="Y57" s="85">
        <v>0.75</v>
      </c>
      <c r="Z57" s="85">
        <v>0.75</v>
      </c>
      <c r="AA57" s="85">
        <v>1.3</v>
      </c>
      <c r="AB57" s="85">
        <v>1.3</v>
      </c>
      <c r="AC57" s="85">
        <v>1.65</v>
      </c>
      <c r="AD57" s="85">
        <v>2.65</v>
      </c>
      <c r="AH57" s="85">
        <v>200</v>
      </c>
      <c r="AI57" s="85">
        <v>20.100000000000001</v>
      </c>
      <c r="AJ57" s="85">
        <v>34.1</v>
      </c>
      <c r="AK57" s="85">
        <v>59.1</v>
      </c>
      <c r="AL57" s="85">
        <v>82.4</v>
      </c>
      <c r="AM57" s="85">
        <v>122.7</v>
      </c>
      <c r="AN57" s="85">
        <v>211.5</v>
      </c>
    </row>
    <row r="58" spans="1:40" ht="24.95" customHeight="1">
      <c r="A58" s="85"/>
      <c r="B58" s="20" t="s">
        <v>1135</v>
      </c>
      <c r="C58" s="20" t="s">
        <v>1136</v>
      </c>
      <c r="D58" s="20" t="s">
        <v>1137</v>
      </c>
      <c r="E58" s="20" t="s">
        <v>1135</v>
      </c>
      <c r="F58" s="20" t="s">
        <v>1136</v>
      </c>
      <c r="G58" s="20" t="s">
        <v>1137</v>
      </c>
      <c r="H58" s="20" t="s">
        <v>1135</v>
      </c>
      <c r="I58" s="20" t="s">
        <v>1136</v>
      </c>
      <c r="J58" s="20" t="s">
        <v>1137</v>
      </c>
      <c r="K58" s="20" t="s">
        <v>1135</v>
      </c>
      <c r="L58" s="20" t="s">
        <v>1136</v>
      </c>
      <c r="M58" s="20" t="s">
        <v>1137</v>
      </c>
      <c r="V58" s="85">
        <v>20</v>
      </c>
      <c r="W58" s="85">
        <v>1.05</v>
      </c>
      <c r="X58" s="85">
        <v>1.05</v>
      </c>
      <c r="Y58" s="85">
        <v>1.05</v>
      </c>
      <c r="Z58" s="85">
        <v>1.05</v>
      </c>
      <c r="AA58" s="85">
        <v>2</v>
      </c>
      <c r="AB58" s="85">
        <v>2</v>
      </c>
      <c r="AC58" s="85">
        <v>2.9</v>
      </c>
      <c r="AD58" s="85">
        <v>3.12</v>
      </c>
      <c r="AH58" s="85">
        <v>250</v>
      </c>
      <c r="AI58" s="85">
        <v>28.7</v>
      </c>
      <c r="AJ58" s="85">
        <v>53.5</v>
      </c>
      <c r="AK58" s="85">
        <v>98.4</v>
      </c>
      <c r="AL58" s="85">
        <v>122.2</v>
      </c>
      <c r="AM58" s="85">
        <v>211.5</v>
      </c>
      <c r="AN58" s="85">
        <v>412.5</v>
      </c>
    </row>
    <row r="59" spans="1:40" ht="24.95" customHeight="1">
      <c r="A59" s="85">
        <v>300</v>
      </c>
      <c r="B59" s="85"/>
      <c r="C59" s="85"/>
      <c r="D59" s="85"/>
      <c r="E59" s="92"/>
      <c r="F59" s="92"/>
      <c r="G59" s="92"/>
      <c r="H59" s="85">
        <v>13.4</v>
      </c>
      <c r="I59" s="85">
        <v>13.4</v>
      </c>
      <c r="J59" s="85">
        <v>12.8</v>
      </c>
      <c r="K59" s="85">
        <v>16.399999999999999</v>
      </c>
      <c r="L59" s="85">
        <v>17.399999999999999</v>
      </c>
      <c r="M59" s="85">
        <v>16.600000000000001</v>
      </c>
      <c r="V59" s="85">
        <v>25</v>
      </c>
      <c r="W59" s="85">
        <v>1.26</v>
      </c>
      <c r="X59" s="85">
        <v>1.26</v>
      </c>
      <c r="Y59" s="85">
        <v>1.26</v>
      </c>
      <c r="Z59" s="85">
        <v>1.26</v>
      </c>
      <c r="AA59" s="85">
        <v>2.79</v>
      </c>
      <c r="AB59" s="85">
        <v>2.79</v>
      </c>
      <c r="AC59" s="85">
        <v>3.61</v>
      </c>
      <c r="AD59" s="85">
        <v>3.74</v>
      </c>
      <c r="AH59" s="85">
        <v>300</v>
      </c>
      <c r="AI59" s="85">
        <v>43.8</v>
      </c>
      <c r="AJ59" s="85">
        <v>78.3</v>
      </c>
      <c r="AK59" s="85">
        <v>125.3</v>
      </c>
      <c r="AL59" s="85">
        <v>173.7</v>
      </c>
      <c r="AM59" s="85">
        <v>317.39999999999998</v>
      </c>
      <c r="AN59" s="85">
        <v>588.20000000000005</v>
      </c>
    </row>
    <row r="60" spans="1:40" ht="24.95" customHeight="1">
      <c r="A60" s="85">
        <v>350</v>
      </c>
      <c r="B60" s="85" t="s">
        <v>1144</v>
      </c>
      <c r="C60" s="85" t="s">
        <v>1144</v>
      </c>
      <c r="D60" s="85" t="s">
        <v>1144</v>
      </c>
      <c r="E60" s="92"/>
      <c r="F60" s="92"/>
      <c r="G60" s="92"/>
      <c r="H60" s="85">
        <v>15.4</v>
      </c>
      <c r="I60" s="85">
        <v>15.4</v>
      </c>
      <c r="J60" s="85">
        <v>14.7</v>
      </c>
      <c r="K60" s="85">
        <v>20</v>
      </c>
      <c r="L60" s="85">
        <v>21.2</v>
      </c>
      <c r="M60" s="85">
        <v>20.3</v>
      </c>
      <c r="V60" s="85">
        <v>32</v>
      </c>
      <c r="W60" s="85">
        <v>2.0499999999999998</v>
      </c>
      <c r="X60" s="85">
        <v>2.0499999999999998</v>
      </c>
      <c r="Y60" s="85">
        <v>2.0499999999999998</v>
      </c>
      <c r="Z60" s="85">
        <v>2.0499999999999998</v>
      </c>
      <c r="AA60" s="85">
        <v>3.38</v>
      </c>
      <c r="AB60" s="85">
        <v>3.38</v>
      </c>
      <c r="AC60" s="85">
        <v>4.5999999999999996</v>
      </c>
      <c r="AD60" s="85">
        <v>5.32</v>
      </c>
      <c r="AH60" s="85">
        <v>350</v>
      </c>
      <c r="AI60" s="85">
        <v>58.2</v>
      </c>
      <c r="AJ60" s="85">
        <v>105</v>
      </c>
      <c r="AK60" s="85">
        <v>152.1</v>
      </c>
      <c r="AL60" s="85">
        <v>205.7</v>
      </c>
      <c r="AM60" s="85">
        <v>422.7</v>
      </c>
      <c r="AN60" s="85"/>
    </row>
    <row r="61" spans="1:40" ht="24.95" customHeight="1">
      <c r="A61" s="85">
        <v>400</v>
      </c>
      <c r="B61" s="85" t="s">
        <v>1144</v>
      </c>
      <c r="C61" s="85" t="s">
        <v>1144</v>
      </c>
      <c r="D61" s="85" t="s">
        <v>1144</v>
      </c>
      <c r="E61" s="92"/>
      <c r="F61" s="92"/>
      <c r="G61" s="92"/>
      <c r="H61" s="85">
        <v>19.7</v>
      </c>
      <c r="I61" s="85">
        <v>19.7</v>
      </c>
      <c r="J61" s="85">
        <v>18.8</v>
      </c>
      <c r="K61" s="85">
        <v>25.1</v>
      </c>
      <c r="L61" s="85">
        <v>26.4</v>
      </c>
      <c r="M61" s="85">
        <v>25.4</v>
      </c>
      <c r="V61" s="85">
        <v>40</v>
      </c>
      <c r="W61" s="85">
        <v>2.37</v>
      </c>
      <c r="X61" s="85">
        <v>2.37</v>
      </c>
      <c r="Y61" s="85">
        <v>2.37</v>
      </c>
      <c r="Z61" s="85">
        <v>2.37</v>
      </c>
      <c r="AA61" s="85">
        <v>4.4000000000000004</v>
      </c>
      <c r="AB61" s="85">
        <v>4.4000000000000004</v>
      </c>
      <c r="AC61" s="85">
        <v>5.92</v>
      </c>
      <c r="AD61" s="85">
        <v>7.08</v>
      </c>
      <c r="AH61" s="85">
        <v>400</v>
      </c>
      <c r="AI61" s="85">
        <v>77.400000000000006</v>
      </c>
      <c r="AJ61" s="85">
        <v>138.6</v>
      </c>
      <c r="AK61" s="85">
        <v>214.1</v>
      </c>
      <c r="AL61" s="85">
        <v>259.89999999999998</v>
      </c>
      <c r="AM61" s="85">
        <v>557.20000000000005</v>
      </c>
      <c r="AN61" s="85"/>
    </row>
    <row r="62" spans="1:40" ht="24.95" customHeight="1">
      <c r="A62" s="85">
        <v>450</v>
      </c>
      <c r="B62" s="85"/>
      <c r="C62" s="85"/>
      <c r="D62" s="85"/>
      <c r="E62" s="92">
        <v>20.64</v>
      </c>
      <c r="F62" s="92">
        <v>21.92</v>
      </c>
      <c r="G62" s="92">
        <v>21</v>
      </c>
      <c r="H62" s="85">
        <v>24.5</v>
      </c>
      <c r="I62" s="85">
        <v>24.5</v>
      </c>
      <c r="J62" s="85">
        <v>23.5</v>
      </c>
      <c r="K62" s="85">
        <v>30.7</v>
      </c>
      <c r="L62" s="85">
        <v>32.1</v>
      </c>
      <c r="M62" s="85">
        <v>31</v>
      </c>
      <c r="V62" s="85">
        <v>50</v>
      </c>
      <c r="W62" s="85">
        <v>3.11</v>
      </c>
      <c r="X62" s="85">
        <v>3.11</v>
      </c>
      <c r="Y62" s="85">
        <v>3.11</v>
      </c>
      <c r="Z62" s="85">
        <v>3.11</v>
      </c>
      <c r="AA62" s="85">
        <v>4.8600000000000003</v>
      </c>
      <c r="AB62" s="85">
        <v>6.24</v>
      </c>
      <c r="AC62" s="85">
        <v>8.2799999999999994</v>
      </c>
      <c r="AD62" s="85">
        <v>8.61</v>
      </c>
      <c r="AH62" s="85">
        <v>450</v>
      </c>
      <c r="AI62" s="85">
        <v>94</v>
      </c>
      <c r="AJ62" s="85">
        <v>174.3</v>
      </c>
      <c r="AK62" s="85">
        <v>275.39999999999998</v>
      </c>
      <c r="AL62" s="85">
        <v>366.9</v>
      </c>
      <c r="AM62" s="85">
        <v>760.6</v>
      </c>
      <c r="AN62" s="85"/>
    </row>
    <row r="63" spans="1:40" ht="24.95" customHeight="1">
      <c r="A63" s="85">
        <v>500</v>
      </c>
      <c r="B63" s="85"/>
      <c r="C63" s="85"/>
      <c r="D63" s="85"/>
      <c r="E63" s="92">
        <v>22.7</v>
      </c>
      <c r="F63" s="92">
        <v>24.2</v>
      </c>
      <c r="G63" s="92">
        <v>23.2</v>
      </c>
      <c r="H63" s="85">
        <v>30.7</v>
      </c>
      <c r="I63" s="85">
        <v>30.7</v>
      </c>
      <c r="J63" s="85">
        <v>29.5</v>
      </c>
      <c r="K63" s="85">
        <v>36.799999999999997</v>
      </c>
      <c r="L63" s="85">
        <v>38.4</v>
      </c>
      <c r="M63" s="85">
        <v>37.200000000000003</v>
      </c>
      <c r="V63" s="85">
        <v>65</v>
      </c>
      <c r="W63" s="85">
        <v>3.74</v>
      </c>
      <c r="X63" s="85">
        <v>3.74</v>
      </c>
      <c r="Y63" s="85">
        <v>3.94</v>
      </c>
      <c r="Z63" s="85">
        <v>3.94</v>
      </c>
      <c r="AA63" s="85">
        <v>5.92</v>
      </c>
      <c r="AB63" s="85">
        <v>7.95</v>
      </c>
      <c r="AC63" s="85">
        <v>10.8</v>
      </c>
      <c r="AD63" s="85">
        <v>13.2</v>
      </c>
      <c r="AH63" s="85">
        <v>500</v>
      </c>
      <c r="AI63" s="85">
        <v>122.7</v>
      </c>
      <c r="AJ63" s="85">
        <v>220.4</v>
      </c>
      <c r="AK63" s="85">
        <v>325.39999999999998</v>
      </c>
      <c r="AL63" s="85">
        <v>461</v>
      </c>
      <c r="AM63" s="85">
        <v>966.6</v>
      </c>
      <c r="AN63" s="85"/>
    </row>
    <row r="64" spans="1:40" ht="24.95" customHeight="1">
      <c r="A64" s="85">
        <v>550</v>
      </c>
      <c r="B64" s="85"/>
      <c r="C64" s="85"/>
      <c r="D64" s="85"/>
      <c r="E64" s="92">
        <v>26.4</v>
      </c>
      <c r="F64" s="92">
        <v>27.9</v>
      </c>
      <c r="G64" s="92">
        <v>26.8</v>
      </c>
      <c r="H64" s="85">
        <v>37</v>
      </c>
      <c r="I64" s="85">
        <v>37</v>
      </c>
      <c r="J64" s="85">
        <v>35.700000000000003</v>
      </c>
      <c r="K64" s="85">
        <v>44</v>
      </c>
      <c r="L64" s="85">
        <v>45.7</v>
      </c>
      <c r="M64" s="85">
        <v>44.4</v>
      </c>
      <c r="V64" s="85">
        <v>80</v>
      </c>
      <c r="W64" s="85">
        <v>4.22</v>
      </c>
      <c r="X64" s="85">
        <v>4.22</v>
      </c>
      <c r="Y64" s="85">
        <v>5.03</v>
      </c>
      <c r="Z64" s="85">
        <v>5.03</v>
      </c>
      <c r="AA64" s="85">
        <v>6.93</v>
      </c>
      <c r="AB64" s="85">
        <v>9.1</v>
      </c>
      <c r="AC64" s="85">
        <v>12.9</v>
      </c>
      <c r="AD64" s="85">
        <v>17</v>
      </c>
      <c r="AH64" s="85">
        <v>550</v>
      </c>
      <c r="AI64" s="85">
        <v>150.69999999999999</v>
      </c>
      <c r="AJ64" s="85">
        <v>268.7</v>
      </c>
      <c r="AK64" s="85">
        <v>428.5</v>
      </c>
      <c r="AM64" s="85"/>
      <c r="AN64" s="85"/>
    </row>
    <row r="65" spans="1:40" ht="24.95" customHeight="1">
      <c r="A65" s="85">
        <v>600</v>
      </c>
      <c r="B65" s="85"/>
      <c r="C65" s="85"/>
      <c r="D65" s="85"/>
      <c r="E65" s="92">
        <v>28.6</v>
      </c>
      <c r="F65" s="92">
        <v>30.3</v>
      </c>
      <c r="G65" s="92">
        <v>29.1</v>
      </c>
      <c r="H65" s="85">
        <v>42.2</v>
      </c>
      <c r="I65" s="85">
        <v>42.2</v>
      </c>
      <c r="J65" s="85">
        <v>40.799999999999997</v>
      </c>
      <c r="K65" s="85">
        <v>52.2</v>
      </c>
      <c r="L65" s="85">
        <v>54.2</v>
      </c>
      <c r="M65" s="85">
        <v>52.7</v>
      </c>
      <c r="V65" s="85">
        <v>100</v>
      </c>
      <c r="W65" s="85">
        <v>5.39</v>
      </c>
      <c r="X65" s="85">
        <v>5.39</v>
      </c>
      <c r="Y65" s="85">
        <v>7.01</v>
      </c>
      <c r="Z65" s="85">
        <v>7.01</v>
      </c>
      <c r="AA65" s="85">
        <v>9.98</v>
      </c>
      <c r="AB65" s="85">
        <v>13.9</v>
      </c>
      <c r="AC65" s="85">
        <v>19.600000000000001</v>
      </c>
      <c r="AD65" s="85">
        <v>28.1</v>
      </c>
      <c r="AH65" s="85">
        <v>600</v>
      </c>
      <c r="AI65" s="85">
        <v>187</v>
      </c>
      <c r="AJ65" s="85">
        <v>339</v>
      </c>
      <c r="AK65" s="85">
        <v>536.79999999999995</v>
      </c>
      <c r="AL65" s="85">
        <v>874</v>
      </c>
      <c r="AM65" s="85">
        <v>1560</v>
      </c>
      <c r="AN65" s="85"/>
    </row>
    <row r="66" spans="1:40" ht="24.95" customHeight="1">
      <c r="A66" s="85">
        <v>650</v>
      </c>
      <c r="B66" s="85"/>
      <c r="C66" s="85"/>
      <c r="D66" s="85"/>
      <c r="E66" s="92">
        <v>34.5</v>
      </c>
      <c r="F66" s="92">
        <v>36.4</v>
      </c>
      <c r="G66" s="92">
        <v>35</v>
      </c>
      <c r="H66" s="85">
        <v>49.5</v>
      </c>
      <c r="I66" s="85">
        <v>49.5</v>
      </c>
      <c r="J66" s="85">
        <v>47</v>
      </c>
      <c r="K66" s="85">
        <v>60.2</v>
      </c>
      <c r="L66" s="85">
        <v>62.3</v>
      </c>
      <c r="M66" s="85">
        <v>60.7</v>
      </c>
      <c r="V66" s="85">
        <v>125</v>
      </c>
      <c r="W66" s="85">
        <v>6.88</v>
      </c>
      <c r="X66" s="85">
        <v>6.88</v>
      </c>
      <c r="Y66" s="85">
        <v>9.61</v>
      </c>
      <c r="Z66" s="85">
        <v>9.61</v>
      </c>
      <c r="AA66" s="85">
        <v>15.6</v>
      </c>
      <c r="AB66" s="85">
        <v>22.3</v>
      </c>
      <c r="AC66" s="85">
        <v>30.6</v>
      </c>
      <c r="AD66" s="85">
        <v>39.700000000000003</v>
      </c>
    </row>
    <row r="67" spans="1:40" ht="24.95" customHeight="1">
      <c r="A67" s="85">
        <v>700</v>
      </c>
      <c r="B67" s="85">
        <v>37.1</v>
      </c>
      <c r="C67" s="85">
        <v>39</v>
      </c>
      <c r="D67" s="85">
        <v>37.6</v>
      </c>
      <c r="E67" s="92">
        <v>42</v>
      </c>
      <c r="F67" s="92">
        <v>44.3</v>
      </c>
      <c r="G67" s="92">
        <v>42.6</v>
      </c>
      <c r="H67" s="85">
        <v>55</v>
      </c>
      <c r="I67" s="85">
        <v>55</v>
      </c>
      <c r="J67" s="85">
        <v>53.3</v>
      </c>
      <c r="K67" s="85"/>
      <c r="L67" s="85"/>
      <c r="M67" s="85"/>
      <c r="V67" s="85">
        <v>150</v>
      </c>
      <c r="W67" s="85">
        <v>9.1300000000000008</v>
      </c>
      <c r="X67" s="85">
        <v>9.1300000000000008</v>
      </c>
      <c r="Y67" s="85">
        <v>12.7</v>
      </c>
      <c r="Z67" s="85">
        <v>12.7</v>
      </c>
      <c r="AA67" s="85">
        <v>23</v>
      </c>
      <c r="AB67" s="85">
        <v>30.1</v>
      </c>
      <c r="AC67" s="85">
        <v>42.2</v>
      </c>
      <c r="AD67" s="85">
        <v>60.5</v>
      </c>
    </row>
    <row r="68" spans="1:40" ht="24.95" customHeight="1">
      <c r="A68" s="85">
        <v>800</v>
      </c>
      <c r="B68" s="85">
        <v>44.3</v>
      </c>
      <c r="C68" s="85">
        <v>46.5</v>
      </c>
      <c r="D68" s="85">
        <v>44.9</v>
      </c>
      <c r="E68" s="92">
        <v>47.8</v>
      </c>
      <c r="F68" s="92">
        <v>50.3</v>
      </c>
      <c r="G68" s="92">
        <v>48.4</v>
      </c>
      <c r="H68" s="85">
        <v>72.099999999999994</v>
      </c>
      <c r="I68" s="85">
        <v>72.099999999999994</v>
      </c>
      <c r="J68" s="85">
        <v>70.2</v>
      </c>
      <c r="K68" s="85"/>
      <c r="L68" s="85"/>
      <c r="M68" s="85"/>
      <c r="V68" s="85">
        <v>200</v>
      </c>
      <c r="W68" s="85">
        <v>11.8</v>
      </c>
      <c r="X68" s="85">
        <v>11.5</v>
      </c>
      <c r="Y68" s="85">
        <v>17.399999999999999</v>
      </c>
      <c r="Z68" s="85">
        <v>21.4</v>
      </c>
      <c r="AA68" s="85">
        <v>35</v>
      </c>
      <c r="AB68" s="85">
        <v>51</v>
      </c>
      <c r="AC68" s="85">
        <v>65.599999999999994</v>
      </c>
      <c r="AD68" s="85">
        <v>111.8</v>
      </c>
    </row>
    <row r="69" spans="1:40" ht="24.95" customHeight="1">
      <c r="A69" s="85">
        <v>900</v>
      </c>
      <c r="B69" s="85">
        <v>52</v>
      </c>
      <c r="C69" s="85">
        <v>54.6</v>
      </c>
      <c r="D69" s="85">
        <v>52.7</v>
      </c>
      <c r="E69" s="92">
        <v>64.599999999999994</v>
      </c>
      <c r="F69" s="92">
        <v>67.5</v>
      </c>
      <c r="G69" s="92">
        <v>65.3</v>
      </c>
      <c r="H69" s="85">
        <v>87.1</v>
      </c>
      <c r="I69" s="85">
        <v>87.1</v>
      </c>
      <c r="J69" s="85">
        <v>85</v>
      </c>
      <c r="K69" s="85"/>
      <c r="L69" s="85"/>
      <c r="M69" s="85"/>
      <c r="V69" s="85">
        <v>250</v>
      </c>
      <c r="W69" s="85">
        <v>15.6</v>
      </c>
      <c r="X69" s="85">
        <v>16.7</v>
      </c>
      <c r="Y69" s="85">
        <v>24.4</v>
      </c>
      <c r="Z69" s="85">
        <v>34.6</v>
      </c>
      <c r="AA69" s="85">
        <v>48.9</v>
      </c>
      <c r="AB69" s="85">
        <v>82.2</v>
      </c>
      <c r="AC69" s="85">
        <v>106.4</v>
      </c>
      <c r="AD69" s="85">
        <v>193.3</v>
      </c>
    </row>
    <row r="70" spans="1:40" ht="24.95" customHeight="1">
      <c r="A70" s="85">
        <v>1000</v>
      </c>
      <c r="B70" s="85">
        <v>65.099999999999994</v>
      </c>
      <c r="C70" s="85">
        <v>68.3</v>
      </c>
      <c r="D70" s="85">
        <v>65.900000000000006</v>
      </c>
      <c r="E70" s="92">
        <v>77.7</v>
      </c>
      <c r="F70" s="92">
        <v>80.900000000000006</v>
      </c>
      <c r="G70" s="92">
        <v>78.5</v>
      </c>
      <c r="H70" s="85"/>
      <c r="I70" s="85"/>
      <c r="J70" s="85"/>
      <c r="K70" s="85"/>
      <c r="L70" s="85"/>
      <c r="M70" s="85"/>
      <c r="V70" s="85">
        <v>300</v>
      </c>
      <c r="W70" s="85">
        <v>18.600000000000001</v>
      </c>
      <c r="X70" s="85">
        <v>22.4</v>
      </c>
      <c r="Y70" s="85">
        <v>31.9</v>
      </c>
      <c r="Z70" s="85">
        <v>48.2</v>
      </c>
      <c r="AA70" s="85">
        <v>68.3</v>
      </c>
      <c r="AB70" s="85">
        <v>119.4</v>
      </c>
      <c r="AC70" s="85">
        <v>153.19999999999999</v>
      </c>
      <c r="AD70" s="84"/>
    </row>
    <row r="71" spans="1:40" ht="24.95" customHeight="1">
      <c r="A71" s="85">
        <v>1100</v>
      </c>
      <c r="B71" s="85">
        <v>71.5</v>
      </c>
      <c r="C71" s="85">
        <v>74.7</v>
      </c>
      <c r="D71" s="85">
        <v>72.7</v>
      </c>
      <c r="E71" s="92">
        <v>96.7</v>
      </c>
      <c r="F71" s="92">
        <v>99.9</v>
      </c>
      <c r="G71" s="92">
        <v>97.9</v>
      </c>
      <c r="H71" s="85"/>
      <c r="I71" s="85"/>
      <c r="J71" s="85"/>
      <c r="K71" s="85"/>
      <c r="L71" s="85"/>
      <c r="M71" s="85"/>
      <c r="V71" s="85">
        <v>350</v>
      </c>
      <c r="W71" s="85">
        <v>22.8</v>
      </c>
      <c r="X71" s="85">
        <v>30.5</v>
      </c>
      <c r="Y71" s="85">
        <v>48.5</v>
      </c>
      <c r="Z71" s="85">
        <v>66.8</v>
      </c>
      <c r="AA71" s="85">
        <v>95.4</v>
      </c>
      <c r="AB71" s="85">
        <v>166.2</v>
      </c>
      <c r="AC71" s="84"/>
      <c r="AD71" s="84"/>
    </row>
    <row r="72" spans="1:40" ht="24.95" customHeight="1">
      <c r="A72" s="85">
        <v>1200</v>
      </c>
      <c r="B72" s="85">
        <v>85.3</v>
      </c>
      <c r="C72" s="85">
        <v>88.7</v>
      </c>
      <c r="D72" s="85">
        <v>86.6</v>
      </c>
      <c r="E72" s="92">
        <v>113.9</v>
      </c>
      <c r="F72" s="92">
        <v>117.4</v>
      </c>
      <c r="G72" s="92">
        <v>115.2</v>
      </c>
      <c r="H72" s="85"/>
      <c r="I72" s="85"/>
      <c r="J72" s="85"/>
      <c r="K72" s="85"/>
      <c r="L72" s="85"/>
      <c r="M72" s="85"/>
      <c r="V72" s="85">
        <v>400</v>
      </c>
      <c r="W72" s="85">
        <v>28.2</v>
      </c>
      <c r="X72" s="85">
        <v>38.5</v>
      </c>
      <c r="Y72" s="85">
        <v>61.1</v>
      </c>
      <c r="Z72" s="85">
        <v>96</v>
      </c>
      <c r="AA72" s="85">
        <v>141.30000000000001</v>
      </c>
      <c r="AB72" s="85">
        <v>214.5</v>
      </c>
      <c r="AC72" s="84"/>
      <c r="AD72" s="84"/>
    </row>
    <row r="73" spans="1:40" ht="24.95" customHeight="1">
      <c r="A73" s="85">
        <v>1300</v>
      </c>
      <c r="B73" s="85">
        <v>96.1</v>
      </c>
      <c r="C73" s="85">
        <v>99.8</v>
      </c>
      <c r="D73" s="85">
        <v>97.5</v>
      </c>
      <c r="E73" s="92"/>
      <c r="F73" s="92"/>
      <c r="G73" s="92"/>
      <c r="H73" s="85"/>
      <c r="I73" s="85"/>
      <c r="J73" s="85"/>
      <c r="K73" s="85"/>
      <c r="L73" s="85"/>
      <c r="M73" s="85"/>
      <c r="V73" s="85">
        <v>450</v>
      </c>
      <c r="W73" s="85">
        <v>31.7</v>
      </c>
      <c r="X73" s="85">
        <v>50.8</v>
      </c>
      <c r="Y73" s="85">
        <v>71.5</v>
      </c>
      <c r="Z73" s="85">
        <v>100.1</v>
      </c>
      <c r="AA73" s="85"/>
      <c r="AB73" s="84"/>
      <c r="AC73" s="84"/>
      <c r="AD73" s="84"/>
    </row>
    <row r="74" spans="1:40" ht="24.95" customHeight="1">
      <c r="A74" s="85">
        <v>1400</v>
      </c>
      <c r="B74" s="85">
        <v>103.4</v>
      </c>
      <c r="C74" s="85">
        <v>107.4</v>
      </c>
      <c r="D74" s="85">
        <v>104.9</v>
      </c>
      <c r="E74" s="92"/>
      <c r="F74" s="92"/>
      <c r="G74" s="92"/>
      <c r="H74" s="85"/>
      <c r="I74" s="85"/>
      <c r="J74" s="85"/>
      <c r="K74" s="85"/>
      <c r="L74" s="85"/>
      <c r="M74" s="85"/>
      <c r="V74" s="85">
        <v>500</v>
      </c>
      <c r="W74" s="85">
        <v>36.799999999999997</v>
      </c>
      <c r="X74" s="85">
        <v>70.7</v>
      </c>
      <c r="Y74" s="85">
        <v>92.5</v>
      </c>
      <c r="Z74" s="85">
        <v>125.9</v>
      </c>
      <c r="AA74" s="85"/>
      <c r="AB74" s="84"/>
      <c r="AC74" s="84"/>
      <c r="AD74" s="84"/>
    </row>
    <row r="75" spans="1:40" ht="24.95" customHeight="1">
      <c r="A75" s="85">
        <v>1500</v>
      </c>
      <c r="B75" s="85">
        <v>115.2</v>
      </c>
      <c r="C75" s="85">
        <v>119.4</v>
      </c>
      <c r="D75" s="85">
        <v>116.8</v>
      </c>
      <c r="E75" s="92"/>
      <c r="F75" s="92"/>
      <c r="G75" s="92"/>
      <c r="H75" s="85"/>
      <c r="I75" s="85"/>
      <c r="J75" s="85"/>
      <c r="K75" s="85"/>
      <c r="L75" s="85"/>
      <c r="M75" s="85"/>
      <c r="V75" s="85">
        <v>600</v>
      </c>
      <c r="W75" s="85">
        <v>52.6</v>
      </c>
      <c r="X75" s="85">
        <v>85.3</v>
      </c>
      <c r="Y75" s="85">
        <v>132.80000000000001</v>
      </c>
      <c r="Z75" s="85">
        <v>204.2</v>
      </c>
      <c r="AA75" s="85"/>
      <c r="AB75" s="84"/>
      <c r="AC75" s="84"/>
      <c r="AD75" s="84"/>
    </row>
    <row r="76" spans="1:40" ht="24.95" customHeight="1">
      <c r="A76" s="85">
        <v>1600</v>
      </c>
      <c r="B76" s="85">
        <v>127.5</v>
      </c>
      <c r="C76" s="85">
        <v>132</v>
      </c>
      <c r="D76" s="85">
        <v>129.19999999999999</v>
      </c>
      <c r="E76" s="92"/>
      <c r="F76" s="92"/>
      <c r="G76" s="92"/>
      <c r="H76" s="85"/>
      <c r="I76" s="85"/>
      <c r="J76" s="85"/>
      <c r="K76" s="85"/>
      <c r="L76" s="85"/>
      <c r="M76" s="85"/>
      <c r="V76" s="85">
        <v>700</v>
      </c>
      <c r="W76" s="85">
        <v>64.5</v>
      </c>
      <c r="X76" s="85">
        <v>94.8</v>
      </c>
      <c r="Y76" s="85">
        <v>142.69999999999999</v>
      </c>
      <c r="Z76" s="84"/>
      <c r="AA76" s="84"/>
      <c r="AB76" s="84"/>
      <c r="AC76" s="84"/>
      <c r="AD76" s="84"/>
    </row>
    <row r="77" spans="1:40" ht="24.95" customHeight="1">
      <c r="A77" s="85">
        <v>1700</v>
      </c>
      <c r="B77" s="85">
        <v>140.4</v>
      </c>
      <c r="C77" s="85">
        <v>145.19999999999999</v>
      </c>
      <c r="D77" s="85">
        <v>142.19999999999999</v>
      </c>
      <c r="E77" s="92"/>
      <c r="F77" s="92"/>
      <c r="G77" s="92"/>
      <c r="H77" s="85"/>
      <c r="I77" s="85"/>
      <c r="J77" s="85"/>
      <c r="K77" s="85"/>
      <c r="L77" s="85"/>
      <c r="M77" s="85"/>
      <c r="V77" s="85">
        <v>800</v>
      </c>
      <c r="W77" s="85">
        <v>87</v>
      </c>
      <c r="X77" s="85">
        <v>109.4</v>
      </c>
      <c r="Y77" s="85">
        <v>193.2</v>
      </c>
      <c r="Z77" s="84"/>
      <c r="AA77" s="84"/>
      <c r="AB77" s="84"/>
      <c r="AC77" s="84"/>
      <c r="AD77" s="84"/>
    </row>
    <row r="78" spans="1:40" ht="24.95" customHeight="1">
      <c r="A78" s="85">
        <v>1800</v>
      </c>
      <c r="B78" s="85">
        <v>160.19999999999999</v>
      </c>
      <c r="C78" s="85">
        <v>165.3</v>
      </c>
      <c r="D78" s="85">
        <v>162.1</v>
      </c>
      <c r="E78" s="92"/>
      <c r="F78" s="92"/>
      <c r="G78" s="92"/>
      <c r="H78" s="85"/>
      <c r="I78" s="85"/>
      <c r="J78" s="85"/>
      <c r="K78" s="85"/>
      <c r="L78" s="85"/>
      <c r="M78" s="85"/>
      <c r="V78" s="85">
        <v>900</v>
      </c>
      <c r="W78" s="85">
        <v>106.1</v>
      </c>
      <c r="X78" s="85">
        <v>127.3</v>
      </c>
      <c r="Y78" s="85">
        <v>236.8</v>
      </c>
      <c r="Z78" s="84"/>
      <c r="AA78" s="84"/>
      <c r="AB78" s="84"/>
      <c r="AC78" s="84"/>
      <c r="AD78" s="84"/>
    </row>
    <row r="79" spans="1:40" ht="24.95" customHeight="1">
      <c r="A79" s="85">
        <v>1900</v>
      </c>
      <c r="B79" s="85">
        <v>168.6</v>
      </c>
      <c r="C79" s="85">
        <v>174</v>
      </c>
      <c r="D79" s="85">
        <v>170.6</v>
      </c>
      <c r="E79" s="84"/>
      <c r="F79" s="84"/>
      <c r="G79" s="84"/>
      <c r="H79" s="84"/>
      <c r="I79" s="84"/>
      <c r="J79" s="84"/>
      <c r="K79" s="84"/>
      <c r="L79" s="84"/>
      <c r="M79" s="84"/>
      <c r="V79" s="85">
        <v>1000</v>
      </c>
      <c r="W79" s="85">
        <v>123.9</v>
      </c>
      <c r="X79" s="85">
        <v>169.7</v>
      </c>
      <c r="Y79" s="85">
        <v>312.89999999999998</v>
      </c>
      <c r="Z79" s="84"/>
      <c r="AA79" s="84"/>
      <c r="AB79" s="84"/>
      <c r="AC79" s="84"/>
      <c r="AD79" s="84"/>
    </row>
    <row r="80" spans="1:40" ht="24.95" customHeight="1">
      <c r="A80" s="85">
        <v>2000</v>
      </c>
      <c r="B80" s="85">
        <v>189.7</v>
      </c>
      <c r="C80" s="85">
        <v>195.4</v>
      </c>
      <c r="D80" s="85">
        <v>191.8</v>
      </c>
      <c r="E80" s="84"/>
      <c r="F80" s="84"/>
      <c r="G80" s="84"/>
      <c r="H80" s="84"/>
      <c r="I80" s="84"/>
      <c r="J80" s="84"/>
      <c r="K80" s="84"/>
      <c r="L80" s="84"/>
      <c r="M80" s="84"/>
      <c r="V80" s="85">
        <v>1200</v>
      </c>
      <c r="W80" s="85">
        <v>187.7</v>
      </c>
      <c r="X80" s="85">
        <v>254.4</v>
      </c>
      <c r="Y80" s="84"/>
      <c r="Z80" s="84"/>
      <c r="AA80" s="84"/>
      <c r="AB80" s="84"/>
      <c r="AC80" s="84"/>
      <c r="AD80" s="84"/>
    </row>
    <row r="81" spans="1:32" ht="24.95" customHeight="1">
      <c r="A81" s="277" t="s">
        <v>1145</v>
      </c>
      <c r="B81" s="277"/>
      <c r="C81" s="277"/>
      <c r="D81" s="277"/>
      <c r="E81" s="277"/>
      <c r="F81" s="277"/>
      <c r="G81" s="277"/>
      <c r="H81" s="277"/>
      <c r="I81" s="277"/>
      <c r="J81" s="277"/>
      <c r="K81" s="277"/>
      <c r="L81" s="277"/>
      <c r="M81" s="277"/>
      <c r="V81" s="85">
        <v>1400</v>
      </c>
      <c r="W81" s="85">
        <v>256.5</v>
      </c>
      <c r="X81" s="85">
        <v>333.5</v>
      </c>
      <c r="Y81" s="84"/>
      <c r="Z81" s="84"/>
      <c r="AA81" s="84"/>
      <c r="AB81" s="84"/>
      <c r="AC81" s="84"/>
      <c r="AD81" s="84"/>
    </row>
    <row r="82" spans="1:32" ht="24.95" customHeight="1">
      <c r="A82" s="84"/>
      <c r="B82" s="275">
        <v>0.6</v>
      </c>
      <c r="C82" s="275"/>
      <c r="D82" s="275"/>
      <c r="E82" s="276">
        <v>1</v>
      </c>
      <c r="F82" s="276"/>
      <c r="G82" s="276"/>
      <c r="H82" s="276">
        <v>1.6</v>
      </c>
      <c r="I82" s="276"/>
      <c r="J82" s="276"/>
      <c r="K82" s="275">
        <v>2.5</v>
      </c>
      <c r="L82" s="275"/>
      <c r="M82" s="275"/>
      <c r="N82" s="276">
        <v>4</v>
      </c>
      <c r="O82" s="276"/>
      <c r="P82" s="276"/>
      <c r="Q82" s="276">
        <v>6.4</v>
      </c>
      <c r="R82" s="276"/>
      <c r="S82" s="276"/>
      <c r="V82" s="85">
        <v>1600</v>
      </c>
      <c r="W82" s="85">
        <v>368.9</v>
      </c>
      <c r="X82" s="85">
        <v>483.7</v>
      </c>
      <c r="Y82" s="84"/>
      <c r="Z82" s="84"/>
      <c r="AA82" s="84"/>
      <c r="AB82" s="84"/>
      <c r="AC82" s="84"/>
      <c r="AD82" s="84"/>
    </row>
    <row r="83" spans="1:32" ht="24.95" customHeight="1">
      <c r="A83" s="85"/>
      <c r="B83" s="20" t="s">
        <v>1135</v>
      </c>
      <c r="C83" s="20" t="s">
        <v>1146</v>
      </c>
      <c r="D83" s="20" t="s">
        <v>672</v>
      </c>
      <c r="E83" s="20" t="s">
        <v>1135</v>
      </c>
      <c r="F83" s="20" t="s">
        <v>1146</v>
      </c>
      <c r="G83" s="20" t="s">
        <v>672</v>
      </c>
      <c r="H83" s="20" t="s">
        <v>1135</v>
      </c>
      <c r="I83" s="20" t="s">
        <v>1146</v>
      </c>
      <c r="J83" s="20" t="s">
        <v>672</v>
      </c>
      <c r="K83" s="20" t="s">
        <v>1135</v>
      </c>
      <c r="L83" s="20" t="s">
        <v>1146</v>
      </c>
      <c r="M83" s="20" t="s">
        <v>672</v>
      </c>
      <c r="N83" s="20" t="s">
        <v>1135</v>
      </c>
      <c r="O83" s="20" t="s">
        <v>1146</v>
      </c>
      <c r="P83" s="20" t="s">
        <v>672</v>
      </c>
      <c r="Q83" s="20" t="s">
        <v>1135</v>
      </c>
      <c r="R83" s="20" t="s">
        <v>1146</v>
      </c>
      <c r="S83" s="20" t="s">
        <v>672</v>
      </c>
      <c r="V83" s="85">
        <v>1800</v>
      </c>
      <c r="W83" s="85">
        <v>451.1</v>
      </c>
      <c r="X83" s="85">
        <v>590.5</v>
      </c>
      <c r="Y83" s="84"/>
      <c r="Z83" s="84"/>
      <c r="AA83" s="84"/>
      <c r="AB83" s="84"/>
      <c r="AC83" s="84"/>
      <c r="AD83" s="84"/>
    </row>
    <row r="84" spans="1:32" ht="24.95" customHeight="1">
      <c r="A84" s="85">
        <v>300</v>
      </c>
      <c r="B84" s="85"/>
      <c r="C84" s="85"/>
      <c r="D84" s="85"/>
      <c r="E84" s="92">
        <v>40.9</v>
      </c>
      <c r="F84" s="92">
        <v>46.3</v>
      </c>
      <c r="G84" s="92">
        <v>43</v>
      </c>
      <c r="H84" s="85">
        <v>41.4</v>
      </c>
      <c r="I84" s="85">
        <v>46.9</v>
      </c>
      <c r="J84" s="85">
        <v>43.6</v>
      </c>
      <c r="K84" s="85">
        <v>52.1</v>
      </c>
      <c r="L84" s="85">
        <v>57.5</v>
      </c>
      <c r="M84" s="85">
        <v>54.4</v>
      </c>
      <c r="N84" s="85">
        <v>80</v>
      </c>
      <c r="O84" s="85">
        <v>86</v>
      </c>
      <c r="P84" s="85">
        <v>82.5</v>
      </c>
      <c r="Q84" s="85">
        <v>91.3</v>
      </c>
      <c r="R84" s="85">
        <v>97.2</v>
      </c>
      <c r="S84" s="85">
        <v>93.8</v>
      </c>
      <c r="V84" s="85">
        <v>2000</v>
      </c>
      <c r="W84" s="85">
        <v>564.20000000000005</v>
      </c>
      <c r="X84" s="85">
        <v>748.9</v>
      </c>
      <c r="Y84" s="84"/>
      <c r="Z84" s="84"/>
      <c r="AA84" s="84"/>
      <c r="AB84" s="84"/>
      <c r="AC84" s="84"/>
      <c r="AD84" s="84"/>
    </row>
    <row r="85" spans="1:32" ht="24.95" customHeight="1">
      <c r="A85" s="85">
        <v>400</v>
      </c>
      <c r="B85" s="85"/>
      <c r="C85" s="85"/>
      <c r="D85" s="85"/>
      <c r="E85" s="92">
        <v>54</v>
      </c>
      <c r="F85" s="92">
        <v>60.8</v>
      </c>
      <c r="G85" s="92">
        <v>56.5</v>
      </c>
      <c r="H85" s="85">
        <v>58</v>
      </c>
      <c r="I85" s="85">
        <v>64.8</v>
      </c>
      <c r="J85" s="85">
        <v>60.5</v>
      </c>
      <c r="K85" s="85">
        <v>78.599999999999994</v>
      </c>
      <c r="L85" s="85">
        <v>86.1</v>
      </c>
      <c r="M85" s="85">
        <v>81.8</v>
      </c>
      <c r="N85" s="85">
        <v>103.1</v>
      </c>
      <c r="O85" s="85">
        <v>110.5</v>
      </c>
      <c r="P85" s="85">
        <v>106.2</v>
      </c>
      <c r="Q85" s="85">
        <v>141</v>
      </c>
      <c r="R85" s="85">
        <v>149.6</v>
      </c>
      <c r="S85" s="85">
        <v>144.30000000000001</v>
      </c>
      <c r="V85" s="274" t="s">
        <v>1147</v>
      </c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</row>
    <row r="86" spans="1:32" ht="24.95" customHeight="1">
      <c r="A86" s="85">
        <v>500</v>
      </c>
      <c r="B86" s="85"/>
      <c r="C86" s="85"/>
      <c r="D86" s="85"/>
      <c r="E86" s="92">
        <v>68.099999999999994</v>
      </c>
      <c r="F86" s="92">
        <v>76.2</v>
      </c>
      <c r="G86" s="92">
        <v>71</v>
      </c>
      <c r="H86" s="85">
        <v>83.2</v>
      </c>
      <c r="I86" s="85">
        <v>91.3</v>
      </c>
      <c r="J86" s="85">
        <v>86.2</v>
      </c>
      <c r="K86" s="85">
        <v>113.4</v>
      </c>
      <c r="L86" s="85">
        <v>122.4</v>
      </c>
      <c r="M86" s="85">
        <v>117.1</v>
      </c>
      <c r="N86" s="85">
        <v>130.69999999999999</v>
      </c>
      <c r="O86" s="85">
        <v>139.5</v>
      </c>
      <c r="P86" s="85">
        <v>134.19999999999999</v>
      </c>
      <c r="Q86" s="85">
        <v>230.7</v>
      </c>
      <c r="R86" s="85">
        <v>241.7</v>
      </c>
      <c r="S86" s="85">
        <v>235.3</v>
      </c>
      <c r="V86" s="84"/>
      <c r="W86" s="85">
        <v>0.25</v>
      </c>
      <c r="X86" s="85">
        <v>0.6</v>
      </c>
      <c r="Y86" s="85">
        <v>1</v>
      </c>
      <c r="Z86" s="85">
        <v>1.6</v>
      </c>
      <c r="AA86" s="85">
        <v>2.5</v>
      </c>
      <c r="AB86" s="85">
        <v>4</v>
      </c>
      <c r="AC86" s="85">
        <v>6.3</v>
      </c>
      <c r="AD86" s="85">
        <v>10</v>
      </c>
      <c r="AE86" s="85">
        <v>16</v>
      </c>
      <c r="AF86" s="85">
        <v>25</v>
      </c>
    </row>
    <row r="87" spans="1:32" ht="24.95" customHeight="1">
      <c r="A87" s="85">
        <v>600</v>
      </c>
      <c r="B87" s="85"/>
      <c r="C87" s="85"/>
      <c r="D87" s="85"/>
      <c r="E87" s="92">
        <v>87.7</v>
      </c>
      <c r="F87" s="92">
        <v>97.3</v>
      </c>
      <c r="G87" s="92">
        <v>91.2</v>
      </c>
      <c r="H87" s="85">
        <v>130.80000000000001</v>
      </c>
      <c r="I87" s="85">
        <v>141.19999999999999</v>
      </c>
      <c r="J87" s="85">
        <v>134.6</v>
      </c>
      <c r="K87" s="85">
        <v>140.30000000000001</v>
      </c>
      <c r="L87" s="85">
        <v>150.69999999999999</v>
      </c>
      <c r="M87" s="85">
        <v>144.5</v>
      </c>
      <c r="N87" s="85">
        <v>207.7</v>
      </c>
      <c r="O87" s="85">
        <v>219.7</v>
      </c>
      <c r="P87" s="85">
        <v>212.3</v>
      </c>
      <c r="Q87" s="85">
        <v>317.10000000000002</v>
      </c>
      <c r="R87" s="85">
        <v>331.5</v>
      </c>
      <c r="S87" s="85">
        <v>322.89999999999998</v>
      </c>
      <c r="V87" s="85">
        <v>10</v>
      </c>
      <c r="W87" s="85">
        <v>0.38</v>
      </c>
      <c r="X87" s="85">
        <v>0.38</v>
      </c>
      <c r="Y87" s="85">
        <v>0.63</v>
      </c>
      <c r="Z87" s="85">
        <v>0.63</v>
      </c>
      <c r="AA87" s="85">
        <v>0.63</v>
      </c>
      <c r="AB87" s="85">
        <v>0.63</v>
      </c>
      <c r="AC87" s="85">
        <v>1.1399999999999999</v>
      </c>
      <c r="AD87" s="85">
        <v>1.1399999999999999</v>
      </c>
      <c r="AE87" s="85">
        <v>1.36</v>
      </c>
      <c r="AF87" s="84">
        <v>2.12</v>
      </c>
    </row>
    <row r="88" spans="1:32" ht="24.95" customHeight="1">
      <c r="A88" s="85">
        <v>700</v>
      </c>
      <c r="B88" s="85"/>
      <c r="C88" s="85"/>
      <c r="D88" s="85"/>
      <c r="E88" s="92">
        <v>106.5</v>
      </c>
      <c r="F88" s="92">
        <v>117.5</v>
      </c>
      <c r="G88" s="92">
        <v>110.5</v>
      </c>
      <c r="H88" s="85">
        <v>156.5</v>
      </c>
      <c r="I88" s="85">
        <v>168.4</v>
      </c>
      <c r="J88" s="85">
        <v>161.19999999999999</v>
      </c>
      <c r="K88" s="85">
        <v>172.1</v>
      </c>
      <c r="L88" s="85">
        <v>184</v>
      </c>
      <c r="M88" s="85">
        <v>176.8</v>
      </c>
      <c r="N88" s="85">
        <v>260</v>
      </c>
      <c r="O88" s="85">
        <v>273.60000000000002</v>
      </c>
      <c r="P88" s="85">
        <v>265</v>
      </c>
      <c r="Q88" s="85">
        <v>412.9</v>
      </c>
      <c r="R88" s="85">
        <v>429.2</v>
      </c>
      <c r="S88" s="85">
        <v>419.4</v>
      </c>
      <c r="V88" s="85">
        <v>15</v>
      </c>
      <c r="W88" s="85">
        <v>0.44</v>
      </c>
      <c r="X88" s="85">
        <v>0.44</v>
      </c>
      <c r="Y88" s="85">
        <v>0.71</v>
      </c>
      <c r="Z88" s="85">
        <v>0.71</v>
      </c>
      <c r="AA88" s="85">
        <v>0.71</v>
      </c>
      <c r="AB88" s="85">
        <v>0.71</v>
      </c>
      <c r="AC88" s="85">
        <v>1.26</v>
      </c>
      <c r="AD88" s="85">
        <v>1.26</v>
      </c>
      <c r="AE88" s="85">
        <v>1.64</v>
      </c>
      <c r="AF88" s="84">
        <v>2.5</v>
      </c>
    </row>
    <row r="89" spans="1:32" ht="24.95" customHeight="1">
      <c r="A89" s="85">
        <v>800</v>
      </c>
      <c r="B89" s="85"/>
      <c r="C89" s="85"/>
      <c r="D89" s="85"/>
      <c r="E89" s="92">
        <v>138.80000000000001</v>
      </c>
      <c r="F89" s="92">
        <v>151.1</v>
      </c>
      <c r="G89" s="92">
        <v>143.19999999999999</v>
      </c>
      <c r="H89" s="85">
        <v>181</v>
      </c>
      <c r="I89" s="85">
        <v>194.4</v>
      </c>
      <c r="J89" s="85">
        <v>186.3</v>
      </c>
      <c r="K89" s="85">
        <v>260.89999999999998</v>
      </c>
      <c r="L89" s="85">
        <v>276.3</v>
      </c>
      <c r="M89" s="85">
        <v>266.7</v>
      </c>
      <c r="N89" s="85">
        <v>356.9</v>
      </c>
      <c r="O89" s="85">
        <v>373.3</v>
      </c>
      <c r="P89" s="85">
        <v>263.60000000000002</v>
      </c>
      <c r="Q89" s="85"/>
      <c r="R89" s="85"/>
      <c r="S89" s="85"/>
      <c r="V89" s="85">
        <v>20</v>
      </c>
      <c r="W89" s="85">
        <v>0.66</v>
      </c>
      <c r="X89" s="85">
        <v>0.66</v>
      </c>
      <c r="Y89" s="85">
        <v>1.01</v>
      </c>
      <c r="Z89" s="85">
        <v>1.01</v>
      </c>
      <c r="AA89" s="85">
        <v>1.01</v>
      </c>
      <c r="AB89" s="85">
        <v>1.01</v>
      </c>
      <c r="AC89" s="85">
        <v>1.92</v>
      </c>
      <c r="AD89" s="85">
        <v>1.92</v>
      </c>
      <c r="AE89" s="85">
        <v>2.88</v>
      </c>
      <c r="AF89" s="84">
        <v>2.92</v>
      </c>
    </row>
    <row r="90" spans="1:32" ht="24.95" customHeight="1">
      <c r="A90" s="85">
        <v>900</v>
      </c>
      <c r="B90" s="85"/>
      <c r="C90" s="85"/>
      <c r="D90" s="85"/>
      <c r="E90" s="92">
        <v>188.3</v>
      </c>
      <c r="F90" s="92">
        <v>202</v>
      </c>
      <c r="G90" s="92">
        <v>193.2</v>
      </c>
      <c r="H90" s="85">
        <v>226.7</v>
      </c>
      <c r="I90" s="85">
        <v>241.6</v>
      </c>
      <c r="J90" s="85">
        <v>232.5</v>
      </c>
      <c r="K90" s="85">
        <v>307.39999999999998</v>
      </c>
      <c r="L90" s="85">
        <v>324.5</v>
      </c>
      <c r="M90" s="85">
        <v>313.8</v>
      </c>
      <c r="N90" s="85">
        <v>421.3</v>
      </c>
      <c r="O90" s="85">
        <v>439.4</v>
      </c>
      <c r="P90" s="85">
        <v>428.5</v>
      </c>
      <c r="Q90" s="85"/>
      <c r="R90" s="85"/>
      <c r="S90" s="85"/>
      <c r="V90" s="85">
        <v>25</v>
      </c>
      <c r="W90" s="85">
        <v>0.82</v>
      </c>
      <c r="X90" s="85">
        <v>0.82</v>
      </c>
      <c r="Y90" s="85">
        <v>1.23</v>
      </c>
      <c r="Z90" s="85">
        <v>1.23</v>
      </c>
      <c r="AA90" s="85">
        <v>1.23</v>
      </c>
      <c r="AB90" s="85">
        <v>1.23</v>
      </c>
      <c r="AC90" s="85">
        <v>2.71</v>
      </c>
      <c r="AD90" s="85">
        <v>2.71</v>
      </c>
      <c r="AE90" s="85">
        <v>3.61</v>
      </c>
      <c r="AF90" s="84">
        <v>3.55</v>
      </c>
    </row>
    <row r="91" spans="1:32" ht="24.95" customHeight="1">
      <c r="A91" s="85">
        <v>1000</v>
      </c>
      <c r="B91" s="85"/>
      <c r="C91" s="85"/>
      <c r="D91" s="85"/>
      <c r="E91" s="92">
        <v>239.7</v>
      </c>
      <c r="F91" s="92">
        <v>255.3</v>
      </c>
      <c r="G91" s="92">
        <v>245.4</v>
      </c>
      <c r="H91" s="85">
        <v>271.3</v>
      </c>
      <c r="I91" s="85">
        <v>286.7</v>
      </c>
      <c r="J91" s="85">
        <v>277.60000000000002</v>
      </c>
      <c r="K91" s="85">
        <v>382.2</v>
      </c>
      <c r="L91" s="85">
        <v>400.1</v>
      </c>
      <c r="M91" s="85">
        <v>389.1</v>
      </c>
      <c r="N91" s="85">
        <v>619.4</v>
      </c>
      <c r="O91" s="85">
        <v>640.79999999999995</v>
      </c>
      <c r="P91" s="85">
        <v>628.1</v>
      </c>
      <c r="Q91" s="85"/>
      <c r="R91" s="85"/>
      <c r="S91" s="85"/>
      <c r="V91" s="85">
        <v>32</v>
      </c>
      <c r="W91" s="85">
        <v>1.34</v>
      </c>
      <c r="X91" s="85">
        <v>1.34</v>
      </c>
      <c r="Y91" s="85">
        <v>2.0299999999999998</v>
      </c>
      <c r="Z91" s="85">
        <v>2.0299999999999998</v>
      </c>
      <c r="AA91" s="85">
        <v>2.0299999999999998</v>
      </c>
      <c r="AB91" s="85">
        <v>2.0299999999999998</v>
      </c>
      <c r="AC91" s="85">
        <v>3.27</v>
      </c>
      <c r="AD91" s="85">
        <v>3.27</v>
      </c>
      <c r="AE91" s="85">
        <v>4.63</v>
      </c>
      <c r="AF91" s="84">
        <v>4.99</v>
      </c>
    </row>
    <row r="92" spans="1:32" ht="24.95" customHeight="1">
      <c r="A92" s="85">
        <v>1100</v>
      </c>
      <c r="B92" s="85"/>
      <c r="C92" s="85"/>
      <c r="D92" s="85"/>
      <c r="E92" s="92">
        <v>285.2</v>
      </c>
      <c r="F92" s="92">
        <v>302.10000000000002</v>
      </c>
      <c r="G92" s="92">
        <v>292.10000000000002</v>
      </c>
      <c r="H92" s="85">
        <v>304.10000000000002</v>
      </c>
      <c r="I92" s="85">
        <v>321</v>
      </c>
      <c r="J92" s="85">
        <v>310.89999999999998</v>
      </c>
      <c r="K92" s="85">
        <v>442.3</v>
      </c>
      <c r="L92" s="85">
        <v>461.7</v>
      </c>
      <c r="M92" s="85">
        <v>449.7</v>
      </c>
      <c r="N92" s="85">
        <v>691.2</v>
      </c>
      <c r="O92" s="85">
        <v>714.5</v>
      </c>
      <c r="P92" s="85">
        <v>700.6</v>
      </c>
      <c r="Q92" s="85"/>
      <c r="R92" s="85"/>
      <c r="S92" s="85"/>
      <c r="V92" s="85">
        <v>40</v>
      </c>
      <c r="W92" s="85">
        <v>1.59</v>
      </c>
      <c r="X92" s="85">
        <v>1.59</v>
      </c>
      <c r="Y92" s="85">
        <v>2.35</v>
      </c>
      <c r="Z92" s="85">
        <v>2.35</v>
      </c>
      <c r="AA92" s="85">
        <v>2.35</v>
      </c>
      <c r="AB92" s="85">
        <v>2.35</v>
      </c>
      <c r="AC92" s="85">
        <v>4.32</v>
      </c>
      <c r="AD92" s="85">
        <v>4.32</v>
      </c>
      <c r="AE92" s="85">
        <v>5.98</v>
      </c>
      <c r="AF92" s="84">
        <v>6.6</v>
      </c>
    </row>
    <row r="93" spans="1:32" ht="24.95" customHeight="1">
      <c r="A93" s="85">
        <v>1200</v>
      </c>
      <c r="B93" s="85">
        <v>238.2</v>
      </c>
      <c r="C93" s="85">
        <v>256.5</v>
      </c>
      <c r="D93" s="85">
        <v>245.6</v>
      </c>
      <c r="E93" s="92">
        <v>320.10000000000002</v>
      </c>
      <c r="F93" s="92">
        <v>338.5</v>
      </c>
      <c r="G93" s="92">
        <v>327.60000000000002</v>
      </c>
      <c r="H93" s="85">
        <v>357.9</v>
      </c>
      <c r="I93" s="85">
        <v>376.2</v>
      </c>
      <c r="J93" s="85">
        <v>365.3</v>
      </c>
      <c r="K93" s="85">
        <v>538.5</v>
      </c>
      <c r="L93" s="85">
        <v>559.4</v>
      </c>
      <c r="M93" s="85">
        <v>546.29999999999995</v>
      </c>
      <c r="N93" s="85">
        <v>760</v>
      </c>
      <c r="O93" s="85">
        <v>785</v>
      </c>
      <c r="P93" s="85">
        <v>769.9</v>
      </c>
      <c r="Q93" s="85"/>
      <c r="R93" s="85"/>
      <c r="S93" s="85"/>
      <c r="V93" s="85">
        <v>50</v>
      </c>
      <c r="W93" s="85">
        <v>1.86</v>
      </c>
      <c r="X93" s="85">
        <v>1.86</v>
      </c>
      <c r="Y93" s="85">
        <v>3.2</v>
      </c>
      <c r="Z93" s="85">
        <v>3.2</v>
      </c>
      <c r="AA93" s="85">
        <v>3.2</v>
      </c>
      <c r="AB93" s="85">
        <v>3.2</v>
      </c>
      <c r="AC93" s="85">
        <v>4.88</v>
      </c>
      <c r="AD93" s="85">
        <v>6.09</v>
      </c>
      <c r="AE93" s="85">
        <v>8.27</v>
      </c>
      <c r="AF93" s="84">
        <v>8.1</v>
      </c>
    </row>
    <row r="94" spans="1:32" ht="24.95" customHeight="1">
      <c r="A94" s="85">
        <v>1300</v>
      </c>
      <c r="B94" s="85">
        <v>274.2</v>
      </c>
      <c r="C94" s="85">
        <v>293.89999999999998</v>
      </c>
      <c r="D94" s="85">
        <v>282.10000000000002</v>
      </c>
      <c r="E94" s="92">
        <v>358</v>
      </c>
      <c r="F94" s="92">
        <v>377.7</v>
      </c>
      <c r="G94" s="92">
        <v>366</v>
      </c>
      <c r="H94" s="85">
        <v>394.2</v>
      </c>
      <c r="I94" s="85">
        <v>413.9</v>
      </c>
      <c r="J94" s="85">
        <v>402.1</v>
      </c>
      <c r="K94" s="85">
        <v>625.4</v>
      </c>
      <c r="L94" s="85">
        <v>648</v>
      </c>
      <c r="M94" s="85">
        <v>633.79999999999995</v>
      </c>
      <c r="N94" s="85">
        <v>914</v>
      </c>
      <c r="O94" s="85">
        <v>940.8</v>
      </c>
      <c r="P94" s="85">
        <v>924.5</v>
      </c>
      <c r="Q94" s="85"/>
      <c r="R94" s="85"/>
      <c r="S94" s="85"/>
      <c r="V94" s="85">
        <v>65</v>
      </c>
      <c r="W94" s="85">
        <v>2.4500000000000002</v>
      </c>
      <c r="X94" s="85">
        <v>2.4500000000000002</v>
      </c>
      <c r="Y94" s="85">
        <v>4.0599999999999996</v>
      </c>
      <c r="Z94" s="85">
        <v>4.0599999999999996</v>
      </c>
      <c r="AA94" s="85">
        <v>4.29</v>
      </c>
      <c r="AB94" s="85">
        <v>4.29</v>
      </c>
      <c r="AC94" s="85">
        <v>6.11</v>
      </c>
      <c r="AD94" s="85">
        <v>7.95</v>
      </c>
      <c r="AE94" s="85">
        <v>11.1</v>
      </c>
      <c r="AF94" s="84">
        <v>12.3</v>
      </c>
    </row>
    <row r="95" spans="1:32" ht="24.95" customHeight="1">
      <c r="A95" s="85">
        <v>1400</v>
      </c>
      <c r="B95" s="85">
        <v>309.89999999999998</v>
      </c>
      <c r="C95" s="85">
        <v>331</v>
      </c>
      <c r="D95" s="85">
        <v>318.39999999999998</v>
      </c>
      <c r="E95" s="92">
        <v>409.3</v>
      </c>
      <c r="F95" s="92">
        <v>430.4</v>
      </c>
      <c r="G95" s="92">
        <v>417.8</v>
      </c>
      <c r="H95" s="85">
        <v>510.5</v>
      </c>
      <c r="I95" s="85">
        <v>534.9</v>
      </c>
      <c r="J95" s="85">
        <v>519.70000000000005</v>
      </c>
      <c r="K95" s="85">
        <v>753.4</v>
      </c>
      <c r="L95" s="85">
        <v>779.3</v>
      </c>
      <c r="M95" s="85">
        <v>764</v>
      </c>
      <c r="N95" s="85">
        <v>1101.2</v>
      </c>
      <c r="O95" s="85">
        <v>1129.8</v>
      </c>
      <c r="P95" s="85">
        <v>1112.3</v>
      </c>
      <c r="Q95" s="85"/>
      <c r="R95" s="85"/>
      <c r="S95" s="85"/>
      <c r="V95" s="85">
        <v>80</v>
      </c>
      <c r="W95" s="85">
        <v>3.86</v>
      </c>
      <c r="X95" s="85">
        <v>3.86</v>
      </c>
      <c r="Y95" s="85">
        <v>4.6100000000000003</v>
      </c>
      <c r="Z95" s="85">
        <v>4.6100000000000003</v>
      </c>
      <c r="AA95" s="85">
        <v>5.53</v>
      </c>
      <c r="AB95" s="85">
        <v>5.53</v>
      </c>
      <c r="AC95" s="85">
        <v>7.31</v>
      </c>
      <c r="AD95" s="85">
        <v>9.3699999999999992</v>
      </c>
      <c r="AE95" s="85">
        <v>13.5</v>
      </c>
      <c r="AF95" s="84">
        <v>16.399999999999999</v>
      </c>
    </row>
    <row r="96" spans="1:32" ht="24.95" customHeight="1">
      <c r="A96" s="85">
        <v>1500</v>
      </c>
      <c r="B96" s="85">
        <v>371.3</v>
      </c>
      <c r="C96" s="85">
        <v>393.8</v>
      </c>
      <c r="D96" s="85">
        <v>380.3</v>
      </c>
      <c r="E96" s="92">
        <v>455.7</v>
      </c>
      <c r="F96" s="92">
        <v>478.2</v>
      </c>
      <c r="G96" s="92">
        <v>464.7</v>
      </c>
      <c r="H96" s="85">
        <v>600.9</v>
      </c>
      <c r="I96" s="85">
        <v>626.79999999999995</v>
      </c>
      <c r="J96" s="85">
        <v>610.70000000000005</v>
      </c>
      <c r="K96" s="85">
        <v>859.3</v>
      </c>
      <c r="L96" s="85">
        <v>887</v>
      </c>
      <c r="M96" s="85">
        <v>870.5</v>
      </c>
      <c r="N96" s="85">
        <v>1240</v>
      </c>
      <c r="O96" s="85">
        <v>1270.5999999999999</v>
      </c>
      <c r="P96" s="85">
        <v>1251.9000000000001</v>
      </c>
      <c r="Q96" s="85"/>
      <c r="R96" s="85"/>
      <c r="S96" s="85"/>
      <c r="V96" s="85">
        <v>100</v>
      </c>
      <c r="W96" s="85">
        <v>4.75</v>
      </c>
      <c r="X96" s="85">
        <v>4.75</v>
      </c>
      <c r="Y96" s="85">
        <v>6.21</v>
      </c>
      <c r="Z96" s="85">
        <v>6.21</v>
      </c>
      <c r="AA96" s="85">
        <v>7.59</v>
      </c>
      <c r="AB96" s="85">
        <v>7.59</v>
      </c>
      <c r="AC96" s="85">
        <v>10.6</v>
      </c>
      <c r="AD96" s="85">
        <v>14</v>
      </c>
      <c r="AE96" s="85">
        <v>20.2</v>
      </c>
      <c r="AF96" s="84">
        <v>27</v>
      </c>
    </row>
    <row r="97" spans="1:32" ht="24.95" customHeight="1">
      <c r="A97" s="85">
        <v>1600</v>
      </c>
      <c r="B97" s="85">
        <v>410.9</v>
      </c>
      <c r="C97" s="85">
        <v>434.9</v>
      </c>
      <c r="D97" s="85">
        <v>420.5</v>
      </c>
      <c r="E97" s="92">
        <v>517.9</v>
      </c>
      <c r="F97" s="92">
        <v>542.29999999999995</v>
      </c>
      <c r="G97" s="92">
        <v>528</v>
      </c>
      <c r="H97" s="85">
        <v>696.1</v>
      </c>
      <c r="I97" s="85">
        <v>723.6</v>
      </c>
      <c r="J97" s="85">
        <v>706.5</v>
      </c>
      <c r="K97" s="85">
        <v>1051.2</v>
      </c>
      <c r="L97" s="85">
        <v>1084.2</v>
      </c>
      <c r="M97" s="85">
        <v>1064.3</v>
      </c>
      <c r="N97" s="85"/>
      <c r="O97" s="85"/>
      <c r="P97" s="85"/>
      <c r="Q97" s="85"/>
      <c r="R97" s="85"/>
      <c r="S97" s="85"/>
      <c r="V97" s="85">
        <v>125</v>
      </c>
      <c r="W97" s="85">
        <v>6.78</v>
      </c>
      <c r="X97" s="85">
        <v>6.1</v>
      </c>
      <c r="Y97" s="85">
        <v>8.1199999999999992</v>
      </c>
      <c r="Z97" s="85">
        <v>8.1199999999999992</v>
      </c>
      <c r="AA97" s="85">
        <v>10.8</v>
      </c>
      <c r="AB97" s="85">
        <v>10.8</v>
      </c>
      <c r="AC97" s="85">
        <v>16.7</v>
      </c>
      <c r="AD97" s="85">
        <v>22.3</v>
      </c>
      <c r="AE97" s="85">
        <v>31.2</v>
      </c>
      <c r="AF97" s="84">
        <v>37.9</v>
      </c>
    </row>
    <row r="98" spans="1:32" ht="24.95" customHeight="1">
      <c r="A98" s="85">
        <v>1700</v>
      </c>
      <c r="B98" s="85">
        <v>478.8</v>
      </c>
      <c r="C98" s="85">
        <v>504.2</v>
      </c>
      <c r="D98" s="85">
        <v>489</v>
      </c>
      <c r="E98" s="92">
        <v>569.6</v>
      </c>
      <c r="F98" s="92">
        <v>595.5</v>
      </c>
      <c r="G98" s="92">
        <v>580.20000000000005</v>
      </c>
      <c r="H98" s="85">
        <v>779.8</v>
      </c>
      <c r="I98" s="85">
        <v>808.9</v>
      </c>
      <c r="J98" s="85">
        <v>790.7</v>
      </c>
      <c r="K98" s="85">
        <v>1169.5999999999999</v>
      </c>
      <c r="L98" s="85">
        <v>1204.4000000000001</v>
      </c>
      <c r="M98" s="85">
        <v>1183.3</v>
      </c>
      <c r="N98" s="85"/>
      <c r="O98" s="85"/>
      <c r="P98" s="85"/>
      <c r="Q98" s="85"/>
      <c r="R98" s="85"/>
      <c r="S98" s="85"/>
      <c r="V98" s="85">
        <v>150</v>
      </c>
      <c r="W98" s="85">
        <v>8.34</v>
      </c>
      <c r="X98" s="85">
        <v>8.34</v>
      </c>
      <c r="Y98" s="85">
        <v>11.4</v>
      </c>
      <c r="Z98" s="85">
        <v>11.4</v>
      </c>
      <c r="AA98" s="85">
        <v>14.6</v>
      </c>
      <c r="AB98" s="85">
        <v>14.6</v>
      </c>
      <c r="AC98" s="85">
        <v>24.5</v>
      </c>
      <c r="AD98" s="85">
        <v>30.6</v>
      </c>
      <c r="AE98" s="85">
        <v>43.2</v>
      </c>
      <c r="AF98" s="84">
        <v>57.2</v>
      </c>
    </row>
    <row r="99" spans="1:32" ht="24.95" customHeight="1">
      <c r="A99" s="85">
        <v>1800</v>
      </c>
      <c r="B99" s="85">
        <v>526.5</v>
      </c>
      <c r="C99" s="85">
        <v>553.29999999999995</v>
      </c>
      <c r="D99" s="85">
        <v>537.20000000000005</v>
      </c>
      <c r="E99" s="92">
        <v>730.2</v>
      </c>
      <c r="F99" s="92">
        <v>761.1</v>
      </c>
      <c r="G99" s="92">
        <v>741.9</v>
      </c>
      <c r="H99" s="85">
        <v>907.7</v>
      </c>
      <c r="I99" s="85">
        <v>940.8</v>
      </c>
      <c r="J99" s="85">
        <v>921.3</v>
      </c>
      <c r="K99" s="85">
        <v>1286.7</v>
      </c>
      <c r="L99" s="85">
        <v>1323.3</v>
      </c>
      <c r="M99" s="85">
        <v>1301</v>
      </c>
      <c r="N99" s="85"/>
      <c r="O99" s="85"/>
      <c r="P99" s="85"/>
      <c r="Q99" s="85"/>
      <c r="R99" s="85"/>
      <c r="S99" s="85"/>
      <c r="V99" s="85">
        <v>200</v>
      </c>
      <c r="W99" s="85">
        <v>13.5</v>
      </c>
      <c r="X99" s="85">
        <v>13.5</v>
      </c>
      <c r="Y99" s="85">
        <v>16.5</v>
      </c>
      <c r="Z99" s="85">
        <v>16.2</v>
      </c>
      <c r="AA99" s="85">
        <v>22.5</v>
      </c>
      <c r="AB99" s="85">
        <v>27.2</v>
      </c>
      <c r="AC99" s="85">
        <v>40.5</v>
      </c>
      <c r="AD99" s="85">
        <v>54.3</v>
      </c>
      <c r="AE99" s="85">
        <v>68.900000000000006</v>
      </c>
      <c r="AF99" s="84">
        <v>108.2</v>
      </c>
    </row>
    <row r="100" spans="1:32" ht="24.95" customHeight="1">
      <c r="A100" s="85">
        <v>1900</v>
      </c>
      <c r="B100" s="85">
        <v>601.29999999999995</v>
      </c>
      <c r="C100" s="85">
        <v>629.4</v>
      </c>
      <c r="D100" s="85">
        <v>612.5</v>
      </c>
      <c r="E100" s="92">
        <v>796.5</v>
      </c>
      <c r="F100" s="92">
        <v>829</v>
      </c>
      <c r="G100" s="92">
        <v>808.7</v>
      </c>
      <c r="H100" s="85">
        <v>1068.5999999999999</v>
      </c>
      <c r="I100" s="85">
        <v>1103.3</v>
      </c>
      <c r="J100" s="85">
        <v>1082.7</v>
      </c>
      <c r="K100" s="85">
        <v>1449.3</v>
      </c>
      <c r="L100" s="85">
        <v>1487.7</v>
      </c>
      <c r="M100" s="85">
        <v>1464.2</v>
      </c>
      <c r="N100" s="85"/>
      <c r="O100" s="85"/>
      <c r="P100" s="85"/>
      <c r="Q100" s="85"/>
      <c r="R100" s="85"/>
      <c r="S100" s="85"/>
      <c r="V100" s="85">
        <v>250</v>
      </c>
      <c r="W100" s="85">
        <v>20.2</v>
      </c>
      <c r="X100" s="85">
        <v>20.2</v>
      </c>
      <c r="Y100" s="85">
        <v>24.1</v>
      </c>
      <c r="Z100" s="85">
        <v>25</v>
      </c>
      <c r="AA100" s="85">
        <v>33.5</v>
      </c>
      <c r="AB100" s="85">
        <v>44.4</v>
      </c>
      <c r="AC100" s="85">
        <v>58.2</v>
      </c>
      <c r="AD100" s="85">
        <v>87.5</v>
      </c>
      <c r="AE100" s="85">
        <v>114.3</v>
      </c>
      <c r="AF100" s="84">
        <v>188.2</v>
      </c>
    </row>
    <row r="101" spans="1:32" ht="24.95" customHeight="1">
      <c r="V101" s="85">
        <v>300</v>
      </c>
      <c r="W101" s="85">
        <v>27.8</v>
      </c>
      <c r="X101" s="85">
        <v>27.8</v>
      </c>
      <c r="Y101" s="85">
        <v>30.8</v>
      </c>
      <c r="Z101" s="85">
        <v>35.1</v>
      </c>
      <c r="AA101" s="85">
        <v>46.3</v>
      </c>
      <c r="AB101" s="85">
        <v>64.099999999999994</v>
      </c>
      <c r="AC101" s="85">
        <v>83.4</v>
      </c>
      <c r="AD101" s="85">
        <v>131.6</v>
      </c>
      <c r="AE101" s="85">
        <v>170.3</v>
      </c>
      <c r="AF101" s="84">
        <v>320.10000000000002</v>
      </c>
    </row>
    <row r="102" spans="1:32" ht="24.95" customHeight="1">
      <c r="V102" s="85">
        <v>350</v>
      </c>
      <c r="W102" s="85">
        <v>34.700000000000003</v>
      </c>
      <c r="X102" s="85">
        <v>34.700000000000003</v>
      </c>
      <c r="Y102" s="85">
        <v>39.6</v>
      </c>
      <c r="Z102" s="85">
        <v>48</v>
      </c>
      <c r="AA102" s="85">
        <v>68</v>
      </c>
      <c r="AB102" s="85">
        <v>89.5</v>
      </c>
      <c r="AC102" s="85">
        <v>115.8</v>
      </c>
      <c r="AD102" s="85">
        <v>178.8</v>
      </c>
      <c r="AE102" s="48"/>
    </row>
    <row r="103" spans="1:32" ht="24.95" customHeight="1">
      <c r="V103" s="85">
        <v>400</v>
      </c>
      <c r="W103" s="85">
        <v>42</v>
      </c>
      <c r="X103" s="85">
        <v>42</v>
      </c>
      <c r="Y103" s="85">
        <v>49.4</v>
      </c>
      <c r="Z103" s="85">
        <v>63.5</v>
      </c>
      <c r="AA103" s="85">
        <v>89.6</v>
      </c>
      <c r="AB103" s="85">
        <v>126.7</v>
      </c>
      <c r="AC103" s="85">
        <v>155.5</v>
      </c>
      <c r="AD103" s="85">
        <v>239.7</v>
      </c>
      <c r="AE103" s="48"/>
    </row>
    <row r="104" spans="1:32" ht="24.95" customHeight="1">
      <c r="V104" s="85">
        <v>450</v>
      </c>
      <c r="W104" s="85">
        <v>51.2</v>
      </c>
      <c r="X104" s="85">
        <v>51.2</v>
      </c>
      <c r="Y104" s="85">
        <v>62.9</v>
      </c>
      <c r="Z104" s="85">
        <v>86.9</v>
      </c>
      <c r="AA104" s="85">
        <v>119.9</v>
      </c>
      <c r="AB104" s="85">
        <v>154.1</v>
      </c>
      <c r="AC104" s="48"/>
      <c r="AD104" s="48"/>
      <c r="AE104" s="48"/>
    </row>
    <row r="105" spans="1:32" ht="24.95" customHeight="1">
      <c r="V105" s="85">
        <v>500</v>
      </c>
      <c r="W105" s="85">
        <v>65.099999999999994</v>
      </c>
      <c r="X105" s="85">
        <v>65.099999999999994</v>
      </c>
      <c r="Y105" s="85">
        <v>75.099999999999994</v>
      </c>
      <c r="Z105" s="85">
        <v>108.6</v>
      </c>
      <c r="AA105" s="85">
        <v>150</v>
      </c>
      <c r="AB105" s="85">
        <v>187.8</v>
      </c>
      <c r="AC105" s="48"/>
      <c r="AD105" s="48"/>
      <c r="AE105" s="48"/>
    </row>
    <row r="106" spans="1:32" ht="24.95" customHeight="1">
      <c r="V106" s="85">
        <v>600</v>
      </c>
      <c r="W106" s="85">
        <v>102.9</v>
      </c>
      <c r="X106" s="85">
        <v>102.9</v>
      </c>
      <c r="Y106" s="85">
        <v>123.7</v>
      </c>
      <c r="Z106" s="85">
        <v>184.3</v>
      </c>
      <c r="AA106" s="85">
        <v>244.3</v>
      </c>
      <c r="AB106" s="85">
        <v>331</v>
      </c>
      <c r="AC106" s="48"/>
      <c r="AD106" s="48"/>
      <c r="AE106" s="48"/>
    </row>
    <row r="107" spans="1:32" ht="24.95" customHeight="1">
      <c r="V107" s="85">
        <v>700</v>
      </c>
      <c r="W107" s="85">
        <v>160.5</v>
      </c>
      <c r="X107" s="85">
        <v>178.3</v>
      </c>
      <c r="Y107" s="85">
        <v>182.5</v>
      </c>
      <c r="Z107" s="85">
        <v>235.7</v>
      </c>
      <c r="AA107" s="48"/>
      <c r="AB107" s="48"/>
      <c r="AC107" s="48"/>
      <c r="AD107" s="48"/>
      <c r="AE107" s="48"/>
    </row>
    <row r="108" spans="1:32" ht="24.95" customHeight="1">
      <c r="V108" s="85">
        <v>800</v>
      </c>
      <c r="W108" s="85">
        <v>217.5</v>
      </c>
      <c r="X108" s="85">
        <v>251.9</v>
      </c>
      <c r="Y108" s="85">
        <v>259.89999999999998</v>
      </c>
      <c r="Z108" s="85">
        <v>325</v>
      </c>
      <c r="AA108" s="48"/>
      <c r="AB108" s="48"/>
      <c r="AC108" s="48"/>
      <c r="AD108" s="48"/>
      <c r="AE108" s="48"/>
    </row>
    <row r="109" spans="1:32" ht="24.95" customHeight="1">
      <c r="V109" s="85">
        <v>900</v>
      </c>
      <c r="W109" s="85">
        <v>279.5</v>
      </c>
      <c r="X109" s="85">
        <v>335.4</v>
      </c>
      <c r="Y109" s="85">
        <v>343.8</v>
      </c>
      <c r="Z109" s="85">
        <v>437.1</v>
      </c>
      <c r="AA109" s="48"/>
      <c r="AB109" s="48"/>
      <c r="AC109" s="48"/>
      <c r="AD109" s="48"/>
      <c r="AE109" s="48"/>
    </row>
    <row r="110" spans="1:32" ht="24.95" customHeight="1">
      <c r="V110" s="85">
        <v>1000</v>
      </c>
      <c r="W110" s="85">
        <v>350.8</v>
      </c>
      <c r="X110" s="85">
        <v>434.3</v>
      </c>
      <c r="Y110" s="85">
        <v>473.2</v>
      </c>
      <c r="Z110" s="85">
        <v>601.70000000000005</v>
      </c>
      <c r="AA110" s="48"/>
      <c r="AB110" s="48"/>
      <c r="AC110" s="48"/>
      <c r="AD110" s="48"/>
      <c r="AE110" s="48"/>
    </row>
    <row r="111" spans="1:32" ht="24.95" customHeight="1">
      <c r="V111" s="85">
        <v>1200</v>
      </c>
      <c r="W111" s="85">
        <v>504.8</v>
      </c>
      <c r="X111" s="85">
        <v>717</v>
      </c>
      <c r="Y111" s="85">
        <v>764.7</v>
      </c>
      <c r="Z111" s="85">
        <v>998.2</v>
      </c>
      <c r="AA111" s="48"/>
      <c r="AB111" s="48"/>
      <c r="AC111" s="48"/>
      <c r="AD111" s="48"/>
      <c r="AE111" s="48"/>
    </row>
    <row r="112" spans="1:32" ht="24.95" customHeight="1">
      <c r="V112" s="85">
        <v>1400</v>
      </c>
      <c r="W112" s="85">
        <v>724.2</v>
      </c>
      <c r="X112" s="85">
        <v>1093.8</v>
      </c>
      <c r="Z112" s="48"/>
      <c r="AA112" s="48"/>
      <c r="AB112" s="48"/>
      <c r="AC112" s="48"/>
      <c r="AD112" s="48"/>
      <c r="AE112" s="48"/>
    </row>
    <row r="113" spans="22:31" ht="24.95" customHeight="1">
      <c r="V113" s="85">
        <v>1600</v>
      </c>
      <c r="W113" s="85">
        <v>995.7</v>
      </c>
      <c r="X113" s="85">
        <v>1544.1</v>
      </c>
      <c r="Z113" s="48"/>
      <c r="AA113" s="48"/>
      <c r="AB113" s="48"/>
      <c r="AC113" s="48"/>
      <c r="AD113" s="48"/>
      <c r="AE113" s="48"/>
    </row>
    <row r="114" spans="22:31" ht="24.95" customHeight="1">
      <c r="V114" s="85">
        <v>1800</v>
      </c>
      <c r="W114" s="85">
        <v>1304.5999999999999</v>
      </c>
      <c r="X114" s="85">
        <v>2130.1</v>
      </c>
      <c r="Z114" s="48"/>
      <c r="AA114" s="48"/>
      <c r="AB114" s="48"/>
      <c r="AC114" s="48"/>
      <c r="AD114" s="48"/>
      <c r="AE114" s="48"/>
    </row>
    <row r="115" spans="22:31" ht="24.95" customHeight="1">
      <c r="V115" s="85">
        <v>2000</v>
      </c>
      <c r="W115" s="85">
        <v>1698.7</v>
      </c>
      <c r="X115" s="85">
        <v>2860.5</v>
      </c>
      <c r="Z115" s="48"/>
      <c r="AA115" s="48"/>
      <c r="AB115" s="48"/>
      <c r="AC115" s="48"/>
      <c r="AD115" s="48"/>
      <c r="AE115" s="48"/>
    </row>
  </sheetData>
  <mergeCells count="33">
    <mergeCell ref="N82:P82"/>
    <mergeCell ref="Q82:S82"/>
    <mergeCell ref="V85:AF85"/>
    <mergeCell ref="A81:M81"/>
    <mergeCell ref="B82:D82"/>
    <mergeCell ref="E82:G82"/>
    <mergeCell ref="H82:J82"/>
    <mergeCell ref="K82:M82"/>
    <mergeCell ref="V32:AA32"/>
    <mergeCell ref="AH44:AN44"/>
    <mergeCell ref="V54:AD54"/>
    <mergeCell ref="A56:M56"/>
    <mergeCell ref="B57:D57"/>
    <mergeCell ref="E57:G57"/>
    <mergeCell ref="H57:J57"/>
    <mergeCell ref="K57:M57"/>
    <mergeCell ref="AH22:AN22"/>
    <mergeCell ref="A26:S26"/>
    <mergeCell ref="B27:D27"/>
    <mergeCell ref="E27:G27"/>
    <mergeCell ref="H27:J27"/>
    <mergeCell ref="K27:M27"/>
    <mergeCell ref="N27:P27"/>
    <mergeCell ref="Q27:S27"/>
    <mergeCell ref="A1:S1"/>
    <mergeCell ref="V1:AA1"/>
    <mergeCell ref="AH1:AM1"/>
    <mergeCell ref="B2:D2"/>
    <mergeCell ref="E2:G2"/>
    <mergeCell ref="H2:J2"/>
    <mergeCell ref="K2:M2"/>
    <mergeCell ref="N2:P2"/>
    <mergeCell ref="Q2:S2"/>
  </mergeCells>
  <phoneticPr fontId="5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14</vt:i4>
      </vt:variant>
    </vt:vector>
  </HeadingPairs>
  <TitlesOfParts>
    <vt:vector size="25" baseType="lpstr">
      <vt:lpstr>汇总</vt:lpstr>
      <vt:lpstr>成本汇总表</vt:lpstr>
      <vt:lpstr>WX26060-1</vt:lpstr>
      <vt:lpstr>WX26060-2</vt:lpstr>
      <vt:lpstr>钢管壁厚等级表</vt:lpstr>
      <vt:lpstr>法兰理论重量表</vt:lpstr>
      <vt:lpstr>常用重量计算</vt:lpstr>
      <vt:lpstr>常用人孔数据</vt:lpstr>
      <vt:lpstr>螺栓螺母重量</vt:lpstr>
      <vt:lpstr>法兰参数查询</vt:lpstr>
      <vt:lpstr>支腿数据</vt:lpstr>
      <vt:lpstr>_LSK1</vt:lpstr>
      <vt:lpstr>BLDN</vt:lpstr>
      <vt:lpstr>BLDN1</vt:lpstr>
      <vt:lpstr>BLPN</vt:lpstr>
      <vt:lpstr>BLPN1</vt:lpstr>
      <vt:lpstr>BLWT1</vt:lpstr>
      <vt:lpstr>BLWT2</vt:lpstr>
      <vt:lpstr>LSCD</vt:lpstr>
      <vt:lpstr>LSCD1</vt:lpstr>
      <vt:lpstr>LSDN1</vt:lpstr>
      <vt:lpstr>LSGG</vt:lpstr>
      <vt:lpstr>LSGG1</vt:lpstr>
      <vt:lpstr>LSPN1</vt:lpstr>
      <vt:lpstr>LSSL1</vt:lpstr>
    </vt:vector>
  </TitlesOfParts>
  <Company>sunnet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sunnet</dc:creator>
  <cp:lastModifiedBy>涛 顾</cp:lastModifiedBy>
  <dcterms:created xsi:type="dcterms:W3CDTF">2007-04-27T06:25:18Z</dcterms:created>
  <dcterms:modified xsi:type="dcterms:W3CDTF">2026-09-01T04:54:22Z</dcterms:modified>
</cp:coreProperties>
</file>